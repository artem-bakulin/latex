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ak\latex\derivatives\"/>
    </mc:Choice>
  </mc:AlternateContent>
  <xr:revisionPtr revIDLastSave="0" documentId="13_ncr:1_{6CB24390-14B1-4045-851C-1031ACE2FF4E}" xr6:coauthVersionLast="47" xr6:coauthVersionMax="47" xr10:uidLastSave="{00000000-0000-0000-0000-000000000000}"/>
  <bookViews>
    <workbookView xWindow="4890" yWindow="4140" windowWidth="32730" windowHeight="16740" xr2:uid="{D8E5F428-DCFD-4AE9-9A28-7A4E6521C3B8}"/>
  </bookViews>
  <sheets>
    <sheet name="Pricing" sheetId="4" r:id="rId1"/>
    <sheet name="Bootstrap" sheetId="3" r:id="rId2"/>
    <sheet name="Data for Char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6" l="1"/>
  <c r="I13" i="6"/>
  <c r="L23" i="4"/>
  <c r="M15" i="4"/>
  <c r="K15" i="4"/>
  <c r="J1" i="3"/>
  <c r="CZ226" i="3"/>
  <c r="M284" i="3" s="1"/>
  <c r="CM226" i="3"/>
  <c r="L284" i="3" s="1"/>
  <c r="BZ226" i="3"/>
  <c r="K284" i="3" s="1"/>
  <c r="BM226" i="3"/>
  <c r="J284" i="3" s="1"/>
  <c r="AZ226" i="3"/>
  <c r="I284" i="3" s="1"/>
  <c r="AM226" i="3"/>
  <c r="H284" i="3" s="1"/>
  <c r="Z226" i="3"/>
  <c r="G284" i="3" s="1"/>
  <c r="M226" i="3"/>
  <c r="F284" i="3" s="1"/>
  <c r="CZ155" i="3"/>
  <c r="M213" i="3" s="1"/>
  <c r="CM155" i="3"/>
  <c r="L213" i="3" s="1"/>
  <c r="BZ155" i="3"/>
  <c r="BM155" i="3"/>
  <c r="J213" i="3" s="1"/>
  <c r="AZ155" i="3"/>
  <c r="I213" i="3" s="1"/>
  <c r="AM155" i="3"/>
  <c r="H213" i="3" s="1"/>
  <c r="Z155" i="3"/>
  <c r="G213" i="3" s="1"/>
  <c r="M155" i="3"/>
  <c r="F213" i="3" s="1"/>
  <c r="CZ84" i="3"/>
  <c r="M142" i="3" s="1"/>
  <c r="CM84" i="3"/>
  <c r="L142" i="3" s="1"/>
  <c r="BZ84" i="3"/>
  <c r="K142" i="3" s="1"/>
  <c r="BM84" i="3"/>
  <c r="J142" i="3" s="1"/>
  <c r="AZ84" i="3"/>
  <c r="I142" i="3" s="1"/>
  <c r="AM84" i="3"/>
  <c r="H142" i="3" s="1"/>
  <c r="Z84" i="3"/>
  <c r="G142" i="3" s="1"/>
  <c r="M84" i="3"/>
  <c r="F142" i="3" s="1"/>
  <c r="CZ13" i="3"/>
  <c r="M71" i="3" s="1"/>
  <c r="CM13" i="3"/>
  <c r="L71" i="3" s="1"/>
  <c r="BZ13" i="3"/>
  <c r="K71" i="3" s="1"/>
  <c r="BM13" i="3"/>
  <c r="J71" i="3" s="1"/>
  <c r="AZ13" i="3"/>
  <c r="I71" i="3" s="1"/>
  <c r="AM13" i="3"/>
  <c r="H71" i="3" s="1"/>
  <c r="Z13" i="3"/>
  <c r="G71" i="3" s="1"/>
  <c r="M13" i="3"/>
  <c r="F71" i="3" s="1"/>
  <c r="M16" i="4"/>
  <c r="M17" i="4"/>
  <c r="M18" i="4"/>
  <c r="M19" i="4"/>
  <c r="M20" i="4"/>
  <c r="M21" i="4"/>
  <c r="M22" i="4"/>
  <c r="K16" i="4"/>
  <c r="K17" i="4"/>
  <c r="K18" i="4"/>
  <c r="K19" i="4"/>
  <c r="K20" i="4"/>
  <c r="K21" i="4"/>
  <c r="K22" i="4"/>
  <c r="C3" i="3"/>
  <c r="C4" i="3"/>
  <c r="C5" i="3"/>
  <c r="C6" i="3"/>
  <c r="C7" i="3"/>
  <c r="C8" i="3"/>
  <c r="C9" i="3"/>
  <c r="C2" i="3"/>
  <c r="B3" i="3"/>
  <c r="B4" i="3"/>
  <c r="B5" i="3"/>
  <c r="B6" i="3"/>
  <c r="B7" i="3"/>
  <c r="B8" i="3"/>
  <c r="B9" i="3"/>
  <c r="B2" i="3"/>
  <c r="A3" i="3"/>
  <c r="C74" i="3" s="1"/>
  <c r="A4" i="3"/>
  <c r="C75" i="3" s="1"/>
  <c r="A5" i="3"/>
  <c r="C76" i="3" s="1"/>
  <c r="A6" i="3"/>
  <c r="C77" i="3" s="1"/>
  <c r="A7" i="3"/>
  <c r="C78" i="3" s="1"/>
  <c r="A8" i="3"/>
  <c r="C79" i="3" s="1"/>
  <c r="A9" i="3"/>
  <c r="C80" i="3" s="1"/>
  <c r="A2" i="3"/>
  <c r="J13" i="6" l="1"/>
  <c r="I14" i="6"/>
  <c r="I15" i="6"/>
  <c r="J14" i="6"/>
  <c r="M23" i="4"/>
  <c r="A236" i="3" a="1"/>
  <c r="C73" i="3"/>
  <c r="BN236" i="3" a="1"/>
  <c r="AN236" i="3" a="1"/>
  <c r="N236" i="3" a="1"/>
  <c r="CN236" i="3" a="1"/>
  <c r="DA236" i="3" a="1"/>
  <c r="CA236" i="3" a="1"/>
  <c r="BA236" i="3" a="1"/>
  <c r="AA236" i="3" a="1"/>
  <c r="N165" i="3" a="1"/>
  <c r="N165" i="3" s="1"/>
  <c r="BN165" i="3" a="1"/>
  <c r="DA165" i="3" a="1"/>
  <c r="AA165" i="3" a="1"/>
  <c r="AH165" i="3" s="1"/>
  <c r="AN165" i="3" a="1"/>
  <c r="AN165" i="3" s="1"/>
  <c r="CA165" i="3" a="1"/>
  <c r="CD165" i="3" s="1"/>
  <c r="A165" i="3" a="1"/>
  <c r="H165" i="3" s="1"/>
  <c r="BA165" i="3" a="1"/>
  <c r="BF165" i="3" s="1"/>
  <c r="CN165" i="3" a="1"/>
  <c r="K213" i="3"/>
  <c r="AA94" i="3" a="1"/>
  <c r="AB94" i="3" s="1"/>
  <c r="DA94" i="3" a="1"/>
  <c r="DA94" i="3" s="1"/>
  <c r="A307" i="3" a="1"/>
  <c r="H307" i="3" s="1"/>
  <c r="AN94" i="3" a="1"/>
  <c r="AQ94" i="3" s="1"/>
  <c r="BA94" i="3" a="1"/>
  <c r="BG94" i="3" s="1"/>
  <c r="BN94" i="3" a="1"/>
  <c r="BU94" i="3" s="1"/>
  <c r="CN94" i="3" a="1"/>
  <c r="CR94" i="3" s="1"/>
  <c r="N94" i="3" a="1"/>
  <c r="CA94" i="3" a="1"/>
  <c r="CF94" i="3" s="1"/>
  <c r="A94" i="3" a="1"/>
  <c r="A94" i="3" s="1"/>
  <c r="CA23" i="3" a="1"/>
  <c r="CF23" i="3" s="1"/>
  <c r="A20" i="3"/>
  <c r="AA23" i="3" a="1"/>
  <c r="AD23" i="3" s="1"/>
  <c r="CN23" i="3" a="1"/>
  <c r="CU23" i="3" s="1"/>
  <c r="A23" i="3" a="1"/>
  <c r="A23" i="3" s="1"/>
  <c r="N23" i="3" a="1"/>
  <c r="N23" i="3" s="1"/>
  <c r="BN23" i="3" a="1"/>
  <c r="BN23" i="3" s="1"/>
  <c r="AN23" i="3" a="1"/>
  <c r="AO23" i="3" s="1"/>
  <c r="DA23" i="3" a="1"/>
  <c r="DB23" i="3" s="1"/>
  <c r="BA23" i="3" a="1"/>
  <c r="BB23" i="3" s="1"/>
  <c r="A14" i="3"/>
  <c r="A21" i="3"/>
  <c r="A18" i="3"/>
  <c r="A17" i="3"/>
  <c r="A16" i="3"/>
  <c r="A19" i="3"/>
  <c r="A15" i="3"/>
  <c r="B14" i="3"/>
  <c r="I16" i="6" l="1"/>
  <c r="J15" i="6"/>
  <c r="A165" i="3"/>
  <c r="BH165" i="3"/>
  <c r="R165" i="3"/>
  <c r="P165" i="3"/>
  <c r="O165" i="3"/>
  <c r="AG165" i="3"/>
  <c r="BH236" i="3"/>
  <c r="BG236" i="3"/>
  <c r="BE236" i="3"/>
  <c r="BD236" i="3"/>
  <c r="BC236" i="3"/>
  <c r="BA236" i="3"/>
  <c r="BF236" i="3"/>
  <c r="BB236" i="3"/>
  <c r="CH236" i="3"/>
  <c r="CG236" i="3"/>
  <c r="CE236" i="3"/>
  <c r="CD236" i="3"/>
  <c r="CC236" i="3"/>
  <c r="CA236" i="3"/>
  <c r="CF236" i="3"/>
  <c r="CB236" i="3"/>
  <c r="AF165" i="3"/>
  <c r="DF236" i="3"/>
  <c r="DE236" i="3"/>
  <c r="DB236" i="3"/>
  <c r="DH236" i="3"/>
  <c r="DG236" i="3"/>
  <c r="DD236" i="3"/>
  <c r="DA236" i="3"/>
  <c r="DC236" i="3"/>
  <c r="AA165" i="3"/>
  <c r="CP236" i="3"/>
  <c r="CO236" i="3"/>
  <c r="CN236" i="3"/>
  <c r="CU236" i="3"/>
  <c r="CT236" i="3"/>
  <c r="CS236" i="3"/>
  <c r="CR236" i="3"/>
  <c r="CQ236" i="3"/>
  <c r="AC165" i="3"/>
  <c r="R236" i="3"/>
  <c r="Q236" i="3"/>
  <c r="N236" i="3"/>
  <c r="U236" i="3"/>
  <c r="T236" i="3"/>
  <c r="S236" i="3"/>
  <c r="P236" i="3"/>
  <c r="O236" i="3"/>
  <c r="AH236" i="3"/>
  <c r="AG236" i="3"/>
  <c r="AE236" i="3"/>
  <c r="AD236" i="3"/>
  <c r="AC236" i="3"/>
  <c r="AA236" i="3"/>
  <c r="AF236" i="3"/>
  <c r="AB236" i="3"/>
  <c r="AP236" i="3"/>
  <c r="AO236" i="3"/>
  <c r="AN236" i="3"/>
  <c r="AT236" i="3"/>
  <c r="AS236" i="3"/>
  <c r="AR236" i="3"/>
  <c r="AQ236" i="3"/>
  <c r="AU236" i="3"/>
  <c r="BN236" i="3"/>
  <c r="BP236" i="3"/>
  <c r="BO236" i="3"/>
  <c r="BR236" i="3"/>
  <c r="BU236" i="3"/>
  <c r="BT236" i="3"/>
  <c r="BS236" i="3"/>
  <c r="BQ236" i="3"/>
  <c r="AE165" i="3"/>
  <c r="AD165" i="3"/>
  <c r="AB165" i="3"/>
  <c r="CH165" i="3"/>
  <c r="S165" i="3"/>
  <c r="Q165" i="3"/>
  <c r="H236" i="3"/>
  <c r="G236" i="3"/>
  <c r="E236" i="3"/>
  <c r="D236" i="3"/>
  <c r="C236" i="3"/>
  <c r="A236" i="3"/>
  <c r="F236" i="3"/>
  <c r="B236" i="3"/>
  <c r="BG165" i="3"/>
  <c r="G165" i="3"/>
  <c r="F165" i="3"/>
  <c r="D165" i="3"/>
  <c r="E165" i="3"/>
  <c r="C165" i="3"/>
  <c r="B165" i="3"/>
  <c r="C215" i="3" a="1"/>
  <c r="C222" i="3" s="1"/>
  <c r="CN165" i="3"/>
  <c r="CS165" i="3"/>
  <c r="CP165" i="3"/>
  <c r="CQ165" i="3"/>
  <c r="CU165" i="3"/>
  <c r="CR165" i="3"/>
  <c r="CO165" i="3"/>
  <c r="CT165" i="3"/>
  <c r="BA165" i="3"/>
  <c r="CA165" i="3"/>
  <c r="CC165" i="3"/>
  <c r="CB165" i="3"/>
  <c r="BB165" i="3"/>
  <c r="AP165" i="3"/>
  <c r="AT165" i="3"/>
  <c r="AS165" i="3"/>
  <c r="AQ165" i="3"/>
  <c r="AR165" i="3"/>
  <c r="AO165" i="3"/>
  <c r="AU165" i="3"/>
  <c r="BC165" i="3"/>
  <c r="CE165" i="3"/>
  <c r="CF165" i="3"/>
  <c r="BD165" i="3"/>
  <c r="DH165" i="3"/>
  <c r="DG165" i="3"/>
  <c r="DD165" i="3"/>
  <c r="DF165" i="3"/>
  <c r="DE165" i="3"/>
  <c r="DC165" i="3"/>
  <c r="DB165" i="3"/>
  <c r="DA165" i="3"/>
  <c r="CG165" i="3"/>
  <c r="BE165" i="3"/>
  <c r="BN165" i="3"/>
  <c r="BS165" i="3"/>
  <c r="BQ165" i="3"/>
  <c r="BP165" i="3"/>
  <c r="BU165" i="3"/>
  <c r="BT165" i="3"/>
  <c r="BO165" i="3"/>
  <c r="BR165" i="3"/>
  <c r="T165" i="3"/>
  <c r="U165" i="3"/>
  <c r="AE94" i="3"/>
  <c r="AD94" i="3"/>
  <c r="AG94" i="3"/>
  <c r="AH94" i="3"/>
  <c r="C307" i="3"/>
  <c r="B307" i="3"/>
  <c r="A307" i="3"/>
  <c r="AS94" i="3"/>
  <c r="AR94" i="3"/>
  <c r="AP94" i="3"/>
  <c r="AO94" i="3"/>
  <c r="BF94" i="3"/>
  <c r="BC94" i="3"/>
  <c r="CO94" i="3"/>
  <c r="BE94" i="3"/>
  <c r="AN94" i="3"/>
  <c r="BN94" i="3"/>
  <c r="CE94" i="3"/>
  <c r="CT94" i="3"/>
  <c r="BA94" i="3"/>
  <c r="CS94" i="3"/>
  <c r="CB94" i="3"/>
  <c r="BR94" i="3"/>
  <c r="BD94" i="3"/>
  <c r="BS94" i="3"/>
  <c r="BB94" i="3"/>
  <c r="BQ94" i="3"/>
  <c r="BH94" i="3"/>
  <c r="N94" i="3"/>
  <c r="O94" i="3"/>
  <c r="R94" i="3"/>
  <c r="T94" i="3"/>
  <c r="P94" i="3"/>
  <c r="U94" i="3"/>
  <c r="Q94" i="3"/>
  <c r="S94" i="3"/>
  <c r="CU94" i="3"/>
  <c r="CN94" i="3"/>
  <c r="CA94" i="3"/>
  <c r="CQ94" i="3"/>
  <c r="CC94" i="3"/>
  <c r="BP94" i="3"/>
  <c r="CH94" i="3"/>
  <c r="AT94" i="3"/>
  <c r="AU94" i="3"/>
  <c r="CD94" i="3"/>
  <c r="CP94" i="3"/>
  <c r="D307" i="3"/>
  <c r="G307" i="3"/>
  <c r="F307" i="3"/>
  <c r="E307" i="3"/>
  <c r="CG94" i="3"/>
  <c r="BT94" i="3"/>
  <c r="BO94" i="3"/>
  <c r="DB94" i="3"/>
  <c r="DH94" i="3"/>
  <c r="DD94" i="3"/>
  <c r="DG94" i="3"/>
  <c r="DF94" i="3"/>
  <c r="DE94" i="3"/>
  <c r="DC94" i="3"/>
  <c r="AF94" i="3"/>
  <c r="AC94" i="3"/>
  <c r="AA94" i="3"/>
  <c r="A79" i="3"/>
  <c r="A74" i="3"/>
  <c r="A78" i="3"/>
  <c r="A75" i="3"/>
  <c r="C94" i="3"/>
  <c r="B94" i="3"/>
  <c r="A77" i="3"/>
  <c r="A73" i="3"/>
  <c r="H94" i="3"/>
  <c r="A76" i="3"/>
  <c r="A80" i="3"/>
  <c r="B15" i="3"/>
  <c r="B73" i="3"/>
  <c r="AN20" i="3"/>
  <c r="AP19" i="3" s="1"/>
  <c r="AH23" i="3"/>
  <c r="D94" i="3"/>
  <c r="G94" i="3"/>
  <c r="F94" i="3"/>
  <c r="E94" i="3"/>
  <c r="AA20" i="3"/>
  <c r="AC19" i="3" s="1"/>
  <c r="BA20" i="3"/>
  <c r="BC19" i="3" s="1"/>
  <c r="CA20" i="3"/>
  <c r="CC19" i="3" s="1"/>
  <c r="N20" i="3"/>
  <c r="P19" i="3" s="1"/>
  <c r="DA20" i="3"/>
  <c r="DC19" i="3" s="1"/>
  <c r="BN20" i="3"/>
  <c r="BP19" i="3" s="1"/>
  <c r="CG23" i="3"/>
  <c r="BP23" i="3"/>
  <c r="BO23" i="3"/>
  <c r="CN23" i="3"/>
  <c r="CP23" i="3"/>
  <c r="CO23" i="3"/>
  <c r="CD23" i="3"/>
  <c r="E23" i="3"/>
  <c r="C23" i="3"/>
  <c r="G23" i="3"/>
  <c r="H23" i="3"/>
  <c r="B23" i="3"/>
  <c r="F23" i="3"/>
  <c r="AE23" i="3"/>
  <c r="CC23" i="3"/>
  <c r="CA23" i="3"/>
  <c r="CB23" i="3"/>
  <c r="CH23" i="3"/>
  <c r="C19" i="3"/>
  <c r="CN20" i="3"/>
  <c r="CP19" i="3" s="1"/>
  <c r="AC23" i="3"/>
  <c r="AA23" i="3"/>
  <c r="AF23" i="3"/>
  <c r="CE23" i="3"/>
  <c r="O23" i="3"/>
  <c r="AG23" i="3"/>
  <c r="AB23" i="3"/>
  <c r="AQ23" i="3"/>
  <c r="AU23" i="3"/>
  <c r="AT23" i="3"/>
  <c r="AS23" i="3"/>
  <c r="AR23" i="3"/>
  <c r="BQ23" i="3"/>
  <c r="BT23" i="3"/>
  <c r="BS23" i="3"/>
  <c r="BR23" i="3"/>
  <c r="DD23" i="3"/>
  <c r="DE23" i="3"/>
  <c r="Q23" i="3"/>
  <c r="T23" i="3"/>
  <c r="S23" i="3"/>
  <c r="R23" i="3"/>
  <c r="DC23" i="3"/>
  <c r="C14" i="3"/>
  <c r="AA15" i="3"/>
  <c r="AC14" i="3" s="1"/>
  <c r="CA15" i="3"/>
  <c r="CC14" i="3" s="1"/>
  <c r="BN15" i="3"/>
  <c r="BP14" i="3" s="1"/>
  <c r="N15" i="3"/>
  <c r="P14" i="3" s="1"/>
  <c r="AN15" i="3"/>
  <c r="AP14" i="3" s="1"/>
  <c r="DA15" i="3"/>
  <c r="DC14" i="3" s="1"/>
  <c r="CN15" i="3"/>
  <c r="CP14" i="3" s="1"/>
  <c r="BA15" i="3"/>
  <c r="BC14" i="3" s="1"/>
  <c r="C18" i="3"/>
  <c r="AN19" i="3"/>
  <c r="AP18" i="3" s="1"/>
  <c r="CN19" i="3"/>
  <c r="CP18" i="3" s="1"/>
  <c r="N19" i="3"/>
  <c r="P18" i="3" s="1"/>
  <c r="BA19" i="3"/>
  <c r="BC18" i="3" s="1"/>
  <c r="BN19" i="3"/>
  <c r="BP18" i="3" s="1"/>
  <c r="CA19" i="3"/>
  <c r="AA19" i="3"/>
  <c r="AC18" i="3" s="1"/>
  <c r="DA19" i="3"/>
  <c r="DC18" i="3" s="1"/>
  <c r="CQ23" i="3"/>
  <c r="CS23" i="3"/>
  <c r="CR23" i="3"/>
  <c r="CT23" i="3"/>
  <c r="CB14" i="3"/>
  <c r="AB14" i="3"/>
  <c r="DB14" i="3"/>
  <c r="BB14" i="3"/>
  <c r="O14" i="3"/>
  <c r="BO14" i="3"/>
  <c r="AO14" i="3"/>
  <c r="CO14" i="3"/>
  <c r="DG23" i="3"/>
  <c r="N18" i="3"/>
  <c r="P17" i="3" s="1"/>
  <c r="BA18" i="3"/>
  <c r="BC17" i="3" s="1"/>
  <c r="CN18" i="3"/>
  <c r="DA18" i="3"/>
  <c r="DC17" i="3" s="1"/>
  <c r="AN18" i="3"/>
  <c r="AP17" i="3" s="1"/>
  <c r="CA18" i="3"/>
  <c r="AA18" i="3"/>
  <c r="AC17" i="3" s="1"/>
  <c r="BN18" i="3"/>
  <c r="C15" i="3"/>
  <c r="AN16" i="3"/>
  <c r="AP15" i="3" s="1"/>
  <c r="BA16" i="3"/>
  <c r="DA16" i="3"/>
  <c r="BN16" i="3"/>
  <c r="BP15" i="3" s="1"/>
  <c r="CA16" i="3"/>
  <c r="CC15" i="3" s="1"/>
  <c r="AA16" i="3"/>
  <c r="AC15" i="3" s="1"/>
  <c r="CN16" i="3"/>
  <c r="CP15" i="3" s="1"/>
  <c r="N16" i="3"/>
  <c r="P15" i="3" s="1"/>
  <c r="AN23" i="3"/>
  <c r="DH23" i="3"/>
  <c r="BD23" i="3"/>
  <c r="BA23" i="3"/>
  <c r="BF23" i="3"/>
  <c r="BH23" i="3"/>
  <c r="BE23" i="3"/>
  <c r="BG23" i="3"/>
  <c r="BU23" i="3"/>
  <c r="C16" i="3"/>
  <c r="AN17" i="3"/>
  <c r="AP16" i="3" s="1"/>
  <c r="DA17" i="3"/>
  <c r="DC16" i="3" s="1"/>
  <c r="CN17" i="3"/>
  <c r="CP16" i="3" s="1"/>
  <c r="BA17" i="3"/>
  <c r="BC16" i="3" s="1"/>
  <c r="AA17" i="3"/>
  <c r="AC16" i="3" s="1"/>
  <c r="BN17" i="3"/>
  <c r="BP16" i="3" s="1"/>
  <c r="CA17" i="3"/>
  <c r="CC16" i="3" s="1"/>
  <c r="N17" i="3"/>
  <c r="P16" i="3" s="1"/>
  <c r="C20" i="3"/>
  <c r="CA21" i="3"/>
  <c r="CC20" i="3" s="1"/>
  <c r="AA21" i="3"/>
  <c r="AC20" i="3" s="1"/>
  <c r="N21" i="3"/>
  <c r="P20" i="3" s="1"/>
  <c r="BN21" i="3"/>
  <c r="BP20" i="3" s="1"/>
  <c r="CN21" i="3"/>
  <c r="CP20" i="3" s="1"/>
  <c r="BA21" i="3"/>
  <c r="BC20" i="3" s="1"/>
  <c r="DA21" i="3"/>
  <c r="DC20" i="3" s="1"/>
  <c r="AN21" i="3"/>
  <c r="AP20" i="3" s="1"/>
  <c r="AA14" i="3"/>
  <c r="CA14" i="3"/>
  <c r="CN14" i="3"/>
  <c r="BA14" i="3"/>
  <c r="N14" i="3"/>
  <c r="BN14" i="3"/>
  <c r="AN14" i="3"/>
  <c r="DA14" i="3"/>
  <c r="BC23" i="3"/>
  <c r="DA23" i="3"/>
  <c r="D23" i="3"/>
  <c r="P23" i="3"/>
  <c r="U23" i="3"/>
  <c r="AP23" i="3"/>
  <c r="DF23" i="3"/>
  <c r="B27" i="3" a="1"/>
  <c r="C17" i="3"/>
  <c r="I17" i="6" l="1"/>
  <c r="J16" i="6"/>
  <c r="C286" i="3" a="1"/>
  <c r="C286" i="3" s="1"/>
  <c r="C289" i="3"/>
  <c r="C288" i="3"/>
  <c r="C287" i="3"/>
  <c r="C218" i="3"/>
  <c r="C215" i="3"/>
  <c r="C220" i="3"/>
  <c r="C217" i="3"/>
  <c r="C219" i="3"/>
  <c r="C216" i="3"/>
  <c r="C221" i="3"/>
  <c r="C144" i="3" a="1"/>
  <c r="C144" i="3" s="1"/>
  <c r="AG76" i="3"/>
  <c r="A88" i="3"/>
  <c r="AG80" i="3"/>
  <c r="A92" i="3"/>
  <c r="AG75" i="3"/>
  <c r="A87" i="3"/>
  <c r="AG78" i="3"/>
  <c r="A90" i="3"/>
  <c r="AG73" i="3"/>
  <c r="A85" i="3"/>
  <c r="AG77" i="3"/>
  <c r="A89" i="3"/>
  <c r="AG74" i="3"/>
  <c r="A86" i="3"/>
  <c r="AG79" i="3"/>
  <c r="A91" i="3"/>
  <c r="B16" i="3"/>
  <c r="B74" i="3"/>
  <c r="DB27" i="3" a="1"/>
  <c r="DC15" i="3"/>
  <c r="O27" i="3" a="1"/>
  <c r="BP17" i="3"/>
  <c r="BO27" i="3" a="1"/>
  <c r="CC18" i="3"/>
  <c r="CC17" i="3"/>
  <c r="CB27" i="3" a="1"/>
  <c r="AB27" i="3" a="1"/>
  <c r="AO27" i="3" a="1"/>
  <c r="BB27" i="3" a="1"/>
  <c r="BC15" i="3"/>
  <c r="BB15" i="3"/>
  <c r="O15" i="3"/>
  <c r="DB15" i="3"/>
  <c r="CB15" i="3"/>
  <c r="BO15" i="3"/>
  <c r="BQ14" i="3" s="1"/>
  <c r="AO15" i="3"/>
  <c r="AB15" i="3"/>
  <c r="CO15" i="3"/>
  <c r="CP17" i="3"/>
  <c r="CO27" i="3" a="1"/>
  <c r="D14" i="3"/>
  <c r="E14" i="3" s="1"/>
  <c r="B61" i="3"/>
  <c r="B66" i="3"/>
  <c r="B49" i="3"/>
  <c r="B36" i="3"/>
  <c r="B37" i="3"/>
  <c r="B42" i="3"/>
  <c r="B38" i="3"/>
  <c r="B27" i="3"/>
  <c r="B32" i="3"/>
  <c r="B46" i="3"/>
  <c r="B60" i="3"/>
  <c r="B31" i="3"/>
  <c r="B39" i="3"/>
  <c r="B63" i="3"/>
  <c r="B53" i="3"/>
  <c r="B67" i="3"/>
  <c r="B41" i="3"/>
  <c r="B57" i="3"/>
  <c r="B62" i="3"/>
  <c r="B59" i="3"/>
  <c r="B28" i="3"/>
  <c r="B51" i="3"/>
  <c r="B44" i="3"/>
  <c r="B64" i="3"/>
  <c r="B54" i="3"/>
  <c r="B43" i="3"/>
  <c r="B50" i="3"/>
  <c r="B65" i="3"/>
  <c r="B29" i="3"/>
  <c r="B30" i="3"/>
  <c r="B40" i="3"/>
  <c r="B33" i="3"/>
  <c r="B56" i="3"/>
  <c r="B47" i="3"/>
  <c r="B58" i="3"/>
  <c r="B55" i="3"/>
  <c r="B35" i="3"/>
  <c r="B52" i="3"/>
  <c r="B45" i="3"/>
  <c r="B34" i="3"/>
  <c r="B48" i="3"/>
  <c r="I18" i="6" l="1"/>
  <c r="J17" i="6"/>
  <c r="C290" i="3"/>
  <c r="C291" i="3"/>
  <c r="C292" i="3"/>
  <c r="C293" i="3"/>
  <c r="C148" i="3"/>
  <c r="C151" i="3"/>
  <c r="C147" i="3"/>
  <c r="C149" i="3"/>
  <c r="C146" i="3"/>
  <c r="C150" i="3"/>
  <c r="C145" i="3"/>
  <c r="A7" i="6"/>
  <c r="N90" i="3"/>
  <c r="P89" i="3" s="1"/>
  <c r="DA90" i="3"/>
  <c r="DC89" i="3" s="1"/>
  <c r="AN90" i="3"/>
  <c r="AP89" i="3" s="1"/>
  <c r="CN90" i="3"/>
  <c r="CP89" i="3" s="1"/>
  <c r="BA90" i="3"/>
  <c r="BC89" i="3" s="1"/>
  <c r="A149" i="3"/>
  <c r="A161" i="3" s="1"/>
  <c r="CA90" i="3"/>
  <c r="CC89" i="3" s="1"/>
  <c r="BN90" i="3"/>
  <c r="BP89" i="3" s="1"/>
  <c r="AA90" i="3"/>
  <c r="AC89" i="3" s="1"/>
  <c r="A9" i="6"/>
  <c r="BA92" i="3"/>
  <c r="BC91" i="3" s="1"/>
  <c r="DA92" i="3"/>
  <c r="DC91" i="3" s="1"/>
  <c r="BN92" i="3"/>
  <c r="BP91" i="3" s="1"/>
  <c r="CN92" i="3"/>
  <c r="CP91" i="3" s="1"/>
  <c r="CA92" i="3"/>
  <c r="CC91" i="3" s="1"/>
  <c r="AN92" i="3"/>
  <c r="AP91" i="3" s="1"/>
  <c r="A151" i="3"/>
  <c r="A163" i="3" s="1"/>
  <c r="AA92" i="3"/>
  <c r="AC91" i="3" s="1"/>
  <c r="N92" i="3"/>
  <c r="P91" i="3" s="1"/>
  <c r="A4" i="6"/>
  <c r="AA87" i="3"/>
  <c r="AC86" i="3" s="1"/>
  <c r="BN87" i="3"/>
  <c r="BP86" i="3" s="1"/>
  <c r="CA87" i="3"/>
  <c r="CC86" i="3" s="1"/>
  <c r="BA87" i="3"/>
  <c r="BC86" i="3" s="1"/>
  <c r="AN87" i="3"/>
  <c r="AP86" i="3" s="1"/>
  <c r="N87" i="3"/>
  <c r="P86" i="3" s="1"/>
  <c r="CN87" i="3"/>
  <c r="CP86" i="3" s="1"/>
  <c r="A146" i="3"/>
  <c r="A158" i="3" s="1"/>
  <c r="DA87" i="3"/>
  <c r="DC86" i="3" s="1"/>
  <c r="CN88" i="3"/>
  <c r="CP87" i="3" s="1"/>
  <c r="BN88" i="3"/>
  <c r="BP87" i="3" s="1"/>
  <c r="DA88" i="3"/>
  <c r="DC87" i="3" s="1"/>
  <c r="CA88" i="3"/>
  <c r="CC87" i="3" s="1"/>
  <c r="BA88" i="3"/>
  <c r="BC87" i="3" s="1"/>
  <c r="A147" i="3"/>
  <c r="A159" i="3" s="1"/>
  <c r="AN88" i="3"/>
  <c r="AP87" i="3" s="1"/>
  <c r="AA88" i="3"/>
  <c r="AC87" i="3" s="1"/>
  <c r="N88" i="3"/>
  <c r="P87" i="3" s="1"/>
  <c r="A8" i="6"/>
  <c r="AN91" i="3"/>
  <c r="AP90" i="3" s="1"/>
  <c r="N91" i="3"/>
  <c r="P90" i="3" s="1"/>
  <c r="BA91" i="3"/>
  <c r="BC90" i="3" s="1"/>
  <c r="AA91" i="3"/>
  <c r="AC90" i="3" s="1"/>
  <c r="BN91" i="3"/>
  <c r="BP90" i="3" s="1"/>
  <c r="DA91" i="3"/>
  <c r="DC90" i="3" s="1"/>
  <c r="A150" i="3"/>
  <c r="A162" i="3" s="1"/>
  <c r="CA91" i="3"/>
  <c r="CC90" i="3" s="1"/>
  <c r="CN91" i="3"/>
  <c r="CP90" i="3" s="1"/>
  <c r="AN86" i="3"/>
  <c r="AP85" i="3" s="1"/>
  <c r="AA86" i="3"/>
  <c r="AC85" i="3" s="1"/>
  <c r="N86" i="3"/>
  <c r="P85" i="3" s="1"/>
  <c r="A145" i="3"/>
  <c r="A157" i="3" s="1"/>
  <c r="CA86" i="3"/>
  <c r="CC85" i="3" s="1"/>
  <c r="DA86" i="3"/>
  <c r="DC85" i="3" s="1"/>
  <c r="BN86" i="3"/>
  <c r="BP85" i="3" s="1"/>
  <c r="CN86" i="3"/>
  <c r="CP85" i="3" s="1"/>
  <c r="BA86" i="3"/>
  <c r="BC85" i="3" s="1"/>
  <c r="A2" i="6"/>
  <c r="DA85" i="3"/>
  <c r="A144" i="3"/>
  <c r="A156" i="3" s="1"/>
  <c r="CN85" i="3"/>
  <c r="BA85" i="3"/>
  <c r="AN85" i="3"/>
  <c r="AA85" i="3"/>
  <c r="CA85" i="3"/>
  <c r="N85" i="3"/>
  <c r="BN85" i="3"/>
  <c r="CN89" i="3"/>
  <c r="DA89" i="3"/>
  <c r="CA89" i="3"/>
  <c r="AN89" i="3"/>
  <c r="AA89" i="3"/>
  <c r="BN89" i="3"/>
  <c r="N89" i="3"/>
  <c r="BA89" i="3"/>
  <c r="A148" i="3"/>
  <c r="A160" i="3" s="1"/>
  <c r="C85" i="3"/>
  <c r="A3" i="6"/>
  <c r="C88" i="3"/>
  <c r="A6" i="6"/>
  <c r="C87" i="3"/>
  <c r="A5" i="6"/>
  <c r="BR14" i="3"/>
  <c r="Q14" i="3"/>
  <c r="AD14" i="3"/>
  <c r="AQ14" i="3"/>
  <c r="C91" i="3"/>
  <c r="C86" i="3"/>
  <c r="C89" i="3"/>
  <c r="C90" i="3"/>
  <c r="B98" i="3" a="1"/>
  <c r="B12" i="6" a="1"/>
  <c r="B17" i="3"/>
  <c r="B75" i="3"/>
  <c r="BB45" i="3"/>
  <c r="BB30" i="3"/>
  <c r="BB35" i="3"/>
  <c r="BB59" i="3"/>
  <c r="BB33" i="3"/>
  <c r="BB63" i="3"/>
  <c r="BB44" i="3"/>
  <c r="BB28" i="3"/>
  <c r="BB43" i="3"/>
  <c r="BB37" i="3"/>
  <c r="BB29" i="3"/>
  <c r="BB55" i="3"/>
  <c r="BB34" i="3"/>
  <c r="BB31" i="3"/>
  <c r="BB52" i="3"/>
  <c r="BB66" i="3"/>
  <c r="BB39" i="3"/>
  <c r="BB50" i="3"/>
  <c r="BB32" i="3"/>
  <c r="BB41" i="3"/>
  <c r="BB47" i="3"/>
  <c r="BB27" i="3"/>
  <c r="BB53" i="3"/>
  <c r="BB65" i="3"/>
  <c r="BB58" i="3"/>
  <c r="BB42" i="3"/>
  <c r="BB54" i="3"/>
  <c r="BB56" i="3"/>
  <c r="BB49" i="3"/>
  <c r="BB36" i="3"/>
  <c r="BB60" i="3"/>
  <c r="BB64" i="3"/>
  <c r="BB48" i="3"/>
  <c r="BB38" i="3"/>
  <c r="BB46" i="3"/>
  <c r="BB62" i="3"/>
  <c r="BB40" i="3"/>
  <c r="BB57" i="3"/>
  <c r="BB61" i="3"/>
  <c r="BB51" i="3"/>
  <c r="BB67" i="3"/>
  <c r="AO59" i="3"/>
  <c r="AO53" i="3"/>
  <c r="AO34" i="3"/>
  <c r="AO38" i="3"/>
  <c r="AO43" i="3"/>
  <c r="AO32" i="3"/>
  <c r="AO27" i="3"/>
  <c r="AO37" i="3"/>
  <c r="AO56" i="3"/>
  <c r="AO52" i="3"/>
  <c r="AO50" i="3"/>
  <c r="AO58" i="3"/>
  <c r="AO39" i="3"/>
  <c r="AO36" i="3"/>
  <c r="AO48" i="3"/>
  <c r="AO47" i="3"/>
  <c r="AO41" i="3"/>
  <c r="AO66" i="3"/>
  <c r="AO54" i="3"/>
  <c r="AO63" i="3"/>
  <c r="AO67" i="3"/>
  <c r="AO40" i="3"/>
  <c r="AO33" i="3"/>
  <c r="AO45" i="3"/>
  <c r="AO30" i="3"/>
  <c r="AO61" i="3"/>
  <c r="AO62" i="3"/>
  <c r="AO31" i="3"/>
  <c r="AO29" i="3"/>
  <c r="AO51" i="3"/>
  <c r="AO35" i="3"/>
  <c r="AO65" i="3"/>
  <c r="AO42" i="3"/>
  <c r="AO55" i="3"/>
  <c r="AO60" i="3"/>
  <c r="AO44" i="3"/>
  <c r="AO49" i="3"/>
  <c r="AO57" i="3"/>
  <c r="AO28" i="3"/>
  <c r="AO46" i="3"/>
  <c r="AO64" i="3"/>
  <c r="AB59" i="3"/>
  <c r="AB38" i="3"/>
  <c r="AB27" i="3"/>
  <c r="AB47" i="3"/>
  <c r="AB36" i="3"/>
  <c r="AB42" i="3"/>
  <c r="AB63" i="3"/>
  <c r="AB60" i="3"/>
  <c r="AB39" i="3"/>
  <c r="AB35" i="3"/>
  <c r="AB43" i="3"/>
  <c r="AB52" i="3"/>
  <c r="AB61" i="3"/>
  <c r="AB33" i="3"/>
  <c r="AB51" i="3"/>
  <c r="AB58" i="3"/>
  <c r="AB54" i="3"/>
  <c r="AB67" i="3"/>
  <c r="AB55" i="3"/>
  <c r="AB44" i="3"/>
  <c r="AB31" i="3"/>
  <c r="AB40" i="3"/>
  <c r="AB57" i="3"/>
  <c r="AB53" i="3"/>
  <c r="AB37" i="3"/>
  <c r="AB50" i="3"/>
  <c r="AB28" i="3"/>
  <c r="AB65" i="3"/>
  <c r="AB41" i="3"/>
  <c r="AB45" i="3"/>
  <c r="AB34" i="3"/>
  <c r="AB29" i="3"/>
  <c r="AB66" i="3"/>
  <c r="AB32" i="3"/>
  <c r="AB62" i="3"/>
  <c r="AB46" i="3"/>
  <c r="AB56" i="3"/>
  <c r="AB48" i="3"/>
  <c r="AB30" i="3"/>
  <c r="AB64" i="3"/>
  <c r="AB49" i="3"/>
  <c r="CB60" i="3"/>
  <c r="CB48" i="3"/>
  <c r="CB51" i="3"/>
  <c r="CB65" i="3"/>
  <c r="CB58" i="3"/>
  <c r="CB38" i="3"/>
  <c r="CB44" i="3"/>
  <c r="CB53" i="3"/>
  <c r="CB66" i="3"/>
  <c r="CB37" i="3"/>
  <c r="CB52" i="3"/>
  <c r="CB35" i="3"/>
  <c r="CB57" i="3"/>
  <c r="CB49" i="3"/>
  <c r="CB39" i="3"/>
  <c r="CB27" i="3"/>
  <c r="CB28" i="3"/>
  <c r="CB43" i="3"/>
  <c r="CB55" i="3"/>
  <c r="CB50" i="3"/>
  <c r="CB42" i="3"/>
  <c r="CB63" i="3"/>
  <c r="CB40" i="3"/>
  <c r="CB30" i="3"/>
  <c r="CB36" i="3"/>
  <c r="CB29" i="3"/>
  <c r="CB46" i="3"/>
  <c r="CB59" i="3"/>
  <c r="CB32" i="3"/>
  <c r="CB62" i="3"/>
  <c r="CB67" i="3"/>
  <c r="CB56" i="3"/>
  <c r="CB45" i="3"/>
  <c r="CB64" i="3"/>
  <c r="CB31" i="3"/>
  <c r="CB47" i="3"/>
  <c r="CB61" i="3"/>
  <c r="CB34" i="3"/>
  <c r="CB54" i="3"/>
  <c r="CB33" i="3"/>
  <c r="CB41" i="3"/>
  <c r="CQ14" i="3"/>
  <c r="CO42" i="3"/>
  <c r="CO54" i="3"/>
  <c r="CO64" i="3"/>
  <c r="CO60" i="3"/>
  <c r="CO41" i="3"/>
  <c r="CO38" i="3"/>
  <c r="CO30" i="3"/>
  <c r="CO50" i="3"/>
  <c r="CO36" i="3"/>
  <c r="CO45" i="3"/>
  <c r="CO67" i="3"/>
  <c r="CO31" i="3"/>
  <c r="CO59" i="3"/>
  <c r="CO53" i="3"/>
  <c r="CO61" i="3"/>
  <c r="CO39" i="3"/>
  <c r="CO43" i="3"/>
  <c r="CO37" i="3"/>
  <c r="CO33" i="3"/>
  <c r="CO63" i="3"/>
  <c r="CO55" i="3"/>
  <c r="CO29" i="3"/>
  <c r="CO62" i="3"/>
  <c r="CO27" i="3"/>
  <c r="CO58" i="3"/>
  <c r="CO56" i="3"/>
  <c r="CO57" i="3"/>
  <c r="CO46" i="3"/>
  <c r="CO32" i="3"/>
  <c r="CO51" i="3"/>
  <c r="CO35" i="3"/>
  <c r="CO40" i="3"/>
  <c r="CO52" i="3"/>
  <c r="CO34" i="3"/>
  <c r="CO66" i="3"/>
  <c r="CO47" i="3"/>
  <c r="CO44" i="3"/>
  <c r="CO49" i="3"/>
  <c r="CO65" i="3"/>
  <c r="CO48" i="3"/>
  <c r="CO28" i="3"/>
  <c r="BO48" i="3"/>
  <c r="BO37" i="3"/>
  <c r="BO61" i="3"/>
  <c r="BO62" i="3"/>
  <c r="BO36" i="3"/>
  <c r="BO45" i="3"/>
  <c r="BO58" i="3"/>
  <c r="BO51" i="3"/>
  <c r="BO29" i="3"/>
  <c r="BO42" i="3"/>
  <c r="BO63" i="3"/>
  <c r="BO56" i="3"/>
  <c r="BO46" i="3"/>
  <c r="BO66" i="3"/>
  <c r="BO55" i="3"/>
  <c r="BO38" i="3"/>
  <c r="BO50" i="3"/>
  <c r="BO43" i="3"/>
  <c r="BO30" i="3"/>
  <c r="BO67" i="3"/>
  <c r="BO65" i="3"/>
  <c r="BO34" i="3"/>
  <c r="BO32" i="3"/>
  <c r="BO59" i="3"/>
  <c r="BO64" i="3"/>
  <c r="BO47" i="3"/>
  <c r="BO60" i="3"/>
  <c r="BO40" i="3"/>
  <c r="BO35" i="3"/>
  <c r="BO28" i="3"/>
  <c r="BO53" i="3"/>
  <c r="BO49" i="3"/>
  <c r="BO39" i="3"/>
  <c r="BO31" i="3"/>
  <c r="BO52" i="3"/>
  <c r="BO27" i="3"/>
  <c r="BO54" i="3"/>
  <c r="BO44" i="3"/>
  <c r="BO41" i="3"/>
  <c r="BO57" i="3"/>
  <c r="BO33" i="3"/>
  <c r="CD14" i="3"/>
  <c r="DD14" i="3"/>
  <c r="O61" i="3"/>
  <c r="O65" i="3"/>
  <c r="O36" i="3"/>
  <c r="O44" i="3"/>
  <c r="O52" i="3"/>
  <c r="O51" i="3"/>
  <c r="O41" i="3"/>
  <c r="O42" i="3"/>
  <c r="O37" i="3"/>
  <c r="O35" i="3"/>
  <c r="O50" i="3"/>
  <c r="O28" i="3"/>
  <c r="O63" i="3"/>
  <c r="O40" i="3"/>
  <c r="O33" i="3"/>
  <c r="O29" i="3"/>
  <c r="O55" i="3"/>
  <c r="O66" i="3"/>
  <c r="O57" i="3"/>
  <c r="O30" i="3"/>
  <c r="O43" i="3"/>
  <c r="O34" i="3"/>
  <c r="O62" i="3"/>
  <c r="O60" i="3"/>
  <c r="O64" i="3"/>
  <c r="O45" i="3"/>
  <c r="O38" i="3"/>
  <c r="O46" i="3"/>
  <c r="O32" i="3"/>
  <c r="O48" i="3"/>
  <c r="O67" i="3"/>
  <c r="O49" i="3"/>
  <c r="O53" i="3"/>
  <c r="O56" i="3"/>
  <c r="O31" i="3"/>
  <c r="O39" i="3"/>
  <c r="O59" i="3"/>
  <c r="O54" i="3"/>
  <c r="O27" i="3"/>
  <c r="O47" i="3"/>
  <c r="O58" i="3"/>
  <c r="BD14" i="3"/>
  <c r="O16" i="3"/>
  <c r="BO16" i="3"/>
  <c r="DB16" i="3"/>
  <c r="BB16" i="3"/>
  <c r="CB16" i="3"/>
  <c r="CO16" i="3"/>
  <c r="AO16" i="3"/>
  <c r="AB16" i="3"/>
  <c r="DB40" i="3"/>
  <c r="DB52" i="3"/>
  <c r="DB39" i="3"/>
  <c r="DB44" i="3"/>
  <c r="DB58" i="3"/>
  <c r="DB36" i="3"/>
  <c r="DB67" i="3"/>
  <c r="DB63" i="3"/>
  <c r="DB46" i="3"/>
  <c r="DB42" i="3"/>
  <c r="DB34" i="3"/>
  <c r="DB29" i="3"/>
  <c r="DB32" i="3"/>
  <c r="DB59" i="3"/>
  <c r="DB56" i="3"/>
  <c r="DB41" i="3"/>
  <c r="DB48" i="3"/>
  <c r="DB30" i="3"/>
  <c r="DB35" i="3"/>
  <c r="DB64" i="3"/>
  <c r="DB33" i="3"/>
  <c r="DB31" i="3"/>
  <c r="DB55" i="3"/>
  <c r="DB62" i="3"/>
  <c r="DB43" i="3"/>
  <c r="DB61" i="3"/>
  <c r="DB49" i="3"/>
  <c r="DB47" i="3"/>
  <c r="DB37" i="3"/>
  <c r="DB45" i="3"/>
  <c r="DB50" i="3"/>
  <c r="DB51" i="3"/>
  <c r="DB57" i="3"/>
  <c r="DB54" i="3"/>
  <c r="DB66" i="3"/>
  <c r="DB60" i="3"/>
  <c r="DB38" i="3"/>
  <c r="DB65" i="3"/>
  <c r="DB28" i="3"/>
  <c r="DB27" i="3"/>
  <c r="DB53" i="3"/>
  <c r="D15" i="3"/>
  <c r="E15" i="3" s="1"/>
  <c r="I19" i="6" l="1"/>
  <c r="J18" i="6"/>
  <c r="AN160" i="3"/>
  <c r="B169" i="3" a="1"/>
  <c r="BA160" i="3"/>
  <c r="A219" i="3"/>
  <c r="CN160" i="3"/>
  <c r="C159" i="3"/>
  <c r="AA160" i="3"/>
  <c r="BN160" i="3"/>
  <c r="CA160" i="3"/>
  <c r="DA160" i="3"/>
  <c r="N160" i="3"/>
  <c r="DA156" i="3"/>
  <c r="AN156" i="3"/>
  <c r="BA156" i="3"/>
  <c r="BN156" i="3"/>
  <c r="CA156" i="3"/>
  <c r="A215" i="3"/>
  <c r="N156" i="3"/>
  <c r="AA156" i="3"/>
  <c r="CN156" i="3"/>
  <c r="AN158" i="3"/>
  <c r="AP157" i="3" s="1"/>
  <c r="A217" i="3"/>
  <c r="C157" i="3"/>
  <c r="CN158" i="3"/>
  <c r="CP157" i="3" s="1"/>
  <c r="DA158" i="3"/>
  <c r="DC157" i="3" s="1"/>
  <c r="BN158" i="3"/>
  <c r="BP157" i="3" s="1"/>
  <c r="BA158" i="3"/>
  <c r="BC157" i="3" s="1"/>
  <c r="N158" i="3"/>
  <c r="P157" i="3" s="1"/>
  <c r="AA158" i="3"/>
  <c r="AC157" i="3" s="1"/>
  <c r="CA158" i="3"/>
  <c r="CC157" i="3" s="1"/>
  <c r="A216" i="3"/>
  <c r="AA157" i="3"/>
  <c r="AC156" i="3" s="1"/>
  <c r="N157" i="3"/>
  <c r="P156" i="3" s="1"/>
  <c r="C156" i="3"/>
  <c r="CN157" i="3"/>
  <c r="CP156" i="3" s="1"/>
  <c r="DA157" i="3"/>
  <c r="DC156" i="3" s="1"/>
  <c r="BN157" i="3"/>
  <c r="BP156" i="3" s="1"/>
  <c r="BA157" i="3"/>
  <c r="BC156" i="3" s="1"/>
  <c r="AN157" i="3"/>
  <c r="AP156" i="3" s="1"/>
  <c r="CA157" i="3"/>
  <c r="CC156" i="3" s="1"/>
  <c r="C158" i="3"/>
  <c r="AN159" i="3"/>
  <c r="AP158" i="3" s="1"/>
  <c r="A218" i="3"/>
  <c r="BA159" i="3"/>
  <c r="BC158" i="3" s="1"/>
  <c r="N159" i="3"/>
  <c r="P158" i="3" s="1"/>
  <c r="CN159" i="3"/>
  <c r="CP158" i="3" s="1"/>
  <c r="BN159" i="3"/>
  <c r="BP158" i="3" s="1"/>
  <c r="AA159" i="3"/>
  <c r="AC158" i="3" s="1"/>
  <c r="DA159" i="3"/>
  <c r="DC158" i="3" s="1"/>
  <c r="CA159" i="3"/>
  <c r="CC158" i="3" s="1"/>
  <c r="AA163" i="3"/>
  <c r="AC162" i="3" s="1"/>
  <c r="BA163" i="3"/>
  <c r="BC162" i="3" s="1"/>
  <c r="CA163" i="3"/>
  <c r="CC162" i="3" s="1"/>
  <c r="N163" i="3"/>
  <c r="P162" i="3" s="1"/>
  <c r="A222" i="3"/>
  <c r="CN163" i="3"/>
  <c r="CP162" i="3" s="1"/>
  <c r="BN163" i="3"/>
  <c r="BP162" i="3" s="1"/>
  <c r="C162" i="3"/>
  <c r="AN163" i="3"/>
  <c r="AP162" i="3" s="1"/>
  <c r="DA163" i="3"/>
  <c r="DC162" i="3" s="1"/>
  <c r="BN161" i="3"/>
  <c r="BP160" i="3" s="1"/>
  <c r="BA161" i="3"/>
  <c r="BC160" i="3" s="1"/>
  <c r="C160" i="3"/>
  <c r="DA161" i="3"/>
  <c r="DC160" i="3" s="1"/>
  <c r="N161" i="3"/>
  <c r="P160" i="3" s="1"/>
  <c r="A220" i="3"/>
  <c r="CA161" i="3"/>
  <c r="CC160" i="3" s="1"/>
  <c r="AN161" i="3"/>
  <c r="AP160" i="3" s="1"/>
  <c r="CN161" i="3"/>
  <c r="CP160" i="3" s="1"/>
  <c r="AA161" i="3"/>
  <c r="AC160" i="3" s="1"/>
  <c r="A221" i="3"/>
  <c r="N162" i="3"/>
  <c r="P161" i="3" s="1"/>
  <c r="C161" i="3"/>
  <c r="BN162" i="3"/>
  <c r="BP161" i="3" s="1"/>
  <c r="AN162" i="3"/>
  <c r="AP161" i="3" s="1"/>
  <c r="DA162" i="3"/>
  <c r="DC161" i="3" s="1"/>
  <c r="CN162" i="3"/>
  <c r="CP161" i="3" s="1"/>
  <c r="AA162" i="3"/>
  <c r="AC161" i="3" s="1"/>
  <c r="BA162" i="3"/>
  <c r="BC161" i="3" s="1"/>
  <c r="CA162" i="3"/>
  <c r="CC161" i="3" s="1"/>
  <c r="AG150" i="3"/>
  <c r="A304" i="3"/>
  <c r="AG146" i="3"/>
  <c r="A300" i="3"/>
  <c r="AG148" i="3"/>
  <c r="A302" i="3"/>
  <c r="BC88" i="3"/>
  <c r="BB98" i="3" a="1"/>
  <c r="BP88" i="3"/>
  <c r="BO98" i="3" a="1"/>
  <c r="AC88" i="3"/>
  <c r="AB98" i="3" a="1"/>
  <c r="AP88" i="3"/>
  <c r="AO98" i="3" a="1"/>
  <c r="CC88" i="3"/>
  <c r="CB98" i="3" a="1"/>
  <c r="AG149" i="3"/>
  <c r="A303" i="3"/>
  <c r="DC88" i="3"/>
  <c r="DB98" i="3" a="1"/>
  <c r="AG145" i="3"/>
  <c r="A299" i="3"/>
  <c r="O98" i="3" a="1"/>
  <c r="P88" i="3"/>
  <c r="AG147" i="3"/>
  <c r="A301" i="3"/>
  <c r="AG151" i="3"/>
  <c r="A305" i="3"/>
  <c r="A298" i="3"/>
  <c r="A15" i="4" s="1"/>
  <c r="AG144" i="3"/>
  <c r="CP88" i="3"/>
  <c r="CO98" i="3" a="1"/>
  <c r="DE14" i="3"/>
  <c r="CR14" i="3"/>
  <c r="CE14" i="3"/>
  <c r="BE14" i="3"/>
  <c r="AR14" i="3"/>
  <c r="AE14" i="3"/>
  <c r="R14" i="3"/>
  <c r="Q15" i="3"/>
  <c r="AD15" i="3"/>
  <c r="AE15" i="3" s="1"/>
  <c r="AQ15" i="3"/>
  <c r="AR15" i="3" s="1"/>
  <c r="G14" i="3"/>
  <c r="B18" i="3"/>
  <c r="B76" i="3"/>
  <c r="B211" i="6"/>
  <c r="B865" i="6"/>
  <c r="B1003" i="6"/>
  <c r="B976" i="6"/>
  <c r="B850" i="6"/>
  <c r="B512" i="6"/>
  <c r="B484" i="6"/>
  <c r="B670" i="6"/>
  <c r="B463" i="6"/>
  <c r="B836" i="6"/>
  <c r="B339" i="6"/>
  <c r="B126" i="6"/>
  <c r="B130" i="6"/>
  <c r="B107" i="6"/>
  <c r="B768" i="6"/>
  <c r="B813" i="6"/>
  <c r="B329" i="6"/>
  <c r="B137" i="6"/>
  <c r="B84" i="6"/>
  <c r="B541" i="6"/>
  <c r="B664" i="6"/>
  <c r="B472" i="6"/>
  <c r="B419" i="6"/>
  <c r="B269" i="6"/>
  <c r="B979" i="6"/>
  <c r="B801" i="6"/>
  <c r="B859" i="6"/>
  <c r="B718" i="6"/>
  <c r="B213" i="6"/>
  <c r="B599" i="6"/>
  <c r="B281" i="6"/>
  <c r="B174" i="6"/>
  <c r="B548" i="6"/>
  <c r="B100" i="6"/>
  <c r="B616" i="6"/>
  <c r="B812" i="6"/>
  <c r="B870" i="6"/>
  <c r="B435" i="6"/>
  <c r="B934" i="6"/>
  <c r="B540" i="6"/>
  <c r="B154" i="6"/>
  <c r="B766" i="6"/>
  <c r="B244" i="6"/>
  <c r="B268" i="6"/>
  <c r="B799" i="6"/>
  <c r="B297" i="6"/>
  <c r="B881" i="6"/>
  <c r="B132" i="6"/>
  <c r="B600" i="6"/>
  <c r="B931" i="6"/>
  <c r="B721" i="6"/>
  <c r="B776" i="6"/>
  <c r="B433" i="6"/>
  <c r="B228" i="6"/>
  <c r="B738" i="6"/>
  <c r="B794" i="6"/>
  <c r="B452" i="6"/>
  <c r="B288" i="6"/>
  <c r="B544" i="6"/>
  <c r="B791" i="6"/>
  <c r="B207" i="6"/>
  <c r="B956" i="6"/>
  <c r="B547" i="6"/>
  <c r="B177" i="6"/>
  <c r="B325" i="6"/>
  <c r="B699" i="6"/>
  <c r="B384" i="6"/>
  <c r="B832" i="6"/>
  <c r="B490" i="6"/>
  <c r="B405" i="6"/>
  <c r="B32" i="6"/>
  <c r="B827" i="6"/>
  <c r="B826" i="6"/>
  <c r="B730" i="6"/>
  <c r="B845" i="6"/>
  <c r="B291" i="6"/>
  <c r="B99" i="6"/>
  <c r="B43" i="6"/>
  <c r="B573" i="6"/>
  <c r="B626" i="6"/>
  <c r="B434" i="6"/>
  <c r="B378" i="6"/>
  <c r="B301" i="6"/>
  <c r="B943" i="6"/>
  <c r="B763" i="6"/>
  <c r="B823" i="6"/>
  <c r="B29" i="6"/>
  <c r="B175" i="6"/>
  <c r="B343" i="6"/>
  <c r="B243" i="6"/>
  <c r="B238" i="6"/>
  <c r="B507" i="6"/>
  <c r="B59" i="6"/>
  <c r="B578" i="6"/>
  <c r="B844" i="6"/>
  <c r="B834" i="6"/>
  <c r="B394" i="6"/>
  <c r="B898" i="6"/>
  <c r="B572" i="6"/>
  <c r="B116" i="6"/>
  <c r="B728" i="6"/>
  <c r="B203" i="6"/>
  <c r="B300" i="6"/>
  <c r="B451" i="6"/>
  <c r="B1007" i="6"/>
  <c r="B538" i="6"/>
  <c r="B28" i="6"/>
  <c r="B779" i="6"/>
  <c r="B278" i="6"/>
  <c r="B863" i="6"/>
  <c r="B113" i="6"/>
  <c r="B502" i="6"/>
  <c r="B913" i="6"/>
  <c r="B112" i="6"/>
  <c r="B758" i="6"/>
  <c r="B411" i="6"/>
  <c r="B187" i="6"/>
  <c r="B884" i="6"/>
  <c r="B521" i="6"/>
  <c r="B634" i="6"/>
  <c r="B633" i="6"/>
  <c r="B909" i="6"/>
  <c r="B619" i="6"/>
  <c r="B128" i="6"/>
  <c r="B655" i="6"/>
  <c r="B893" i="6"/>
  <c r="B471" i="6"/>
  <c r="B694" i="6"/>
  <c r="B700" i="6"/>
  <c r="B877" i="6"/>
  <c r="B324" i="6"/>
  <c r="B800" i="6"/>
  <c r="B298" i="6"/>
  <c r="B190" i="6"/>
  <c r="B272" i="6"/>
  <c r="B80" i="6"/>
  <c r="B24" i="6"/>
  <c r="B589" i="6"/>
  <c r="B607" i="6"/>
  <c r="B415" i="6"/>
  <c r="B359" i="6"/>
  <c r="B317" i="6"/>
  <c r="B923" i="6"/>
  <c r="B745" i="6"/>
  <c r="B805" i="6"/>
  <c r="B45" i="6"/>
  <c r="B153" i="6"/>
  <c r="B49" i="6"/>
  <c r="B224" i="6"/>
  <c r="B270" i="6"/>
  <c r="B488" i="6"/>
  <c r="B40" i="6"/>
  <c r="B559" i="6"/>
  <c r="B860" i="6"/>
  <c r="B816" i="6"/>
  <c r="B375" i="6"/>
  <c r="B880" i="6"/>
  <c r="B588" i="6"/>
  <c r="B97" i="6"/>
  <c r="B709" i="6"/>
  <c r="B184" i="6"/>
  <c r="B316" i="6"/>
  <c r="B432" i="6"/>
  <c r="B711" i="6"/>
  <c r="B519" i="6"/>
  <c r="B44" i="6"/>
  <c r="B761" i="6"/>
  <c r="B259" i="6"/>
  <c r="B843" i="6"/>
  <c r="B169" i="6"/>
  <c r="B969" i="6"/>
  <c r="B594" i="6"/>
  <c r="B149" i="6"/>
  <c r="B426" i="6"/>
  <c r="B79" i="6"/>
  <c r="B772" i="6"/>
  <c r="B903" i="6"/>
  <c r="B951" i="6"/>
  <c r="B726" i="6"/>
  <c r="B219" i="6"/>
  <c r="B318" i="6"/>
  <c r="B193" i="6"/>
  <c r="B642" i="6"/>
  <c r="B968" i="6"/>
  <c r="B653" i="6"/>
  <c r="B212" i="6"/>
  <c r="B20" i="6"/>
  <c r="B986" i="6"/>
  <c r="B637" i="6"/>
  <c r="B782" i="6"/>
  <c r="B109" i="6"/>
  <c r="B26" i="6"/>
  <c r="B851" i="6"/>
  <c r="B755" i="6"/>
  <c r="B659" i="6"/>
  <c r="B693" i="6"/>
  <c r="B861" i="6"/>
  <c r="B585" i="6"/>
  <c r="B393" i="6"/>
  <c r="B340" i="6"/>
  <c r="B333" i="6"/>
  <c r="B905" i="6"/>
  <c r="B727" i="6"/>
  <c r="B769" i="6"/>
  <c r="B61" i="6"/>
  <c r="B134" i="6"/>
  <c r="B731" i="6"/>
  <c r="B202" i="6"/>
  <c r="B302" i="6"/>
  <c r="B469" i="6"/>
  <c r="B21" i="6"/>
  <c r="B537" i="6"/>
  <c r="B876" i="6"/>
  <c r="B798" i="6"/>
  <c r="B356" i="6"/>
  <c r="B862" i="6"/>
  <c r="B604" i="6"/>
  <c r="B75" i="6"/>
  <c r="B691" i="6"/>
  <c r="B165" i="6"/>
  <c r="B332" i="6"/>
  <c r="B410" i="6"/>
  <c r="B1002" i="6"/>
  <c r="B500" i="6"/>
  <c r="B60" i="6"/>
  <c r="B743" i="6"/>
  <c r="B240" i="6"/>
  <c r="B825" i="6"/>
  <c r="B849" i="6"/>
  <c r="B577" i="6"/>
  <c r="B575" i="6"/>
  <c r="B387" i="6"/>
  <c r="B91" i="6"/>
  <c r="B442" i="6"/>
  <c r="B895" i="6"/>
  <c r="B368" i="6"/>
  <c r="B740" i="6"/>
  <c r="B392" i="6"/>
  <c r="B70" i="6"/>
  <c r="B466" i="6"/>
  <c r="B464" i="6"/>
  <c r="B804" i="6"/>
  <c r="B595" i="6"/>
  <c r="B925" i="6"/>
  <c r="B506" i="6"/>
  <c r="B314" i="6"/>
  <c r="B261" i="6"/>
  <c r="B397" i="6"/>
  <c r="B528" i="6"/>
  <c r="B336" i="6"/>
  <c r="B280" i="6"/>
  <c r="B381" i="6"/>
  <c r="B39" i="6"/>
  <c r="B430" i="6"/>
  <c r="B342" i="6"/>
  <c r="B953" i="6"/>
  <c r="B1009" i="6"/>
  <c r="B250" i="6"/>
  <c r="B58" i="6"/>
  <c r="B208" i="6"/>
  <c r="B605" i="6"/>
  <c r="B887" i="6"/>
  <c r="B708" i="6"/>
  <c r="B751" i="6"/>
  <c r="B77" i="6"/>
  <c r="B115" i="6"/>
  <c r="B614" i="6"/>
  <c r="B183" i="6"/>
  <c r="B334" i="6"/>
  <c r="B450" i="6"/>
  <c r="B661" i="6"/>
  <c r="B518" i="6"/>
  <c r="B892" i="6"/>
  <c r="B778" i="6"/>
  <c r="B337" i="6"/>
  <c r="B842" i="6"/>
  <c r="B620" i="6"/>
  <c r="B56" i="6"/>
  <c r="B672" i="6"/>
  <c r="B146" i="6"/>
  <c r="B348" i="6"/>
  <c r="B391" i="6"/>
  <c r="B984" i="6"/>
  <c r="B481" i="6"/>
  <c r="B76" i="6"/>
  <c r="B725" i="6"/>
  <c r="B218" i="6"/>
  <c r="B807" i="6"/>
  <c r="B866" i="6"/>
  <c r="B1006" i="6"/>
  <c r="B553" i="6"/>
  <c r="B624" i="6"/>
  <c r="B72" i="6"/>
  <c r="B404" i="6"/>
  <c r="B875" i="6"/>
  <c r="B601" i="6"/>
  <c r="B407" i="6"/>
  <c r="B57" i="6"/>
  <c r="B697" i="6"/>
  <c r="B680" i="6"/>
  <c r="B615" i="6"/>
  <c r="B707" i="6"/>
  <c r="B200" i="6"/>
  <c r="B350" i="6"/>
  <c r="B171" i="6"/>
  <c r="B582" i="6"/>
  <c r="B950" i="6"/>
  <c r="B669" i="6"/>
  <c r="B815" i="6"/>
  <c r="B630" i="6"/>
  <c r="B656" i="6"/>
  <c r="B141" i="6"/>
  <c r="B833" i="6"/>
  <c r="B649" i="6"/>
  <c r="B675" i="6"/>
  <c r="B125" i="6"/>
  <c r="B355" i="6"/>
  <c r="B439" i="6"/>
  <c r="B188" i="6"/>
  <c r="B255" i="6"/>
  <c r="B566" i="6"/>
  <c r="B374" i="6"/>
  <c r="B321" i="6"/>
  <c r="B349" i="6"/>
  <c r="B96" i="6"/>
  <c r="B1001" i="6"/>
  <c r="B164" i="6"/>
  <c r="B366" i="6"/>
  <c r="B431" i="6"/>
  <c r="B623" i="6"/>
  <c r="B499" i="6"/>
  <c r="B908" i="6"/>
  <c r="B760" i="6"/>
  <c r="B315" i="6"/>
  <c r="B824" i="6"/>
  <c r="B636" i="6"/>
  <c r="B37" i="6"/>
  <c r="B650" i="6"/>
  <c r="B127" i="6"/>
  <c r="B364" i="6"/>
  <c r="B372" i="6"/>
  <c r="B966" i="6"/>
  <c r="B459" i="6"/>
  <c r="B92" i="6"/>
  <c r="B706" i="6"/>
  <c r="B199" i="6"/>
  <c r="B789" i="6"/>
  <c r="B191" i="6"/>
  <c r="B554" i="6"/>
  <c r="B534" i="6"/>
  <c r="B793" i="6"/>
  <c r="B53" i="6"/>
  <c r="B344" i="6"/>
  <c r="B857" i="6"/>
  <c r="B775" i="6"/>
  <c r="B388" i="6"/>
  <c r="B38" i="6"/>
  <c r="B580" i="6"/>
  <c r="B848" i="6"/>
  <c r="B722" i="6"/>
  <c r="B373" i="6"/>
  <c r="B1011" i="6"/>
  <c r="B33" i="6"/>
  <c r="B363" i="6"/>
  <c r="B1000" i="6"/>
  <c r="B535" i="6"/>
  <c r="B941" i="6"/>
  <c r="B487" i="6"/>
  <c r="B295" i="6"/>
  <c r="B242" i="6"/>
  <c r="B413" i="6"/>
  <c r="B17" i="6"/>
  <c r="B929" i="6"/>
  <c r="B85" i="6"/>
  <c r="B494" i="6"/>
  <c r="B36" i="6"/>
  <c r="B947" i="6"/>
  <c r="B104" i="6"/>
  <c r="B462" i="6"/>
  <c r="B671" i="6"/>
  <c r="B444" i="6"/>
  <c r="B267" i="6"/>
  <c r="B246" i="6"/>
  <c r="B869" i="6"/>
  <c r="B690" i="6"/>
  <c r="B712" i="6"/>
  <c r="B93" i="6"/>
  <c r="B409" i="6"/>
  <c r="B503" i="6"/>
  <c r="B480" i="6"/>
  <c r="B924" i="6"/>
  <c r="B742" i="6"/>
  <c r="B296" i="6"/>
  <c r="B806" i="6"/>
  <c r="B652" i="6"/>
  <c r="B18" i="6"/>
  <c r="B631" i="6"/>
  <c r="B105" i="6"/>
  <c r="B380" i="6"/>
  <c r="B353" i="6"/>
  <c r="B948" i="6"/>
  <c r="B440" i="6"/>
  <c r="B108" i="6"/>
  <c r="B688" i="6"/>
  <c r="B180" i="6"/>
  <c r="B771" i="6"/>
  <c r="B447" i="6"/>
  <c r="B999" i="6"/>
  <c r="B515" i="6"/>
  <c r="B939" i="6"/>
  <c r="B34" i="6"/>
  <c r="B306" i="6"/>
  <c r="B839" i="6"/>
  <c r="B921" i="6"/>
  <c r="B369" i="6"/>
  <c r="B19" i="6"/>
  <c r="B520" i="6"/>
  <c r="B702" i="6"/>
  <c r="B703" i="6"/>
  <c r="B354" i="6"/>
  <c r="B975" i="6"/>
  <c r="B289" i="6"/>
  <c r="B516" i="6"/>
  <c r="B689" i="6"/>
  <c r="B181" i="6"/>
  <c r="B382" i="6"/>
  <c r="B152" i="6"/>
  <c r="B465" i="6"/>
  <c r="B932" i="6"/>
  <c r="B685" i="6"/>
  <c r="B795" i="6"/>
  <c r="B611" i="6"/>
  <c r="B596" i="6"/>
  <c r="B157" i="6"/>
  <c r="B330" i="6"/>
  <c r="B883" i="6"/>
  <c r="B401" i="6"/>
  <c r="B988" i="6"/>
  <c r="B352" i="6"/>
  <c r="B89" i="6"/>
  <c r="B420" i="6"/>
  <c r="B972" i="6"/>
  <c r="B965" i="6"/>
  <c r="B658" i="6"/>
  <c r="B814" i="6"/>
  <c r="B74" i="6"/>
  <c r="B983" i="6"/>
  <c r="B145" i="6"/>
  <c r="B398" i="6"/>
  <c r="B724" i="6"/>
  <c r="B277" i="6"/>
  <c r="B788" i="6"/>
  <c r="B668" i="6"/>
  <c r="B245" i="6"/>
  <c r="B612" i="6"/>
  <c r="B86" i="6"/>
  <c r="B396" i="6"/>
  <c r="B331" i="6"/>
  <c r="B930" i="6"/>
  <c r="B421" i="6"/>
  <c r="B124" i="6"/>
  <c r="B666" i="6"/>
  <c r="B161" i="6"/>
  <c r="B753" i="6"/>
  <c r="B681" i="6"/>
  <c r="B981" i="6"/>
  <c r="B496" i="6"/>
  <c r="B167" i="6"/>
  <c r="B15" i="6"/>
  <c r="B287" i="6"/>
  <c r="B821" i="6"/>
  <c r="B443" i="6"/>
  <c r="B347" i="6"/>
  <c r="B522" i="6"/>
  <c r="B441" i="6"/>
  <c r="B720" i="6"/>
  <c r="B682" i="6"/>
  <c r="B335" i="6"/>
  <c r="B901" i="6"/>
  <c r="B545" i="6"/>
  <c r="B996" i="6"/>
  <c r="B667" i="6"/>
  <c r="B162" i="6"/>
  <c r="B414" i="6"/>
  <c r="B265" i="6"/>
  <c r="B982" i="6"/>
  <c r="B497" i="6"/>
  <c r="B957" i="6"/>
  <c r="B468" i="6"/>
  <c r="B276" i="6"/>
  <c r="B223" i="6"/>
  <c r="B429" i="6"/>
  <c r="B186" i="6"/>
  <c r="B911" i="6"/>
  <c r="B66" i="6"/>
  <c r="B526" i="6"/>
  <c r="B646" i="6"/>
  <c r="B198" i="6"/>
  <c r="B713" i="6"/>
  <c r="B732" i="6"/>
  <c r="B665" i="6"/>
  <c r="B217" i="6"/>
  <c r="B734" i="6"/>
  <c r="B716" i="6"/>
  <c r="B247" i="6"/>
  <c r="B371" i="6"/>
  <c r="B55" i="6"/>
  <c r="B48" i="6"/>
  <c r="B390" i="6"/>
  <c r="B367" i="6"/>
  <c r="B458" i="6"/>
  <c r="B940" i="6"/>
  <c r="B933" i="6"/>
  <c r="B593" i="6"/>
  <c r="B67" i="6"/>
  <c r="B412" i="6"/>
  <c r="B312" i="6"/>
  <c r="B912" i="6"/>
  <c r="B402" i="6"/>
  <c r="B140" i="6"/>
  <c r="B647" i="6"/>
  <c r="B139" i="6"/>
  <c r="B735" i="6"/>
  <c r="B831" i="6"/>
  <c r="B963" i="6"/>
  <c r="B474" i="6"/>
  <c r="B936" i="6"/>
  <c r="B12" i="6"/>
  <c r="B227" i="6"/>
  <c r="B803" i="6"/>
  <c r="B1012" i="6"/>
  <c r="B328" i="6"/>
  <c r="B424" i="6"/>
  <c r="B362" i="6"/>
  <c r="B523" i="6"/>
  <c r="B663" i="6"/>
  <c r="B313" i="6"/>
  <c r="B847" i="6"/>
  <c r="B739" i="6"/>
  <c r="B978" i="6"/>
  <c r="B648" i="6"/>
  <c r="B143" i="6"/>
  <c r="B446" i="6"/>
  <c r="B69" i="6"/>
  <c r="B964" i="6"/>
  <c r="B475" i="6"/>
  <c r="B973" i="6"/>
  <c r="B133" i="6"/>
  <c r="B307" i="6"/>
  <c r="B914" i="6"/>
  <c r="B701" i="6"/>
  <c r="B777" i="6"/>
  <c r="B592" i="6"/>
  <c r="B555" i="6"/>
  <c r="B173" i="6"/>
  <c r="B311" i="6"/>
  <c r="B581" i="6"/>
  <c r="B379" i="6"/>
  <c r="B1004" i="6"/>
  <c r="B944" i="6"/>
  <c r="B514" i="6"/>
  <c r="B1008" i="6"/>
  <c r="B476" i="6"/>
  <c r="B962" i="6"/>
  <c r="B533" i="6"/>
  <c r="B87" i="6"/>
  <c r="B460" i="6"/>
  <c r="B552" i="6"/>
  <c r="B830" i="6"/>
  <c r="B264" i="6"/>
  <c r="B998" i="6"/>
  <c r="B705" i="6"/>
  <c r="B258" i="6"/>
  <c r="B770" i="6"/>
  <c r="B684" i="6"/>
  <c r="B293" i="6"/>
  <c r="B894" i="6"/>
  <c r="B383" i="6"/>
  <c r="B156" i="6"/>
  <c r="B628" i="6"/>
  <c r="B120" i="6"/>
  <c r="B714" i="6"/>
  <c r="B977" i="6"/>
  <c r="B945" i="6"/>
  <c r="B455" i="6"/>
  <c r="B185" i="6"/>
  <c r="B406" i="6"/>
  <c r="B88" i="6"/>
  <c r="B785" i="6"/>
  <c r="B131" i="6"/>
  <c r="B309" i="6"/>
  <c r="B326" i="6"/>
  <c r="B283" i="6"/>
  <c r="B90" i="6"/>
  <c r="B644" i="6"/>
  <c r="B294" i="6"/>
  <c r="B773" i="6"/>
  <c r="B885" i="6"/>
  <c r="B960" i="6"/>
  <c r="B629" i="6"/>
  <c r="B121" i="6"/>
  <c r="B478" i="6"/>
  <c r="B992" i="6"/>
  <c r="B946" i="6"/>
  <c r="B456" i="6"/>
  <c r="B989" i="6"/>
  <c r="B114" i="6"/>
  <c r="B111" i="6"/>
  <c r="B896" i="6"/>
  <c r="B717" i="6"/>
  <c r="B449" i="6"/>
  <c r="B257" i="6"/>
  <c r="B201" i="6"/>
  <c r="B445" i="6"/>
  <c r="B882" i="6"/>
  <c r="B891" i="6"/>
  <c r="B47" i="6"/>
  <c r="B558" i="6"/>
  <c r="B627" i="6"/>
  <c r="B179" i="6"/>
  <c r="B695" i="6"/>
  <c r="B748" i="6"/>
  <c r="B214" i="6"/>
  <c r="B820" i="6"/>
  <c r="B304" i="6"/>
  <c r="B220" i="6"/>
  <c r="B233" i="6"/>
  <c r="B838" i="6"/>
  <c r="B323" i="6"/>
  <c r="B204" i="6"/>
  <c r="B856" i="6"/>
  <c r="B994" i="6"/>
  <c r="B231" i="6"/>
  <c r="B571" i="6"/>
  <c r="B428" i="6"/>
  <c r="B609" i="6"/>
  <c r="B101" i="6"/>
  <c r="B696" i="6"/>
  <c r="B485" i="6"/>
  <c r="B927" i="6"/>
  <c r="B436" i="6"/>
  <c r="B643" i="6"/>
  <c r="B918" i="6"/>
  <c r="B767" i="6"/>
  <c r="B386" i="6"/>
  <c r="B290" i="6"/>
  <c r="B209" i="6"/>
  <c r="B106" i="6"/>
  <c r="B346" i="6"/>
  <c r="B625" i="6"/>
  <c r="B275" i="6"/>
  <c r="B698" i="6"/>
  <c r="B274" i="6"/>
  <c r="B874" i="6"/>
  <c r="B361" i="6"/>
  <c r="B172" i="6"/>
  <c r="B907" i="6"/>
  <c r="B417" i="6"/>
  <c r="B991" i="6"/>
  <c r="B810" i="6"/>
  <c r="B808" i="6"/>
  <c r="B747" i="6"/>
  <c r="B602" i="6"/>
  <c r="B271" i="6"/>
  <c r="B51" i="6"/>
  <c r="B987" i="6"/>
  <c r="B583" i="6"/>
  <c r="B603" i="6"/>
  <c r="B256" i="6"/>
  <c r="B641" i="6"/>
  <c r="B308" i="6"/>
  <c r="B922" i="6"/>
  <c r="B591" i="6"/>
  <c r="B83" i="6"/>
  <c r="B542" i="6"/>
  <c r="B790" i="6"/>
  <c r="B910" i="6"/>
  <c r="B418" i="6"/>
  <c r="B14" i="6"/>
  <c r="B73" i="6"/>
  <c r="B809" i="6"/>
  <c r="B858" i="6"/>
  <c r="B749" i="6"/>
  <c r="B408" i="6"/>
  <c r="B216" i="6"/>
  <c r="B163" i="6"/>
  <c r="B477" i="6"/>
  <c r="B741" i="6"/>
  <c r="B551" i="6"/>
  <c r="B498" i="6"/>
  <c r="B205" i="6"/>
  <c r="B166" i="6"/>
  <c r="B873" i="6"/>
  <c r="B25" i="6"/>
  <c r="B590" i="6"/>
  <c r="B608" i="6"/>
  <c r="B160" i="6"/>
  <c r="B676" i="6"/>
  <c r="B764" i="6"/>
  <c r="B195" i="6"/>
  <c r="B802" i="6"/>
  <c r="B282" i="6"/>
  <c r="B236" i="6"/>
  <c r="B835" i="6"/>
  <c r="B338" i="6"/>
  <c r="B917" i="6"/>
  <c r="B422" i="6"/>
  <c r="B853" i="6"/>
  <c r="B357" i="6"/>
  <c r="B935" i="6"/>
  <c r="B980" i="6"/>
  <c r="B376" i="6"/>
  <c r="B299" i="6"/>
  <c r="B239" i="6"/>
  <c r="B587" i="6"/>
  <c r="B82" i="6"/>
  <c r="B677" i="6"/>
  <c r="B958" i="6"/>
  <c r="B754" i="6"/>
  <c r="B729" i="6"/>
  <c r="B792" i="6"/>
  <c r="B249" i="6"/>
  <c r="B993" i="6"/>
  <c r="B897" i="6"/>
  <c r="B774" i="6"/>
  <c r="B584" i="6"/>
  <c r="B234" i="6"/>
  <c r="B543" i="6"/>
  <c r="B563" i="6"/>
  <c r="B904" i="6"/>
  <c r="B569" i="6"/>
  <c r="B64" i="6"/>
  <c r="B574" i="6"/>
  <c r="B715" i="6"/>
  <c r="B890" i="6"/>
  <c r="B399" i="6"/>
  <c r="B46" i="6"/>
  <c r="B54" i="6"/>
  <c r="B719" i="6"/>
  <c r="B840" i="6"/>
  <c r="B765" i="6"/>
  <c r="B389" i="6"/>
  <c r="B197" i="6"/>
  <c r="B144" i="6"/>
  <c r="B493" i="6"/>
  <c r="B723" i="6"/>
  <c r="B532" i="6"/>
  <c r="B479" i="6"/>
  <c r="B221" i="6"/>
  <c r="B787" i="6"/>
  <c r="B855" i="6"/>
  <c r="B31" i="6"/>
  <c r="B622" i="6"/>
  <c r="B273" i="6"/>
  <c r="B974" i="6"/>
  <c r="B341" i="6"/>
  <c r="B62" i="6"/>
  <c r="B906" i="6"/>
  <c r="B473" i="6"/>
  <c r="B970" i="6"/>
  <c r="B508" i="6"/>
  <c r="B511" i="6"/>
  <c r="B148" i="6"/>
  <c r="B598" i="6"/>
  <c r="B662" i="6"/>
  <c r="B403" i="6"/>
  <c r="B651" i="6"/>
  <c r="B229" i="6"/>
  <c r="B425" i="6"/>
  <c r="B501" i="6"/>
  <c r="B673" i="6"/>
  <c r="B210" i="6"/>
  <c r="B568" i="6"/>
  <c r="B985" i="6"/>
  <c r="B365" i="6"/>
  <c r="B692" i="6"/>
  <c r="B150" i="6"/>
  <c r="B889" i="6"/>
  <c r="B395" i="6"/>
  <c r="B971" i="6"/>
  <c r="B230" i="6"/>
  <c r="B919" i="6"/>
  <c r="B536" i="6"/>
  <c r="B920" i="6"/>
  <c r="B565" i="6"/>
  <c r="B215" i="6"/>
  <c r="B483" i="6"/>
  <c r="B756" i="6"/>
  <c r="B886" i="6"/>
  <c r="B550" i="6"/>
  <c r="B42" i="6"/>
  <c r="B606" i="6"/>
  <c r="B618" i="6"/>
  <c r="B872" i="6"/>
  <c r="B377" i="6"/>
  <c r="B78" i="6"/>
  <c r="B35" i="6"/>
  <c r="B562" i="6"/>
  <c r="B822" i="6"/>
  <c r="B781" i="6"/>
  <c r="B370" i="6"/>
  <c r="B178" i="6"/>
  <c r="B122" i="6"/>
  <c r="B509" i="6"/>
  <c r="B704" i="6"/>
  <c r="B513" i="6"/>
  <c r="B457" i="6"/>
  <c r="B237" i="6"/>
  <c r="B576" i="6"/>
  <c r="B837" i="6"/>
  <c r="B915" i="6"/>
  <c r="B654" i="6"/>
  <c r="B251" i="6"/>
  <c r="B846" i="6"/>
  <c r="B322" i="6"/>
  <c r="B94" i="6"/>
  <c r="B586" i="6"/>
  <c r="B138" i="6"/>
  <c r="B657" i="6"/>
  <c r="B780" i="6"/>
  <c r="B176" i="6"/>
  <c r="B784" i="6"/>
  <c r="B263" i="6"/>
  <c r="B252" i="6"/>
  <c r="B817" i="6"/>
  <c r="B319" i="6"/>
  <c r="B899" i="6"/>
  <c r="B151" i="6"/>
  <c r="B660" i="6"/>
  <c r="B949" i="6"/>
  <c r="B504" i="6"/>
  <c r="B170" i="6"/>
  <c r="B737" i="6"/>
  <c r="B967" i="6"/>
  <c r="B995" i="6"/>
  <c r="B871" i="6"/>
  <c r="B345" i="6"/>
  <c r="B123" i="6"/>
  <c r="B222" i="6"/>
  <c r="B867" i="6"/>
  <c r="B678" i="6"/>
  <c r="B710" i="6"/>
  <c r="B938" i="6"/>
  <c r="B546" i="6"/>
  <c r="B196" i="6"/>
  <c r="B423" i="6"/>
  <c r="B902" i="6"/>
  <c r="B868" i="6"/>
  <c r="B531" i="6"/>
  <c r="B23" i="6"/>
  <c r="B638" i="6"/>
  <c r="B539" i="6"/>
  <c r="B854" i="6"/>
  <c r="B358" i="6"/>
  <c r="B110" i="6"/>
  <c r="B16" i="6"/>
  <c r="B385" i="6"/>
  <c r="B786" i="6"/>
  <c r="B797" i="6"/>
  <c r="B351" i="6"/>
  <c r="B159" i="6"/>
  <c r="B103" i="6"/>
  <c r="B525" i="6"/>
  <c r="B683" i="6"/>
  <c r="B491" i="6"/>
  <c r="B438" i="6"/>
  <c r="B253" i="6"/>
  <c r="B997" i="6"/>
  <c r="B819" i="6"/>
  <c r="B879" i="6"/>
  <c r="B686" i="6"/>
  <c r="B232" i="6"/>
  <c r="B736" i="6"/>
  <c r="B303" i="6"/>
  <c r="B142" i="6"/>
  <c r="B567" i="6"/>
  <c r="B119" i="6"/>
  <c r="B635" i="6"/>
  <c r="B796" i="6"/>
  <c r="B888" i="6"/>
  <c r="B454" i="6"/>
  <c r="B952" i="6"/>
  <c r="B524" i="6"/>
  <c r="B489" i="6"/>
  <c r="B640" i="6"/>
  <c r="B579" i="6"/>
  <c r="B811" i="6"/>
  <c r="B305" i="6"/>
  <c r="B632" i="6"/>
  <c r="B248" i="6"/>
  <c r="B467" i="6"/>
  <c r="B117" i="6"/>
  <c r="B954" i="6"/>
  <c r="B564" i="6"/>
  <c r="B486" i="6"/>
  <c r="B136" i="6"/>
  <c r="B50" i="6"/>
  <c r="B327" i="6"/>
  <c r="B561" i="6"/>
  <c r="B279" i="6"/>
  <c r="B679" i="6"/>
  <c r="B674" i="6"/>
  <c r="B527" i="6"/>
  <c r="B453" i="6"/>
  <c r="B900" i="6"/>
  <c r="B427" i="6"/>
  <c r="B292" i="6"/>
  <c r="B530" i="6"/>
  <c r="B63" i="6"/>
  <c r="B744" i="6"/>
  <c r="B621" i="6"/>
  <c r="B285" i="6"/>
  <c r="B928" i="6"/>
  <c r="B235" i="6"/>
  <c r="B129" i="6"/>
  <c r="B22" i="6"/>
  <c r="B81" i="6"/>
  <c r="B613" i="6"/>
  <c r="B752" i="6"/>
  <c r="B818" i="6"/>
  <c r="B437" i="6"/>
  <c r="B360" i="6"/>
  <c r="B687" i="6"/>
  <c r="B320" i="6"/>
  <c r="B597" i="6"/>
  <c r="B266" i="6"/>
  <c r="B286" i="6"/>
  <c r="B52" i="6"/>
  <c r="B461" i="6"/>
  <c r="B192" i="6"/>
  <c r="B13" i="6"/>
  <c r="B448" i="6"/>
  <c r="B95" i="6"/>
  <c r="B926" i="6"/>
  <c r="B852" i="6"/>
  <c r="B762" i="6"/>
  <c r="B610" i="6"/>
  <c r="B495" i="6"/>
  <c r="B310" i="6"/>
  <c r="B864" i="6"/>
  <c r="B878" i="6"/>
  <c r="B916" i="6"/>
  <c r="B557" i="6"/>
  <c r="B492" i="6"/>
  <c r="B556" i="6"/>
  <c r="B155" i="6"/>
  <c r="B400" i="6"/>
  <c r="B529" i="6"/>
  <c r="B135" i="6"/>
  <c r="B68" i="6"/>
  <c r="B505" i="6"/>
  <c r="B961" i="6"/>
  <c r="B746" i="6"/>
  <c r="B241" i="6"/>
  <c r="B783" i="6"/>
  <c r="B182" i="6"/>
  <c r="B617" i="6"/>
  <c r="B841" i="6"/>
  <c r="B225" i="6"/>
  <c r="B71" i="6"/>
  <c r="B158" i="6"/>
  <c r="B1005" i="6"/>
  <c r="B30" i="6"/>
  <c r="B955" i="6"/>
  <c r="B284" i="6"/>
  <c r="B226" i="6"/>
  <c r="B1010" i="6"/>
  <c r="B759" i="6"/>
  <c r="B549" i="6"/>
  <c r="B750" i="6"/>
  <c r="B470" i="6"/>
  <c r="B829" i="6"/>
  <c r="B41" i="6"/>
  <c r="B482" i="6"/>
  <c r="B260" i="6"/>
  <c r="B118" i="6"/>
  <c r="B990" i="6"/>
  <c r="B262" i="6"/>
  <c r="B254" i="6"/>
  <c r="B733" i="6"/>
  <c r="B168" i="6"/>
  <c r="B645" i="6"/>
  <c r="B27" i="6"/>
  <c r="B828" i="6"/>
  <c r="B194" i="6"/>
  <c r="B98" i="6"/>
  <c r="B570" i="6"/>
  <c r="B147" i="6"/>
  <c r="B517" i="6"/>
  <c r="B560" i="6"/>
  <c r="B189" i="6"/>
  <c r="B959" i="6"/>
  <c r="B942" i="6"/>
  <c r="B937" i="6"/>
  <c r="B416" i="6"/>
  <c r="B102" i="6"/>
  <c r="B639" i="6"/>
  <c r="B65" i="6"/>
  <c r="B757" i="6"/>
  <c r="B510" i="6"/>
  <c r="B206" i="6"/>
  <c r="B111" i="3"/>
  <c r="B118" i="3"/>
  <c r="B131" i="3"/>
  <c r="B109" i="3"/>
  <c r="B138" i="3"/>
  <c r="B121" i="3"/>
  <c r="B117" i="3"/>
  <c r="B124" i="3"/>
  <c r="B119" i="3"/>
  <c r="B132" i="3"/>
  <c r="B126" i="3"/>
  <c r="B108" i="3"/>
  <c r="B135" i="3"/>
  <c r="B128" i="3"/>
  <c r="B134" i="3"/>
  <c r="B102" i="3"/>
  <c r="B136" i="3"/>
  <c r="B125" i="3"/>
  <c r="B115" i="3"/>
  <c r="B99" i="3"/>
  <c r="B106" i="3"/>
  <c r="B129" i="3"/>
  <c r="B130" i="3"/>
  <c r="B122" i="3"/>
  <c r="B116" i="3"/>
  <c r="B110" i="3"/>
  <c r="B137" i="3"/>
  <c r="B105" i="3"/>
  <c r="B103" i="3"/>
  <c r="B104" i="3"/>
  <c r="B112" i="3"/>
  <c r="B133" i="3"/>
  <c r="B100" i="3"/>
  <c r="B101" i="3"/>
  <c r="B107" i="3"/>
  <c r="B113" i="3"/>
  <c r="B123" i="3"/>
  <c r="B98" i="3"/>
  <c r="B114" i="3"/>
  <c r="B120" i="3"/>
  <c r="B127" i="3"/>
  <c r="DD15" i="3"/>
  <c r="BB17" i="3"/>
  <c r="BO17" i="3"/>
  <c r="CB17" i="3"/>
  <c r="O17" i="3"/>
  <c r="CO17" i="3"/>
  <c r="DB17" i="3"/>
  <c r="AB17" i="3"/>
  <c r="AO17" i="3"/>
  <c r="BQ15" i="3"/>
  <c r="CQ15" i="3"/>
  <c r="CR15" i="3" s="1"/>
  <c r="CD15" i="3"/>
  <c r="BD15" i="3"/>
  <c r="D16" i="3"/>
  <c r="E16" i="3" s="1"/>
  <c r="G15" i="3" s="1"/>
  <c r="F16" i="3" s="1"/>
  <c r="I20" i="6" l="1"/>
  <c r="J19" i="6"/>
  <c r="AG216" i="3"/>
  <c r="A228" i="3"/>
  <c r="AG218" i="3"/>
  <c r="A230" i="3"/>
  <c r="AG221" i="3"/>
  <c r="A233" i="3"/>
  <c r="AG222" i="3"/>
  <c r="A234" i="3"/>
  <c r="AG217" i="3"/>
  <c r="A229" i="3"/>
  <c r="AG219" i="3"/>
  <c r="A231" i="3"/>
  <c r="AG220" i="3"/>
  <c r="A232" i="3"/>
  <c r="AG215" i="3"/>
  <c r="A227" i="3"/>
  <c r="O169" i="3" a="1"/>
  <c r="P159" i="3"/>
  <c r="DB169" i="3" a="1"/>
  <c r="DC159" i="3"/>
  <c r="CC159" i="3"/>
  <c r="CB169" i="3" a="1"/>
  <c r="BP159" i="3"/>
  <c r="BO169" i="3" a="1"/>
  <c r="AC159" i="3"/>
  <c r="AB169" i="3" a="1"/>
  <c r="CP159" i="3"/>
  <c r="CO169" i="3" a="1"/>
  <c r="BB169" i="3" a="1"/>
  <c r="BC159" i="3"/>
  <c r="B183" i="3"/>
  <c r="B188" i="3"/>
  <c r="B198" i="3"/>
  <c r="B196" i="3"/>
  <c r="B171" i="3"/>
  <c r="B197" i="3"/>
  <c r="B191" i="3"/>
  <c r="B199" i="3"/>
  <c r="B179" i="3"/>
  <c r="B203" i="3"/>
  <c r="B190" i="3"/>
  <c r="B195" i="3"/>
  <c r="B186" i="3"/>
  <c r="B189" i="3"/>
  <c r="B178" i="3"/>
  <c r="B169" i="3"/>
  <c r="B187" i="3"/>
  <c r="B194" i="3"/>
  <c r="B181" i="3"/>
  <c r="B185" i="3"/>
  <c r="B177" i="3"/>
  <c r="B180" i="3"/>
  <c r="B182" i="3"/>
  <c r="B174" i="3"/>
  <c r="B193" i="3"/>
  <c r="B207" i="3"/>
  <c r="B184" i="3"/>
  <c r="B176" i="3"/>
  <c r="B173" i="3"/>
  <c r="B201" i="3"/>
  <c r="B200" i="3"/>
  <c r="B209" i="3"/>
  <c r="B206" i="3"/>
  <c r="B202" i="3"/>
  <c r="B205" i="3"/>
  <c r="B192" i="3"/>
  <c r="B172" i="3"/>
  <c r="B175" i="3"/>
  <c r="B204" i="3"/>
  <c r="B208" i="3"/>
  <c r="B170" i="3"/>
  <c r="AP159" i="3"/>
  <c r="AO169" i="3" a="1"/>
  <c r="AO126" i="3"/>
  <c r="AO135" i="3"/>
  <c r="AO100" i="3"/>
  <c r="AO108" i="3"/>
  <c r="AO105" i="3"/>
  <c r="AO137" i="3"/>
  <c r="AO125" i="3"/>
  <c r="AO134" i="3"/>
  <c r="AO113" i="3"/>
  <c r="AO128" i="3"/>
  <c r="AO107" i="3"/>
  <c r="AO104" i="3"/>
  <c r="AO109" i="3"/>
  <c r="AO124" i="3"/>
  <c r="AO133" i="3"/>
  <c r="AO120" i="3"/>
  <c r="AO106" i="3"/>
  <c r="AO103" i="3"/>
  <c r="AO122" i="3"/>
  <c r="AO111" i="3"/>
  <c r="AO131" i="3"/>
  <c r="AO119" i="3"/>
  <c r="AO132" i="3"/>
  <c r="AO98" i="3"/>
  <c r="AO127" i="3"/>
  <c r="AO115" i="3"/>
  <c r="AO118" i="3"/>
  <c r="AO102" i="3"/>
  <c r="AO99" i="3"/>
  <c r="AO117" i="3"/>
  <c r="AO129" i="3"/>
  <c r="AO136" i="3"/>
  <c r="AO130" i="3"/>
  <c r="AO116" i="3"/>
  <c r="AO101" i="3"/>
  <c r="AO114" i="3"/>
  <c r="AO138" i="3"/>
  <c r="AO123" i="3"/>
  <c r="AO110" i="3"/>
  <c r="AO112" i="3"/>
  <c r="AO121" i="3"/>
  <c r="AB106" i="3"/>
  <c r="AB135" i="3"/>
  <c r="AB125" i="3"/>
  <c r="AB101" i="3"/>
  <c r="AB113" i="3"/>
  <c r="AB122" i="3"/>
  <c r="AB112" i="3"/>
  <c r="AB99" i="3"/>
  <c r="AB118" i="3"/>
  <c r="AB105" i="3"/>
  <c r="AB133" i="3"/>
  <c r="AB98" i="3"/>
  <c r="AB115" i="3"/>
  <c r="AB138" i="3"/>
  <c r="AB111" i="3"/>
  <c r="AB121" i="3"/>
  <c r="AB132" i="3"/>
  <c r="AB104" i="3"/>
  <c r="AB110" i="3"/>
  <c r="AB137" i="3"/>
  <c r="AB131" i="3"/>
  <c r="AB107" i="3"/>
  <c r="AB126" i="3"/>
  <c r="AB120" i="3"/>
  <c r="AB109" i="3"/>
  <c r="AB103" i="3"/>
  <c r="AB130" i="3"/>
  <c r="AB119" i="3"/>
  <c r="AB108" i="3"/>
  <c r="AB116" i="3"/>
  <c r="AB102" i="3"/>
  <c r="AB136" i="3"/>
  <c r="AB123" i="3"/>
  <c r="AB134" i="3"/>
  <c r="AB117" i="3"/>
  <c r="AB129" i="3"/>
  <c r="AB128" i="3"/>
  <c r="AB124" i="3"/>
  <c r="AB114" i="3"/>
  <c r="AB100" i="3"/>
  <c r="AB127" i="3"/>
  <c r="C304" i="3"/>
  <c r="A22" i="4"/>
  <c r="CO103" i="3"/>
  <c r="CO118" i="3"/>
  <c r="CO105" i="3"/>
  <c r="CO104" i="3"/>
  <c r="CO121" i="3"/>
  <c r="CO117" i="3"/>
  <c r="CO102" i="3"/>
  <c r="CO116" i="3"/>
  <c r="CO108" i="3"/>
  <c r="CO138" i="3"/>
  <c r="CO114" i="3"/>
  <c r="CO115" i="3"/>
  <c r="CO119" i="3"/>
  <c r="CO122" i="3"/>
  <c r="CO137" i="3"/>
  <c r="CO101" i="3"/>
  <c r="CO106" i="3"/>
  <c r="CO113" i="3"/>
  <c r="CO100" i="3"/>
  <c r="CO129" i="3"/>
  <c r="CO127" i="3"/>
  <c r="CO136" i="3"/>
  <c r="CO99" i="3"/>
  <c r="CO110" i="3"/>
  <c r="CO112" i="3"/>
  <c r="CO98" i="3"/>
  <c r="CO126" i="3"/>
  <c r="CO135" i="3"/>
  <c r="CO132" i="3"/>
  <c r="CO128" i="3"/>
  <c r="CO120" i="3"/>
  <c r="CO109" i="3"/>
  <c r="CO111" i="3"/>
  <c r="CO131" i="3"/>
  <c r="CO133" i="3"/>
  <c r="CO125" i="3"/>
  <c r="CO134" i="3"/>
  <c r="CO130" i="3"/>
  <c r="CO124" i="3"/>
  <c r="CO107" i="3"/>
  <c r="CO123" i="3"/>
  <c r="BO111" i="3"/>
  <c r="BO107" i="3"/>
  <c r="BO121" i="3"/>
  <c r="BO127" i="3"/>
  <c r="BO136" i="3"/>
  <c r="BO128" i="3"/>
  <c r="BO120" i="3"/>
  <c r="BO119" i="3"/>
  <c r="BO106" i="3"/>
  <c r="BO115" i="3"/>
  <c r="BO102" i="3"/>
  <c r="BO126" i="3"/>
  <c r="BO114" i="3"/>
  <c r="BO99" i="3"/>
  <c r="BO135" i="3"/>
  <c r="BO105" i="3"/>
  <c r="BO113" i="3"/>
  <c r="BO116" i="3"/>
  <c r="BO118" i="3"/>
  <c r="BO125" i="3"/>
  <c r="BO112" i="3"/>
  <c r="BO101" i="3"/>
  <c r="BO104" i="3"/>
  <c r="BO110" i="3"/>
  <c r="BO134" i="3"/>
  <c r="BO103" i="3"/>
  <c r="BO109" i="3"/>
  <c r="BO117" i="3"/>
  <c r="BO138" i="3"/>
  <c r="BO129" i="3"/>
  <c r="BO100" i="3"/>
  <c r="BO98" i="3"/>
  <c r="BO108" i="3"/>
  <c r="BO133" i="3"/>
  <c r="BO137" i="3"/>
  <c r="BO132" i="3"/>
  <c r="BO131" i="3"/>
  <c r="BO122" i="3"/>
  <c r="BO130" i="3"/>
  <c r="BO124" i="3"/>
  <c r="BO123" i="3"/>
  <c r="C300" i="3"/>
  <c r="A18" i="4"/>
  <c r="BB120" i="3"/>
  <c r="BB114" i="3"/>
  <c r="BB125" i="3"/>
  <c r="BB101" i="3"/>
  <c r="BB110" i="3"/>
  <c r="BB103" i="3"/>
  <c r="BB115" i="3"/>
  <c r="BB138" i="3"/>
  <c r="BB109" i="3"/>
  <c r="BB119" i="3"/>
  <c r="BB135" i="3"/>
  <c r="BB116" i="3"/>
  <c r="BB126" i="3"/>
  <c r="BB100" i="3"/>
  <c r="BB108" i="3"/>
  <c r="BB102" i="3"/>
  <c r="BB137" i="3"/>
  <c r="BB134" i="3"/>
  <c r="BB121" i="3"/>
  <c r="BB118" i="3"/>
  <c r="BB107" i="3"/>
  <c r="BB127" i="3"/>
  <c r="BB99" i="3"/>
  <c r="BB133" i="3"/>
  <c r="BB129" i="3"/>
  <c r="BB136" i="3"/>
  <c r="BB106" i="3"/>
  <c r="BB131" i="3"/>
  <c r="BB113" i="3"/>
  <c r="BB117" i="3"/>
  <c r="BB132" i="3"/>
  <c r="BB124" i="3"/>
  <c r="BB123" i="3"/>
  <c r="BB128" i="3"/>
  <c r="BB98" i="3"/>
  <c r="BB105" i="3"/>
  <c r="BB104" i="3"/>
  <c r="BB112" i="3"/>
  <c r="BB111" i="3"/>
  <c r="BB122" i="3"/>
  <c r="BB130" i="3"/>
  <c r="O115" i="3"/>
  <c r="O104" i="3"/>
  <c r="O125" i="3"/>
  <c r="O107" i="3"/>
  <c r="O135" i="3"/>
  <c r="O101" i="3"/>
  <c r="O118" i="3"/>
  <c r="O110" i="3"/>
  <c r="O98" i="3"/>
  <c r="O113" i="3"/>
  <c r="O119" i="3"/>
  <c r="O124" i="3"/>
  <c r="O134" i="3"/>
  <c r="O131" i="3"/>
  <c r="O123" i="3"/>
  <c r="O114" i="3"/>
  <c r="O103" i="3"/>
  <c r="O100" i="3"/>
  <c r="O111" i="3"/>
  <c r="O99" i="3"/>
  <c r="O130" i="3"/>
  <c r="O120" i="3"/>
  <c r="O133" i="3"/>
  <c r="O121" i="3"/>
  <c r="O127" i="3"/>
  <c r="O137" i="3"/>
  <c r="O108" i="3"/>
  <c r="O138" i="3"/>
  <c r="O129" i="3"/>
  <c r="O117" i="3"/>
  <c r="O136" i="3"/>
  <c r="O112" i="3"/>
  <c r="O105" i="3"/>
  <c r="O132" i="3"/>
  <c r="O126" i="3"/>
  <c r="O102" i="3"/>
  <c r="O122" i="3"/>
  <c r="O109" i="3"/>
  <c r="O116" i="3"/>
  <c r="O106" i="3"/>
  <c r="O128" i="3"/>
  <c r="C298" i="3"/>
  <c r="A16" i="4"/>
  <c r="B311" i="3" a="1"/>
  <c r="A19" i="4"/>
  <c r="C301" i="3"/>
  <c r="DB138" i="3"/>
  <c r="DB99" i="3"/>
  <c r="DB109" i="3"/>
  <c r="DB129" i="3"/>
  <c r="DB121" i="3"/>
  <c r="DB128" i="3"/>
  <c r="DB108" i="3"/>
  <c r="DB130" i="3"/>
  <c r="DB119" i="3"/>
  <c r="DB104" i="3"/>
  <c r="DB127" i="3"/>
  <c r="DB107" i="3"/>
  <c r="DB100" i="3"/>
  <c r="DB123" i="3"/>
  <c r="DB137" i="3"/>
  <c r="DB122" i="3"/>
  <c r="DB98" i="3"/>
  <c r="DB120" i="3"/>
  <c r="DB117" i="3"/>
  <c r="DB133" i="3"/>
  <c r="DB102" i="3"/>
  <c r="DB116" i="3"/>
  <c r="DB132" i="3"/>
  <c r="DB136" i="3"/>
  <c r="DB115" i="3"/>
  <c r="DB118" i="3"/>
  <c r="DB111" i="3"/>
  <c r="DB101" i="3"/>
  <c r="DB134" i="3"/>
  <c r="DB125" i="3"/>
  <c r="DB126" i="3"/>
  <c r="DB110" i="3"/>
  <c r="DB105" i="3"/>
  <c r="DB103" i="3"/>
  <c r="DB106" i="3"/>
  <c r="DB131" i="3"/>
  <c r="DB113" i="3"/>
  <c r="DB135" i="3"/>
  <c r="DB124" i="3"/>
  <c r="DB114" i="3"/>
  <c r="DB112" i="3"/>
  <c r="A17" i="4"/>
  <c r="C299" i="3"/>
  <c r="A20" i="4"/>
  <c r="C302" i="3"/>
  <c r="C303" i="3"/>
  <c r="A21" i="4"/>
  <c r="CB100" i="3"/>
  <c r="CB138" i="3"/>
  <c r="CB124" i="3"/>
  <c r="CB120" i="3"/>
  <c r="CB106" i="3"/>
  <c r="CB108" i="3"/>
  <c r="CB99" i="3"/>
  <c r="CB137" i="3"/>
  <c r="CB109" i="3"/>
  <c r="CB121" i="3"/>
  <c r="CB130" i="3"/>
  <c r="CB119" i="3"/>
  <c r="CB105" i="3"/>
  <c r="CB116" i="3"/>
  <c r="CB113" i="3"/>
  <c r="CB98" i="3"/>
  <c r="CB136" i="3"/>
  <c r="CB129" i="3"/>
  <c r="CB118" i="3"/>
  <c r="CB104" i="3"/>
  <c r="CB107" i="3"/>
  <c r="CB112" i="3"/>
  <c r="CB132" i="3"/>
  <c r="CB135" i="3"/>
  <c r="CB128" i="3"/>
  <c r="CB131" i="3"/>
  <c r="CB103" i="3"/>
  <c r="CB111" i="3"/>
  <c r="CB126" i="3"/>
  <c r="CB134" i="3"/>
  <c r="CB102" i="3"/>
  <c r="CB127" i="3"/>
  <c r="CB125" i="3"/>
  <c r="CB133" i="3"/>
  <c r="CB123" i="3"/>
  <c r="CB110" i="3"/>
  <c r="CB117" i="3"/>
  <c r="CB115" i="3"/>
  <c r="CB101" i="3"/>
  <c r="CB122" i="3"/>
  <c r="CB114" i="3"/>
  <c r="DE15" i="3"/>
  <c r="CT14" i="3"/>
  <c r="CE15" i="3"/>
  <c r="CG14" i="3" s="1"/>
  <c r="BR15" i="3"/>
  <c r="BE15" i="3"/>
  <c r="AT14" i="3"/>
  <c r="AG14" i="3"/>
  <c r="R15" i="3"/>
  <c r="T14" i="3" s="1"/>
  <c r="Q16" i="3"/>
  <c r="AD16" i="3"/>
  <c r="AQ16" i="3"/>
  <c r="H14" i="3"/>
  <c r="I14" i="3" s="1"/>
  <c r="J14" i="3" s="1"/>
  <c r="F15" i="3"/>
  <c r="H15" i="3" s="1"/>
  <c r="I15" i="3" s="1"/>
  <c r="J15" i="3" s="1"/>
  <c r="K15" i="3" s="1"/>
  <c r="B19" i="3"/>
  <c r="B77" i="3"/>
  <c r="CD16" i="3"/>
  <c r="BQ16" i="3"/>
  <c r="BR16" i="3" s="1"/>
  <c r="BD16" i="3"/>
  <c r="AB18" i="3"/>
  <c r="BB18" i="3"/>
  <c r="O18" i="3"/>
  <c r="DB18" i="3"/>
  <c r="CB18" i="3"/>
  <c r="AO18" i="3"/>
  <c r="CO18" i="3"/>
  <c r="BO18" i="3"/>
  <c r="DD16" i="3"/>
  <c r="DE16" i="3" s="1"/>
  <c r="CQ16" i="3"/>
  <c r="D17" i="3"/>
  <c r="J20" i="6" l="1"/>
  <c r="I21" i="6"/>
  <c r="A286" i="3"/>
  <c r="AG286" i="3" s="1"/>
  <c r="CA227" i="3"/>
  <c r="N227" i="3"/>
  <c r="CN227" i="3"/>
  <c r="BN227" i="3"/>
  <c r="AN227" i="3"/>
  <c r="AA227" i="3"/>
  <c r="DA227" i="3"/>
  <c r="BA227" i="3"/>
  <c r="A291" i="3"/>
  <c r="AG291" i="3" s="1"/>
  <c r="AN232" i="3"/>
  <c r="AP231" i="3" s="1"/>
  <c r="DA232" i="3"/>
  <c r="DC231" i="3" s="1"/>
  <c r="C231" i="3"/>
  <c r="CA232" i="3"/>
  <c r="CC231" i="3" s="1"/>
  <c r="BA232" i="3"/>
  <c r="BC231" i="3" s="1"/>
  <c r="BN232" i="3"/>
  <c r="BP231" i="3" s="1"/>
  <c r="N232" i="3"/>
  <c r="P231" i="3" s="1"/>
  <c r="CN232" i="3"/>
  <c r="CP231" i="3" s="1"/>
  <c r="AA232" i="3"/>
  <c r="AC231" i="3" s="1"/>
  <c r="A290" i="3"/>
  <c r="AG290" i="3" s="1"/>
  <c r="DA231" i="3"/>
  <c r="BN231" i="3"/>
  <c r="AA231" i="3"/>
  <c r="CN231" i="3"/>
  <c r="AN231" i="3"/>
  <c r="B240" i="3" a="1"/>
  <c r="BA231" i="3"/>
  <c r="N231" i="3"/>
  <c r="C230" i="3"/>
  <c r="CA231" i="3"/>
  <c r="A288" i="3"/>
  <c r="AG288" i="3" s="1"/>
  <c r="C228" i="3"/>
  <c r="CN229" i="3"/>
  <c r="CP228" i="3" s="1"/>
  <c r="CA229" i="3"/>
  <c r="CC228" i="3" s="1"/>
  <c r="AA229" i="3"/>
  <c r="AC228" i="3" s="1"/>
  <c r="N229" i="3"/>
  <c r="P228" i="3" s="1"/>
  <c r="BA229" i="3"/>
  <c r="BC228" i="3" s="1"/>
  <c r="DA229" i="3"/>
  <c r="DC228" i="3" s="1"/>
  <c r="BN229" i="3"/>
  <c r="BP228" i="3" s="1"/>
  <c r="AN229" i="3"/>
  <c r="AP228" i="3" s="1"/>
  <c r="A293" i="3"/>
  <c r="AG293" i="3" s="1"/>
  <c r="CN234" i="3"/>
  <c r="CP233" i="3" s="1"/>
  <c r="C233" i="3"/>
  <c r="DA234" i="3"/>
  <c r="DC233" i="3" s="1"/>
  <c r="CA234" i="3"/>
  <c r="CC233" i="3" s="1"/>
  <c r="BA234" i="3"/>
  <c r="BC233" i="3" s="1"/>
  <c r="AA234" i="3"/>
  <c r="AC233" i="3" s="1"/>
  <c r="AN234" i="3"/>
  <c r="AP233" i="3" s="1"/>
  <c r="BN234" i="3"/>
  <c r="BP233" i="3" s="1"/>
  <c r="N234" i="3"/>
  <c r="P233" i="3" s="1"/>
  <c r="A292" i="3"/>
  <c r="AG292" i="3" s="1"/>
  <c r="CA233" i="3"/>
  <c r="CC232" i="3" s="1"/>
  <c r="AN233" i="3"/>
  <c r="AP232" i="3" s="1"/>
  <c r="BA233" i="3"/>
  <c r="BC232" i="3" s="1"/>
  <c r="CN233" i="3"/>
  <c r="CP232" i="3" s="1"/>
  <c r="BN233" i="3"/>
  <c r="BP232" i="3" s="1"/>
  <c r="AA233" i="3"/>
  <c r="AC232" i="3" s="1"/>
  <c r="DA233" i="3"/>
  <c r="DC232" i="3" s="1"/>
  <c r="C232" i="3"/>
  <c r="N233" i="3"/>
  <c r="P232" i="3" s="1"/>
  <c r="A289" i="3"/>
  <c r="AG289" i="3" s="1"/>
  <c r="CA230" i="3"/>
  <c r="CC229" i="3" s="1"/>
  <c r="N230" i="3"/>
  <c r="P229" i="3" s="1"/>
  <c r="BA230" i="3"/>
  <c r="BC229" i="3" s="1"/>
  <c r="AA230" i="3"/>
  <c r="AC229" i="3" s="1"/>
  <c r="C229" i="3"/>
  <c r="BN230" i="3"/>
  <c r="BP229" i="3" s="1"/>
  <c r="CN230" i="3"/>
  <c r="CP229" i="3" s="1"/>
  <c r="AN230" i="3"/>
  <c r="AP229" i="3" s="1"/>
  <c r="DA230" i="3"/>
  <c r="DC229" i="3" s="1"/>
  <c r="A287" i="3"/>
  <c r="AG287" i="3" s="1"/>
  <c r="CA228" i="3"/>
  <c r="CC227" i="3" s="1"/>
  <c r="AN228" i="3"/>
  <c r="AP227" i="3" s="1"/>
  <c r="CN228" i="3"/>
  <c r="CP227" i="3" s="1"/>
  <c r="BA228" i="3"/>
  <c r="BC227" i="3" s="1"/>
  <c r="BN228" i="3"/>
  <c r="BP227" i="3" s="1"/>
  <c r="N228" i="3"/>
  <c r="P227" i="3" s="1"/>
  <c r="AA228" i="3"/>
  <c r="AC227" i="3" s="1"/>
  <c r="C227" i="3"/>
  <c r="DA228" i="3"/>
  <c r="DC227" i="3" s="1"/>
  <c r="BB194" i="3"/>
  <c r="BB187" i="3"/>
  <c r="BB171" i="3"/>
  <c r="BB178" i="3"/>
  <c r="BB209" i="3"/>
  <c r="BB191" i="3"/>
  <c r="BB196" i="3"/>
  <c r="BB203" i="3"/>
  <c r="BB180" i="3"/>
  <c r="BB190" i="3"/>
  <c r="BB185" i="3"/>
  <c r="BB176" i="3"/>
  <c r="BB186" i="3"/>
  <c r="BB208" i="3"/>
  <c r="BB189" i="3"/>
  <c r="BB192" i="3"/>
  <c r="BB199" i="3"/>
  <c r="BB188" i="3"/>
  <c r="BB169" i="3"/>
  <c r="BB179" i="3"/>
  <c r="BB172" i="3"/>
  <c r="BB201" i="3"/>
  <c r="BB182" i="3"/>
  <c r="BB202" i="3"/>
  <c r="BB207" i="3"/>
  <c r="BB170" i="3"/>
  <c r="BB206" i="3"/>
  <c r="BB177" i="3"/>
  <c r="BB198" i="3"/>
  <c r="BB181" i="3"/>
  <c r="BB193" i="3"/>
  <c r="BB184" i="3"/>
  <c r="BB200" i="3"/>
  <c r="BB205" i="3"/>
  <c r="BB174" i="3"/>
  <c r="BB183" i="3"/>
  <c r="BB175" i="3"/>
  <c r="BB197" i="3"/>
  <c r="BB204" i="3"/>
  <c r="BB173" i="3"/>
  <c r="BB195" i="3"/>
  <c r="AB208" i="3"/>
  <c r="AB196" i="3"/>
  <c r="AB185" i="3"/>
  <c r="AB172" i="3"/>
  <c r="AB204" i="3"/>
  <c r="AB171" i="3"/>
  <c r="AB182" i="3"/>
  <c r="AB200" i="3"/>
  <c r="AB209" i="3"/>
  <c r="AB184" i="3"/>
  <c r="AB170" i="3"/>
  <c r="AB191" i="3"/>
  <c r="AB187" i="3"/>
  <c r="AB173" i="3"/>
  <c r="AB193" i="3"/>
  <c r="AB203" i="3"/>
  <c r="AB169" i="3"/>
  <c r="AB175" i="3"/>
  <c r="AB190" i="3"/>
  <c r="AB179" i="3"/>
  <c r="AB177" i="3"/>
  <c r="AB183" i="3"/>
  <c r="AB197" i="3"/>
  <c r="AB207" i="3"/>
  <c r="AB195" i="3"/>
  <c r="AB174" i="3"/>
  <c r="AB199" i="3"/>
  <c r="AB202" i="3"/>
  <c r="AB180" i="3"/>
  <c r="AB189" i="3"/>
  <c r="AB186" i="3"/>
  <c r="AB194" i="3"/>
  <c r="AB201" i="3"/>
  <c r="AB192" i="3"/>
  <c r="AB206" i="3"/>
  <c r="AB181" i="3"/>
  <c r="AB188" i="3"/>
  <c r="AB198" i="3"/>
  <c r="AB178" i="3"/>
  <c r="AB176" i="3"/>
  <c r="AB205" i="3"/>
  <c r="CO202" i="3"/>
  <c r="CO194" i="3"/>
  <c r="CO184" i="3"/>
  <c r="CO170" i="3"/>
  <c r="CO201" i="3"/>
  <c r="CO181" i="3"/>
  <c r="CO183" i="3"/>
  <c r="CO180" i="3"/>
  <c r="CO169" i="3"/>
  <c r="CO204" i="3"/>
  <c r="CO185" i="3"/>
  <c r="CO200" i="3"/>
  <c r="CO179" i="3"/>
  <c r="CO208" i="3"/>
  <c r="CO173" i="3"/>
  <c r="CO177" i="3"/>
  <c r="CO172" i="3"/>
  <c r="CO205" i="3"/>
  <c r="CO178" i="3"/>
  <c r="CO209" i="3"/>
  <c r="CO189" i="3"/>
  <c r="CO199" i="3"/>
  <c r="CO193" i="3"/>
  <c r="CO206" i="3"/>
  <c r="CO171" i="3"/>
  <c r="CO191" i="3"/>
  <c r="CO174" i="3"/>
  <c r="CO195" i="3"/>
  <c r="CO207" i="3"/>
  <c r="CO203" i="3"/>
  <c r="CO198" i="3"/>
  <c r="CO187" i="3"/>
  <c r="CO176" i="3"/>
  <c r="CO192" i="3"/>
  <c r="CO188" i="3"/>
  <c r="CO197" i="3"/>
  <c r="CO190" i="3"/>
  <c r="CO196" i="3"/>
  <c r="CO182" i="3"/>
  <c r="CO175" i="3"/>
  <c r="CO186" i="3"/>
  <c r="AO188" i="3"/>
  <c r="AO180" i="3"/>
  <c r="AO171" i="3"/>
  <c r="AO200" i="3"/>
  <c r="AO204" i="3"/>
  <c r="AO199" i="3"/>
  <c r="AO174" i="3"/>
  <c r="AO208" i="3"/>
  <c r="AO187" i="3"/>
  <c r="AO198" i="3"/>
  <c r="AO172" i="3"/>
  <c r="AO203" i="3"/>
  <c r="AO197" i="3"/>
  <c r="AO170" i="3"/>
  <c r="AO182" i="3"/>
  <c r="AO192" i="3"/>
  <c r="AO195" i="3"/>
  <c r="AO177" i="3"/>
  <c r="AO193" i="3"/>
  <c r="AO184" i="3"/>
  <c r="AO181" i="3"/>
  <c r="AO196" i="3"/>
  <c r="AO179" i="3"/>
  <c r="AO209" i="3"/>
  <c r="AO169" i="3"/>
  <c r="AO178" i="3"/>
  <c r="AO176" i="3"/>
  <c r="AO206" i="3"/>
  <c r="AO186" i="3"/>
  <c r="AO201" i="3"/>
  <c r="AO202" i="3"/>
  <c r="AO175" i="3"/>
  <c r="AO194" i="3"/>
  <c r="AO207" i="3"/>
  <c r="AO185" i="3"/>
  <c r="AO189" i="3"/>
  <c r="AO183" i="3"/>
  <c r="AO205" i="3"/>
  <c r="AO190" i="3"/>
  <c r="AO191" i="3"/>
  <c r="AO173" i="3"/>
  <c r="BO175" i="3"/>
  <c r="BO192" i="3"/>
  <c r="BO172" i="3"/>
  <c r="BO205" i="3"/>
  <c r="BO190" i="3"/>
  <c r="BO171" i="3"/>
  <c r="BO204" i="3"/>
  <c r="BO189" i="3"/>
  <c r="BO170" i="3"/>
  <c r="BO202" i="3"/>
  <c r="BO196" i="3"/>
  <c r="BO188" i="3"/>
  <c r="BO187" i="3"/>
  <c r="BO169" i="3"/>
  <c r="BO201" i="3"/>
  <c r="BO176" i="3"/>
  <c r="BO193" i="3"/>
  <c r="BO198" i="3"/>
  <c r="BO186" i="3"/>
  <c r="BO208" i="3"/>
  <c r="BO179" i="3"/>
  <c r="BO209" i="3"/>
  <c r="BO191" i="3"/>
  <c r="BO180" i="3"/>
  <c r="BO185" i="3"/>
  <c r="BO203" i="3"/>
  <c r="BO184" i="3"/>
  <c r="BO183" i="3"/>
  <c r="BO182" i="3"/>
  <c r="BO195" i="3"/>
  <c r="BO173" i="3"/>
  <c r="BO207" i="3"/>
  <c r="BO197" i="3"/>
  <c r="BO199" i="3"/>
  <c r="BO206" i="3"/>
  <c r="BO178" i="3"/>
  <c r="BO174" i="3"/>
  <c r="BO200" i="3"/>
  <c r="BO177" i="3"/>
  <c r="BO194" i="3"/>
  <c r="BO181" i="3"/>
  <c r="CB185" i="3"/>
  <c r="CB207" i="3"/>
  <c r="CB169" i="3"/>
  <c r="CB171" i="3"/>
  <c r="CB206" i="3"/>
  <c r="CB197" i="3"/>
  <c r="CB183" i="3"/>
  <c r="CB196" i="3"/>
  <c r="CB178" i="3"/>
  <c r="CB170" i="3"/>
  <c r="CB204" i="3"/>
  <c r="CB195" i="3"/>
  <c r="CB176" i="3"/>
  <c r="CB175" i="3"/>
  <c r="CB173" i="3"/>
  <c r="CB182" i="3"/>
  <c r="CB194" i="3"/>
  <c r="CB201" i="3"/>
  <c r="CB190" i="3"/>
  <c r="CB193" i="3"/>
  <c r="CB203" i="3"/>
  <c r="CB202" i="3"/>
  <c r="CB208" i="3"/>
  <c r="CB181" i="3"/>
  <c r="CB191" i="3"/>
  <c r="CB192" i="3"/>
  <c r="CB200" i="3"/>
  <c r="CB205" i="3"/>
  <c r="CB180" i="3"/>
  <c r="CB187" i="3"/>
  <c r="CB179" i="3"/>
  <c r="CB186" i="3"/>
  <c r="CB209" i="3"/>
  <c r="CB174" i="3"/>
  <c r="CB188" i="3"/>
  <c r="CB199" i="3"/>
  <c r="CB189" i="3"/>
  <c r="CB198" i="3"/>
  <c r="CB172" i="3"/>
  <c r="CB184" i="3"/>
  <c r="CB177" i="3"/>
  <c r="DB204" i="3"/>
  <c r="DB207" i="3"/>
  <c r="DB183" i="3"/>
  <c r="DB187" i="3"/>
  <c r="DB178" i="3"/>
  <c r="DB181" i="3"/>
  <c r="DB170" i="3"/>
  <c r="DB206" i="3"/>
  <c r="DB173" i="3"/>
  <c r="DB175" i="3"/>
  <c r="DB203" i="3"/>
  <c r="DB177" i="3"/>
  <c r="DB182" i="3"/>
  <c r="DB172" i="3"/>
  <c r="DB190" i="3"/>
  <c r="DB197" i="3"/>
  <c r="DB185" i="3"/>
  <c r="DB194" i="3"/>
  <c r="DB193" i="3"/>
  <c r="DB186" i="3"/>
  <c r="DB202" i="3"/>
  <c r="DB201" i="3"/>
  <c r="DB209" i="3"/>
  <c r="DB205" i="3"/>
  <c r="DB188" i="3"/>
  <c r="DB169" i="3"/>
  <c r="DB176" i="3"/>
  <c r="DB192" i="3"/>
  <c r="DB199" i="3"/>
  <c r="DB208" i="3"/>
  <c r="DB179" i="3"/>
  <c r="DB189" i="3"/>
  <c r="DB191" i="3"/>
  <c r="DB174" i="3"/>
  <c r="DB198" i="3"/>
  <c r="DB200" i="3"/>
  <c r="DB196" i="3"/>
  <c r="DB180" i="3"/>
  <c r="DB171" i="3"/>
  <c r="DB184" i="3"/>
  <c r="DB195" i="3"/>
  <c r="O207" i="3"/>
  <c r="O176" i="3"/>
  <c r="O189" i="3"/>
  <c r="O175" i="3"/>
  <c r="O171" i="3"/>
  <c r="O203" i="3"/>
  <c r="O177" i="3"/>
  <c r="O185" i="3"/>
  <c r="O174" i="3"/>
  <c r="O206" i="3"/>
  <c r="O201" i="3"/>
  <c r="O205" i="3"/>
  <c r="O183" i="3"/>
  <c r="O196" i="3"/>
  <c r="O188" i="3"/>
  <c r="O199" i="3"/>
  <c r="O195" i="3"/>
  <c r="O194" i="3"/>
  <c r="O204" i="3"/>
  <c r="O191" i="3"/>
  <c r="O181" i="3"/>
  <c r="O172" i="3"/>
  <c r="O180" i="3"/>
  <c r="O170" i="3"/>
  <c r="O198" i="3"/>
  <c r="O209" i="3"/>
  <c r="O197" i="3"/>
  <c r="O187" i="3"/>
  <c r="O169" i="3"/>
  <c r="O192" i="3"/>
  <c r="O186" i="3"/>
  <c r="O179" i="3"/>
  <c r="O182" i="3"/>
  <c r="O190" i="3"/>
  <c r="O178" i="3"/>
  <c r="O193" i="3"/>
  <c r="O208" i="3"/>
  <c r="O202" i="3"/>
  <c r="O173" i="3"/>
  <c r="O200" i="3"/>
  <c r="O184" i="3"/>
  <c r="B341" i="3"/>
  <c r="B334" i="3"/>
  <c r="B316" i="3"/>
  <c r="B330" i="3"/>
  <c r="B344" i="3"/>
  <c r="B332" i="3"/>
  <c r="B333" i="3"/>
  <c r="B314" i="3"/>
  <c r="B346" i="3"/>
  <c r="B331" i="3"/>
  <c r="B338" i="3"/>
  <c r="B327" i="3"/>
  <c r="B337" i="3"/>
  <c r="B312" i="3"/>
  <c r="B343" i="3"/>
  <c r="B322" i="3"/>
  <c r="B311" i="3"/>
  <c r="B321" i="3"/>
  <c r="B315" i="3"/>
  <c r="B323" i="3"/>
  <c r="B347" i="3"/>
  <c r="B348" i="3"/>
  <c r="B320" i="3"/>
  <c r="B313" i="3"/>
  <c r="B318" i="3"/>
  <c r="B325" i="3"/>
  <c r="B326" i="3"/>
  <c r="B339" i="3"/>
  <c r="B342" i="3"/>
  <c r="B336" i="3"/>
  <c r="B351" i="3"/>
  <c r="B335" i="3"/>
  <c r="B328" i="3"/>
  <c r="B319" i="3"/>
  <c r="B317" i="3"/>
  <c r="B345" i="3"/>
  <c r="B340" i="3"/>
  <c r="B350" i="3"/>
  <c r="B329" i="3"/>
  <c r="B324" i="3"/>
  <c r="B349" i="3"/>
  <c r="DG14" i="3"/>
  <c r="DG15" i="3"/>
  <c r="DF16" i="3" s="1"/>
  <c r="CU14" i="3"/>
  <c r="CS15" i="3"/>
  <c r="CR16" i="3"/>
  <c r="CH14" i="3"/>
  <c r="CF15" i="3"/>
  <c r="CE16" i="3"/>
  <c r="BT15" i="3"/>
  <c r="BS16" i="3" s="1"/>
  <c r="BT14" i="3"/>
  <c r="BE16" i="3"/>
  <c r="BG15" i="3" s="1"/>
  <c r="BF16" i="3" s="1"/>
  <c r="BG14" i="3"/>
  <c r="AR16" i="3"/>
  <c r="AU14" i="3"/>
  <c r="AS15" i="3"/>
  <c r="AE16" i="3"/>
  <c r="AF15" i="3"/>
  <c r="AH14" i="3"/>
  <c r="U14" i="3"/>
  <c r="S15" i="3"/>
  <c r="R16" i="3"/>
  <c r="T15" i="3" s="1"/>
  <c r="S16" i="3" s="1"/>
  <c r="Q17" i="3"/>
  <c r="AD17" i="3"/>
  <c r="AQ17" i="3"/>
  <c r="AR17" i="3" s="1"/>
  <c r="E17" i="3"/>
  <c r="B20" i="3"/>
  <c r="B78" i="3"/>
  <c r="CD17" i="3"/>
  <c r="CE17" i="3" s="1"/>
  <c r="DD17" i="3"/>
  <c r="BD17" i="3"/>
  <c r="CO19" i="3"/>
  <c r="CB19" i="3"/>
  <c r="AO19" i="3"/>
  <c r="BO19" i="3"/>
  <c r="AB19" i="3"/>
  <c r="BB19" i="3"/>
  <c r="DB19" i="3"/>
  <c r="O19" i="3"/>
  <c r="BQ17" i="3"/>
  <c r="CQ17" i="3"/>
  <c r="D18" i="3"/>
  <c r="E18" i="3" s="1"/>
  <c r="I22" i="6" l="1"/>
  <c r="J21" i="6"/>
  <c r="CB240" i="3" a="1"/>
  <c r="CC230" i="3"/>
  <c r="O240" i="3" a="1"/>
  <c r="P230" i="3"/>
  <c r="BB240" i="3" a="1"/>
  <c r="BC230" i="3"/>
  <c r="B276" i="3"/>
  <c r="B260" i="3"/>
  <c r="B244" i="3"/>
  <c r="B264" i="3"/>
  <c r="B247" i="3"/>
  <c r="B280" i="3"/>
  <c r="B263" i="3"/>
  <c r="B246" i="3"/>
  <c r="B279" i="3"/>
  <c r="B277" i="3"/>
  <c r="B259" i="3"/>
  <c r="B242" i="3"/>
  <c r="B274" i="3"/>
  <c r="B257" i="3"/>
  <c r="B240" i="3"/>
  <c r="B255" i="3"/>
  <c r="B278" i="3"/>
  <c r="B254" i="3"/>
  <c r="B275" i="3"/>
  <c r="B253" i="3"/>
  <c r="B273" i="3"/>
  <c r="B252" i="3"/>
  <c r="B272" i="3"/>
  <c r="B251" i="3"/>
  <c r="B271" i="3"/>
  <c r="B250" i="3"/>
  <c r="B270" i="3"/>
  <c r="B249" i="3"/>
  <c r="B269" i="3"/>
  <c r="B248" i="3"/>
  <c r="B268" i="3"/>
  <c r="B245" i="3"/>
  <c r="B267" i="3"/>
  <c r="B243" i="3"/>
  <c r="B266" i="3"/>
  <c r="B241" i="3"/>
  <c r="B265" i="3"/>
  <c r="B262" i="3"/>
  <c r="B261" i="3"/>
  <c r="B258" i="3"/>
  <c r="B256" i="3"/>
  <c r="AO240" i="3" a="1"/>
  <c r="AP230" i="3"/>
  <c r="CO240" i="3" a="1"/>
  <c r="CP230" i="3"/>
  <c r="AB240" i="3" a="1"/>
  <c r="AC230" i="3"/>
  <c r="BO240" i="3" a="1"/>
  <c r="BP230" i="3"/>
  <c r="DB240" i="3" a="1"/>
  <c r="DC230" i="3"/>
  <c r="CG16" i="3"/>
  <c r="CF17" i="3" s="1"/>
  <c r="DE17" i="3"/>
  <c r="DF15" i="3"/>
  <c r="DH14" i="3"/>
  <c r="CT15" i="3"/>
  <c r="CS16" i="3" s="1"/>
  <c r="CR17" i="3"/>
  <c r="CV14" i="3"/>
  <c r="CI14" i="3"/>
  <c r="CG15" i="3"/>
  <c r="CF16" i="3" s="1"/>
  <c r="BR17" i="3"/>
  <c r="BU14" i="3"/>
  <c r="BS15" i="3"/>
  <c r="BH14" i="3"/>
  <c r="BF15" i="3"/>
  <c r="BE17" i="3"/>
  <c r="BG16" i="3" s="1"/>
  <c r="BF17" i="3" s="1"/>
  <c r="AV14" i="3"/>
  <c r="AT16" i="3"/>
  <c r="AS17" i="3" s="1"/>
  <c r="AT15" i="3"/>
  <c r="AS16" i="3" s="1"/>
  <c r="AG15" i="3"/>
  <c r="AF16" i="3" s="1"/>
  <c r="AE17" i="3"/>
  <c r="AI14" i="3"/>
  <c r="R17" i="3"/>
  <c r="T16" i="3" s="1"/>
  <c r="U15" i="3"/>
  <c r="V15" i="3" s="1"/>
  <c r="W15" i="3" s="1"/>
  <c r="V14" i="3"/>
  <c r="Q18" i="3"/>
  <c r="AD18" i="3"/>
  <c r="AQ18" i="3"/>
  <c r="AR18" i="3" s="1"/>
  <c r="G17" i="3"/>
  <c r="F18" i="3" s="1"/>
  <c r="G16" i="3"/>
  <c r="K14" i="3"/>
  <c r="B21" i="3"/>
  <c r="B79" i="3"/>
  <c r="CQ18" i="3"/>
  <c r="DD18" i="3"/>
  <c r="DE18" i="3" s="1"/>
  <c r="BD18" i="3"/>
  <c r="CB20" i="3"/>
  <c r="CO20" i="3"/>
  <c r="DB20" i="3"/>
  <c r="AB20" i="3"/>
  <c r="BB20" i="3"/>
  <c r="AO20" i="3"/>
  <c r="BO20" i="3"/>
  <c r="O20" i="3"/>
  <c r="BQ18" i="3"/>
  <c r="BR18" i="3" s="1"/>
  <c r="CD18" i="3"/>
  <c r="D19" i="3"/>
  <c r="E19" i="3" s="1"/>
  <c r="J22" i="6" l="1"/>
  <c r="I23" i="6"/>
  <c r="AO268" i="3"/>
  <c r="AO252" i="3"/>
  <c r="AO267" i="3"/>
  <c r="AO251" i="3"/>
  <c r="AO278" i="3"/>
  <c r="AO260" i="3"/>
  <c r="AO242" i="3"/>
  <c r="AO276" i="3"/>
  <c r="AO258" i="3"/>
  <c r="AO240" i="3"/>
  <c r="AO277" i="3"/>
  <c r="AO256" i="3"/>
  <c r="AO275" i="3"/>
  <c r="AO255" i="3"/>
  <c r="AO274" i="3"/>
  <c r="AO254" i="3"/>
  <c r="AO273" i="3"/>
  <c r="AO253" i="3"/>
  <c r="AO272" i="3"/>
  <c r="AO250" i="3"/>
  <c r="AO270" i="3"/>
  <c r="AO248" i="3"/>
  <c r="AO269" i="3"/>
  <c r="AO247" i="3"/>
  <c r="AO266" i="3"/>
  <c r="AO246" i="3"/>
  <c r="AO280" i="3"/>
  <c r="AO279" i="3"/>
  <c r="AO271" i="3"/>
  <c r="AO265" i="3"/>
  <c r="AO264" i="3"/>
  <c r="AO263" i="3"/>
  <c r="AO262" i="3"/>
  <c r="AO261" i="3"/>
  <c r="AO259" i="3"/>
  <c r="AO257" i="3"/>
  <c r="AO249" i="3"/>
  <c r="AO245" i="3"/>
  <c r="AO241" i="3"/>
  <c r="AO244" i="3"/>
  <c r="AO243" i="3"/>
  <c r="DB268" i="3"/>
  <c r="DB252" i="3"/>
  <c r="DB273" i="3"/>
  <c r="DB256" i="3"/>
  <c r="DB272" i="3"/>
  <c r="DB255" i="3"/>
  <c r="DB271" i="3"/>
  <c r="DB251" i="3"/>
  <c r="DB270" i="3"/>
  <c r="DB250" i="3"/>
  <c r="DB269" i="3"/>
  <c r="DB249" i="3"/>
  <c r="DB267" i="3"/>
  <c r="DB248" i="3"/>
  <c r="DB266" i="3"/>
  <c r="DB247" i="3"/>
  <c r="DB264" i="3"/>
  <c r="DB245" i="3"/>
  <c r="DB280" i="3"/>
  <c r="DB253" i="3"/>
  <c r="DB279" i="3"/>
  <c r="DB246" i="3"/>
  <c r="DB278" i="3"/>
  <c r="DB244" i="3"/>
  <c r="DB277" i="3"/>
  <c r="DB243" i="3"/>
  <c r="DB276" i="3"/>
  <c r="DB242" i="3"/>
  <c r="DB241" i="3"/>
  <c r="DB240" i="3"/>
  <c r="DB275" i="3"/>
  <c r="DB274" i="3"/>
  <c r="DB265" i="3"/>
  <c r="DB263" i="3"/>
  <c r="DB262" i="3"/>
  <c r="DB261" i="3"/>
  <c r="DB254" i="3"/>
  <c r="DB260" i="3"/>
  <c r="DB259" i="3"/>
  <c r="DB258" i="3"/>
  <c r="DB257" i="3"/>
  <c r="BO278" i="3"/>
  <c r="BO262" i="3"/>
  <c r="BO246" i="3"/>
  <c r="BO277" i="3"/>
  <c r="BO261" i="3"/>
  <c r="BO245" i="3"/>
  <c r="BO276" i="3"/>
  <c r="BO260" i="3"/>
  <c r="BO244" i="3"/>
  <c r="BO275" i="3"/>
  <c r="BO259" i="3"/>
  <c r="BO243" i="3"/>
  <c r="BO279" i="3"/>
  <c r="BO255" i="3"/>
  <c r="BO274" i="3"/>
  <c r="BO254" i="3"/>
  <c r="BO273" i="3"/>
  <c r="BO253" i="3"/>
  <c r="BO268" i="3"/>
  <c r="BO241" i="3"/>
  <c r="BO267" i="3"/>
  <c r="BO240" i="3"/>
  <c r="BO266" i="3"/>
  <c r="BO265" i="3"/>
  <c r="BO264" i="3"/>
  <c r="BO263" i="3"/>
  <c r="BO258" i="3"/>
  <c r="BO257" i="3"/>
  <c r="BO256" i="3"/>
  <c r="BO252" i="3"/>
  <c r="BO280" i="3"/>
  <c r="BO272" i="3"/>
  <c r="BO271" i="3"/>
  <c r="BO270" i="3"/>
  <c r="BO269" i="3"/>
  <c r="BO251" i="3"/>
  <c r="BO250" i="3"/>
  <c r="BO249" i="3"/>
  <c r="BO248" i="3"/>
  <c r="BO247" i="3"/>
  <c r="BO242" i="3"/>
  <c r="BB265" i="3"/>
  <c r="BB249" i="3"/>
  <c r="BB280" i="3"/>
  <c r="BB264" i="3"/>
  <c r="BB248" i="3"/>
  <c r="BB278" i="3"/>
  <c r="BB262" i="3"/>
  <c r="BB246" i="3"/>
  <c r="BB266" i="3"/>
  <c r="BB244" i="3"/>
  <c r="BB261" i="3"/>
  <c r="BB242" i="3"/>
  <c r="BB270" i="3"/>
  <c r="BB247" i="3"/>
  <c r="BB269" i="3"/>
  <c r="BB245" i="3"/>
  <c r="BB268" i="3"/>
  <c r="BB243" i="3"/>
  <c r="BB267" i="3"/>
  <c r="BB241" i="3"/>
  <c r="BB263" i="3"/>
  <c r="BB240" i="3"/>
  <c r="BB260" i="3"/>
  <c r="BB259" i="3"/>
  <c r="BB258" i="3"/>
  <c r="BB279" i="3"/>
  <c r="BB257" i="3"/>
  <c r="BB277" i="3"/>
  <c r="BB256" i="3"/>
  <c r="BB254" i="3"/>
  <c r="BB253" i="3"/>
  <c r="BB252" i="3"/>
  <c r="BB251" i="3"/>
  <c r="BB250" i="3"/>
  <c r="BB276" i="3"/>
  <c r="BB275" i="3"/>
  <c r="BB274" i="3"/>
  <c r="BB273" i="3"/>
  <c r="BB271" i="3"/>
  <c r="BB255" i="3"/>
  <c r="BB272" i="3"/>
  <c r="AB270" i="3"/>
  <c r="AB254" i="3"/>
  <c r="AB272" i="3"/>
  <c r="AB255" i="3"/>
  <c r="AB269" i="3"/>
  <c r="AB252" i="3"/>
  <c r="AB280" i="3"/>
  <c r="AB261" i="3"/>
  <c r="AB242" i="3"/>
  <c r="AB279" i="3"/>
  <c r="AB260" i="3"/>
  <c r="AB241" i="3"/>
  <c r="AB278" i="3"/>
  <c r="AB259" i="3"/>
  <c r="AB240" i="3"/>
  <c r="AB277" i="3"/>
  <c r="AB258" i="3"/>
  <c r="AB276" i="3"/>
  <c r="AB257" i="3"/>
  <c r="AB274" i="3"/>
  <c r="AB253" i="3"/>
  <c r="AB273" i="3"/>
  <c r="AB251" i="3"/>
  <c r="AB271" i="3"/>
  <c r="AB250" i="3"/>
  <c r="AB245" i="3"/>
  <c r="AB244" i="3"/>
  <c r="AB243" i="3"/>
  <c r="AB275" i="3"/>
  <c r="AB268" i="3"/>
  <c r="AB267" i="3"/>
  <c r="AB266" i="3"/>
  <c r="AB265" i="3"/>
  <c r="AB264" i="3"/>
  <c r="AB263" i="3"/>
  <c r="AB262" i="3"/>
  <c r="AB256" i="3"/>
  <c r="AB249" i="3"/>
  <c r="AB248" i="3"/>
  <c r="AB247" i="3"/>
  <c r="AB246" i="3"/>
  <c r="O273" i="3"/>
  <c r="O257" i="3"/>
  <c r="O241" i="3"/>
  <c r="O278" i="3"/>
  <c r="O261" i="3"/>
  <c r="O244" i="3"/>
  <c r="O266" i="3"/>
  <c r="O248" i="3"/>
  <c r="O265" i="3"/>
  <c r="O247" i="3"/>
  <c r="O264" i="3"/>
  <c r="O246" i="3"/>
  <c r="O280" i="3"/>
  <c r="O262" i="3"/>
  <c r="O243" i="3"/>
  <c r="O277" i="3"/>
  <c r="O259" i="3"/>
  <c r="O240" i="3"/>
  <c r="O276" i="3"/>
  <c r="O258" i="3"/>
  <c r="O275" i="3"/>
  <c r="O256" i="3"/>
  <c r="O253" i="3"/>
  <c r="O252" i="3"/>
  <c r="O251" i="3"/>
  <c r="O250" i="3"/>
  <c r="O279" i="3"/>
  <c r="O249" i="3"/>
  <c r="O274" i="3"/>
  <c r="O245" i="3"/>
  <c r="O272" i="3"/>
  <c r="O242" i="3"/>
  <c r="O271" i="3"/>
  <c r="O270" i="3"/>
  <c r="O269" i="3"/>
  <c r="O268" i="3"/>
  <c r="O267" i="3"/>
  <c r="O263" i="3"/>
  <c r="O255" i="3"/>
  <c r="O254" i="3"/>
  <c r="O260" i="3"/>
  <c r="CO271" i="3"/>
  <c r="CO255" i="3"/>
  <c r="CO278" i="3"/>
  <c r="CO261" i="3"/>
  <c r="CO244" i="3"/>
  <c r="CO270" i="3"/>
  <c r="CO252" i="3"/>
  <c r="CO269" i="3"/>
  <c r="CO251" i="3"/>
  <c r="CO268" i="3"/>
  <c r="CO250" i="3"/>
  <c r="CO267" i="3"/>
  <c r="CO249" i="3"/>
  <c r="CO266" i="3"/>
  <c r="CO248" i="3"/>
  <c r="CO264" i="3"/>
  <c r="CO246" i="3"/>
  <c r="CO276" i="3"/>
  <c r="CO245" i="3"/>
  <c r="CO275" i="3"/>
  <c r="CO243" i="3"/>
  <c r="CO274" i="3"/>
  <c r="CO242" i="3"/>
  <c r="CO273" i="3"/>
  <c r="CO241" i="3"/>
  <c r="CO272" i="3"/>
  <c r="CO240" i="3"/>
  <c r="CO279" i="3"/>
  <c r="CO277" i="3"/>
  <c r="CO265" i="3"/>
  <c r="CO263" i="3"/>
  <c r="CO262" i="3"/>
  <c r="CO260" i="3"/>
  <c r="CO259" i="3"/>
  <c r="CO258" i="3"/>
  <c r="CO257" i="3"/>
  <c r="CO256" i="3"/>
  <c r="CO254" i="3"/>
  <c r="CO280" i="3"/>
  <c r="CO253" i="3"/>
  <c r="CO247" i="3"/>
  <c r="CB274" i="3"/>
  <c r="CB258" i="3"/>
  <c r="CB242" i="3"/>
  <c r="CB267" i="3"/>
  <c r="CB250" i="3"/>
  <c r="CB263" i="3"/>
  <c r="CB245" i="3"/>
  <c r="CB280" i="3"/>
  <c r="CB262" i="3"/>
  <c r="CB244" i="3"/>
  <c r="CB279" i="3"/>
  <c r="CB261" i="3"/>
  <c r="CB243" i="3"/>
  <c r="CB278" i="3"/>
  <c r="CB260" i="3"/>
  <c r="CB241" i="3"/>
  <c r="CB266" i="3"/>
  <c r="CB264" i="3"/>
  <c r="CB259" i="3"/>
  <c r="CB257" i="3"/>
  <c r="CB252" i="3"/>
  <c r="CB251" i="3"/>
  <c r="CB277" i="3"/>
  <c r="CB249" i="3"/>
  <c r="CB276" i="3"/>
  <c r="CB248" i="3"/>
  <c r="CB275" i="3"/>
  <c r="CB247" i="3"/>
  <c r="CB273" i="3"/>
  <c r="CB246" i="3"/>
  <c r="CB272" i="3"/>
  <c r="CB240" i="3"/>
  <c r="CB271" i="3"/>
  <c r="CB270" i="3"/>
  <c r="CB269" i="3"/>
  <c r="CB268" i="3"/>
  <c r="CB255" i="3"/>
  <c r="CB254" i="3"/>
  <c r="CB253" i="3"/>
  <c r="CB265" i="3"/>
  <c r="CB256" i="3"/>
  <c r="CU15" i="3"/>
  <c r="CV15" i="3" s="1"/>
  <c r="CW15" i="3" s="1"/>
  <c r="CX15" i="3" s="1"/>
  <c r="DI14" i="3"/>
  <c r="DG17" i="3"/>
  <c r="DF18" i="3" s="1"/>
  <c r="DG16" i="3"/>
  <c r="DH15" i="3"/>
  <c r="DI15" i="3" s="1"/>
  <c r="DJ15" i="3" s="1"/>
  <c r="CW14" i="3"/>
  <c r="CX14" i="3" s="1"/>
  <c r="CR18" i="3"/>
  <c r="CT16" i="3"/>
  <c r="CS17" i="3" s="1"/>
  <c r="CH16" i="3"/>
  <c r="CI16" i="3" s="1"/>
  <c r="CJ16" i="3" s="1"/>
  <c r="CJ14" i="3"/>
  <c r="CK14" i="3" s="1"/>
  <c r="CE18" i="3"/>
  <c r="CH15" i="3"/>
  <c r="BT17" i="3"/>
  <c r="BS18" i="3" s="1"/>
  <c r="BT16" i="3"/>
  <c r="BV14" i="3"/>
  <c r="BU15" i="3"/>
  <c r="BV15" i="3" s="1"/>
  <c r="BW15" i="3" s="1"/>
  <c r="AH15" i="3"/>
  <c r="AI15" i="3" s="1"/>
  <c r="AJ15" i="3" s="1"/>
  <c r="AK15" i="3" s="1"/>
  <c r="S17" i="3"/>
  <c r="U16" i="3"/>
  <c r="V16" i="3" s="1"/>
  <c r="W16" i="3" s="1"/>
  <c r="BH15" i="3"/>
  <c r="BI15" i="3" s="1"/>
  <c r="BJ15" i="3" s="1"/>
  <c r="BI14" i="3"/>
  <c r="BE18" i="3"/>
  <c r="BG17" i="3" s="1"/>
  <c r="BH16" i="3"/>
  <c r="AU15" i="3"/>
  <c r="AU16" i="3"/>
  <c r="AV16" i="3" s="1"/>
  <c r="AW16" i="3" s="1"/>
  <c r="AW14" i="3"/>
  <c r="AT17" i="3"/>
  <c r="AS18" i="3" s="1"/>
  <c r="AJ14" i="3"/>
  <c r="AK14" i="3" s="1"/>
  <c r="AE18" i="3"/>
  <c r="AG16" i="3"/>
  <c r="AF17" i="3" s="1"/>
  <c r="R18" i="3"/>
  <c r="T17" i="3" s="1"/>
  <c r="S18" i="3" s="1"/>
  <c r="X15" i="3"/>
  <c r="W14" i="3"/>
  <c r="Q19" i="3"/>
  <c r="AD19" i="3"/>
  <c r="AE19" i="3" s="1"/>
  <c r="AQ19" i="3"/>
  <c r="B80" i="3"/>
  <c r="D21" i="3"/>
  <c r="E21" i="3" s="1"/>
  <c r="F17" i="3"/>
  <c r="H16" i="3"/>
  <c r="G18" i="3"/>
  <c r="F19" i="3" s="1"/>
  <c r="CQ19" i="3"/>
  <c r="CD19" i="3"/>
  <c r="CE19" i="3" s="1"/>
  <c r="DB21" i="3"/>
  <c r="BO21" i="3"/>
  <c r="AB21" i="3"/>
  <c r="CO21" i="3"/>
  <c r="AO21" i="3"/>
  <c r="O21" i="3"/>
  <c r="BB21" i="3"/>
  <c r="CB21" i="3"/>
  <c r="BD19" i="3"/>
  <c r="BE19" i="3" s="1"/>
  <c r="DD19" i="3"/>
  <c r="D20" i="3"/>
  <c r="E20" i="3" s="1"/>
  <c r="BQ19" i="3"/>
  <c r="I24" i="6" l="1"/>
  <c r="J23" i="6"/>
  <c r="DD21" i="3"/>
  <c r="DE21" i="3" s="1"/>
  <c r="DJ14" i="3"/>
  <c r="DK14" i="3" s="1"/>
  <c r="DF17" i="3"/>
  <c r="DH16" i="3"/>
  <c r="DE19" i="3"/>
  <c r="DK15" i="3"/>
  <c r="CQ21" i="3"/>
  <c r="CU16" i="3"/>
  <c r="CR19" i="3"/>
  <c r="CT18" i="3" s="1"/>
  <c r="CS19" i="3" s="1"/>
  <c r="CT17" i="3"/>
  <c r="CS18" i="3" s="1"/>
  <c r="CI15" i="3"/>
  <c r="CD21" i="3"/>
  <c r="CG18" i="3"/>
  <c r="CF19" i="3" s="1"/>
  <c r="CG17" i="3"/>
  <c r="CK16" i="3"/>
  <c r="BR19" i="3"/>
  <c r="BT18" i="3" s="1"/>
  <c r="BS19" i="3" s="1"/>
  <c r="BQ21" i="3"/>
  <c r="BR21" i="3" s="1"/>
  <c r="BX15" i="3"/>
  <c r="BW14" i="3"/>
  <c r="BX14" i="3" s="1"/>
  <c r="BS17" i="3"/>
  <c r="BU16" i="3"/>
  <c r="X16" i="3"/>
  <c r="BF18" i="3"/>
  <c r="BH17" i="3"/>
  <c r="BI16" i="3"/>
  <c r="BJ16" i="3" s="1"/>
  <c r="BJ14" i="3"/>
  <c r="BK14" i="3" s="1"/>
  <c r="AG18" i="3"/>
  <c r="AF19" i="3" s="1"/>
  <c r="BK15" i="3"/>
  <c r="BG18" i="3"/>
  <c r="BF19" i="3" s="1"/>
  <c r="BD21" i="3"/>
  <c r="AU17" i="3"/>
  <c r="AX16" i="3"/>
  <c r="AQ21" i="3"/>
  <c r="AR19" i="3"/>
  <c r="AV15" i="3"/>
  <c r="AH16" i="3"/>
  <c r="AI16" i="3" s="1"/>
  <c r="AJ16" i="3" s="1"/>
  <c r="AX14" i="3"/>
  <c r="AG17" i="3"/>
  <c r="AF18" i="3" s="1"/>
  <c r="AD21" i="3"/>
  <c r="R19" i="3"/>
  <c r="T18" i="3" s="1"/>
  <c r="S19" i="3" s="1"/>
  <c r="U17" i="3"/>
  <c r="Q21" i="3"/>
  <c r="X14" i="3"/>
  <c r="Q20" i="3"/>
  <c r="R20" i="3" s="1"/>
  <c r="AD20" i="3"/>
  <c r="AQ20" i="3"/>
  <c r="G20" i="3"/>
  <c r="F21" i="3" s="1"/>
  <c r="I16" i="3"/>
  <c r="H17" i="3"/>
  <c r="I17" i="3" s="1"/>
  <c r="H18" i="3"/>
  <c r="G19" i="3"/>
  <c r="F20" i="3" s="1"/>
  <c r="CD20" i="3"/>
  <c r="CE20" i="3" s="1"/>
  <c r="BD20" i="3"/>
  <c r="BE20" i="3" s="1"/>
  <c r="BG19" i="3" s="1"/>
  <c r="BF20" i="3" s="1"/>
  <c r="CQ20" i="3"/>
  <c r="CR20" i="3" s="1"/>
  <c r="BQ20" i="3"/>
  <c r="BR20" i="3" s="1"/>
  <c r="DD20" i="3"/>
  <c r="I25" i="6" l="1"/>
  <c r="J24" i="6"/>
  <c r="DE20" i="3"/>
  <c r="DG20" i="3" s="1"/>
  <c r="DF21" i="3" s="1"/>
  <c r="DH21" i="3" s="1"/>
  <c r="DG18" i="3"/>
  <c r="DI16" i="3"/>
  <c r="DH17" i="3"/>
  <c r="DI17" i="3" s="1"/>
  <c r="DJ17" i="3" s="1"/>
  <c r="CU18" i="3"/>
  <c r="CV18" i="3" s="1"/>
  <c r="CW18" i="3" s="1"/>
  <c r="CR21" i="3"/>
  <c r="CT20" i="3" s="1"/>
  <c r="CS21" i="3" s="1"/>
  <c r="CT19" i="3"/>
  <c r="CS20" i="3" s="1"/>
  <c r="CV16" i="3"/>
  <c r="CU17" i="3"/>
  <c r="CF18" i="3"/>
  <c r="CH17" i="3"/>
  <c r="CE21" i="3"/>
  <c r="CG20" i="3" s="1"/>
  <c r="CF21" i="3" s="1"/>
  <c r="CH21" i="3" s="1"/>
  <c r="AK16" i="3"/>
  <c r="CJ15" i="3"/>
  <c r="CK15" i="3" s="1"/>
  <c r="BU18" i="3"/>
  <c r="BV18" i="3" s="1"/>
  <c r="BW18" i="3" s="1"/>
  <c r="CG19" i="3"/>
  <c r="CF20" i="3" s="1"/>
  <c r="BT19" i="3"/>
  <c r="BS20" i="3" s="1"/>
  <c r="BT20" i="3"/>
  <c r="BS21" i="3" s="1"/>
  <c r="BU21" i="3" s="1"/>
  <c r="BV16" i="3"/>
  <c r="BU17" i="3"/>
  <c r="BV17" i="3" s="1"/>
  <c r="BW17" i="3" s="1"/>
  <c r="BH19" i="3"/>
  <c r="BK16" i="3"/>
  <c r="BI17" i="3"/>
  <c r="BE21" i="3"/>
  <c r="BG20" i="3" s="1"/>
  <c r="BF21" i="3" s="1"/>
  <c r="BH21" i="3" s="1"/>
  <c r="BH18" i="3"/>
  <c r="BI18" i="3" s="1"/>
  <c r="BJ18" i="3" s="1"/>
  <c r="AW15" i="3"/>
  <c r="AX15" i="3" s="1"/>
  <c r="AV17" i="3"/>
  <c r="AW17" i="3" s="1"/>
  <c r="AX17" i="3" s="1"/>
  <c r="AR20" i="3"/>
  <c r="AT19" i="3" s="1"/>
  <c r="AS20" i="3" s="1"/>
  <c r="AT18" i="3"/>
  <c r="AR21" i="3"/>
  <c r="AE21" i="3"/>
  <c r="AH18" i="3"/>
  <c r="AI18" i="3" s="1"/>
  <c r="AJ18" i="3" s="1"/>
  <c r="AE20" i="3"/>
  <c r="AH17" i="3"/>
  <c r="R21" i="3"/>
  <c r="T20" i="3" s="1"/>
  <c r="S21" i="3" s="1"/>
  <c r="V17" i="3"/>
  <c r="U18" i="3"/>
  <c r="T19" i="3"/>
  <c r="S20" i="3" s="1"/>
  <c r="I18" i="3"/>
  <c r="J18" i="3" s="1"/>
  <c r="H21" i="3"/>
  <c r="H19" i="3"/>
  <c r="H20" i="3"/>
  <c r="J17" i="3"/>
  <c r="J16" i="3"/>
  <c r="B26" i="4" a="1"/>
  <c r="I26" i="6" l="1"/>
  <c r="J25" i="6"/>
  <c r="DG19" i="3"/>
  <c r="DF20" i="3" s="1"/>
  <c r="DH20" i="3" s="1"/>
  <c r="DI20" i="3" s="1"/>
  <c r="DJ20" i="3" s="1"/>
  <c r="DJ16" i="3"/>
  <c r="DF19" i="3"/>
  <c r="DH18" i="3"/>
  <c r="DK17" i="3"/>
  <c r="DI21" i="3"/>
  <c r="DJ21" i="3" s="1"/>
  <c r="DK21" i="3" s="1"/>
  <c r="CU21" i="3"/>
  <c r="CV21" i="3" s="1"/>
  <c r="CW21" i="3" s="1"/>
  <c r="CW16" i="3"/>
  <c r="CV17" i="3"/>
  <c r="CW17" i="3" s="1"/>
  <c r="CX16" i="3"/>
  <c r="CH20" i="3"/>
  <c r="CI20" i="3" s="1"/>
  <c r="CJ20" i="3" s="1"/>
  <c r="BX18" i="3"/>
  <c r="CX18" i="3"/>
  <c r="CU20" i="3"/>
  <c r="CU19" i="3"/>
  <c r="CH19" i="3"/>
  <c r="BU19" i="3"/>
  <c r="BV19" i="3" s="1"/>
  <c r="BW19" i="3" s="1"/>
  <c r="CI17" i="3"/>
  <c r="CI21" i="3"/>
  <c r="CJ21" i="3" s="1"/>
  <c r="CH18" i="3"/>
  <c r="BX17" i="3"/>
  <c r="BW16" i="3"/>
  <c r="BV21" i="3"/>
  <c r="BW21" i="3" s="1"/>
  <c r="BU20" i="3"/>
  <c r="BI21" i="3"/>
  <c r="BJ21" i="3" s="1"/>
  <c r="BK18" i="3"/>
  <c r="BJ17" i="3"/>
  <c r="BK17" i="3" s="1"/>
  <c r="BI19" i="3"/>
  <c r="BJ19" i="3" s="1"/>
  <c r="BK19" i="3" s="1"/>
  <c r="BH20" i="3"/>
  <c r="AS19" i="3"/>
  <c r="AU18" i="3"/>
  <c r="AT20" i="3"/>
  <c r="AS21" i="3" s="1"/>
  <c r="AI17" i="3"/>
  <c r="AG20" i="3"/>
  <c r="AF21" i="3" s="1"/>
  <c r="AG19" i="3"/>
  <c r="AK18" i="3"/>
  <c r="U21" i="3"/>
  <c r="V21" i="3" s="1"/>
  <c r="W21" i="3" s="1"/>
  <c r="V18" i="3"/>
  <c r="W18" i="3" s="1"/>
  <c r="U20" i="3"/>
  <c r="U19" i="3"/>
  <c r="W17" i="3"/>
  <c r="K18" i="3"/>
  <c r="K16" i="3"/>
  <c r="I20" i="3"/>
  <c r="J20" i="3" s="1"/>
  <c r="I19" i="3"/>
  <c r="J19" i="3" s="1"/>
  <c r="K19" i="3" s="1"/>
  <c r="C27" i="3" a="1"/>
  <c r="I21" i="3"/>
  <c r="K17" i="3"/>
  <c r="B26" i="4"/>
  <c r="B58" i="4"/>
  <c r="B42" i="4"/>
  <c r="B64" i="4"/>
  <c r="B54" i="4"/>
  <c r="B48" i="4"/>
  <c r="B38" i="4"/>
  <c r="B32" i="4"/>
  <c r="B61" i="4"/>
  <c r="B55" i="4"/>
  <c r="B45" i="4"/>
  <c r="B39" i="4"/>
  <c r="B29" i="4"/>
  <c r="B62" i="4"/>
  <c r="B52" i="4"/>
  <c r="B46" i="4"/>
  <c r="B36" i="4"/>
  <c r="B30" i="4"/>
  <c r="B65" i="4"/>
  <c r="B66" i="4"/>
  <c r="B53" i="4"/>
  <c r="B49" i="4"/>
  <c r="B59" i="4"/>
  <c r="B37" i="4"/>
  <c r="B33" i="4"/>
  <c r="B43" i="4"/>
  <c r="B60" i="4"/>
  <c r="B41" i="4"/>
  <c r="B56" i="4"/>
  <c r="B27" i="4"/>
  <c r="B44" i="4"/>
  <c r="B40" i="4"/>
  <c r="B50" i="4"/>
  <c r="B28" i="4"/>
  <c r="B31" i="4"/>
  <c r="B63" i="4"/>
  <c r="B34" i="4"/>
  <c r="B51" i="4"/>
  <c r="B47" i="4"/>
  <c r="B57" i="4"/>
  <c r="B35" i="4"/>
  <c r="I27" i="6" l="1"/>
  <c r="J26" i="6"/>
  <c r="CC27" i="3" a="1"/>
  <c r="CC29" i="3" s="1"/>
  <c r="AU20" i="3"/>
  <c r="AV20" i="3" s="1"/>
  <c r="AW20" i="3" s="1"/>
  <c r="DK20" i="3"/>
  <c r="DI18" i="3"/>
  <c r="BK21" i="3"/>
  <c r="BC27" i="3" s="1" a="1"/>
  <c r="BC62" i="3" s="1"/>
  <c r="DH19" i="3"/>
  <c r="DI19" i="3" s="1"/>
  <c r="DJ19" i="3" s="1"/>
  <c r="DK16" i="3"/>
  <c r="CI18" i="3"/>
  <c r="CJ18" i="3" s="1"/>
  <c r="CK20" i="3"/>
  <c r="CX17" i="3"/>
  <c r="CV20" i="3"/>
  <c r="CW20" i="3" s="1"/>
  <c r="CX20" i="3" s="1"/>
  <c r="CP27" i="3" a="1"/>
  <c r="CV19" i="3"/>
  <c r="CW19" i="3" s="1"/>
  <c r="CX21" i="3"/>
  <c r="CJ17" i="3"/>
  <c r="CK17" i="3" s="1"/>
  <c r="CI19" i="3"/>
  <c r="CJ19" i="3" s="1"/>
  <c r="CK21" i="3"/>
  <c r="BV20" i="3"/>
  <c r="BP27" i="3" a="1"/>
  <c r="BX21" i="3"/>
  <c r="BX19" i="3"/>
  <c r="BX16" i="3"/>
  <c r="BI20" i="3"/>
  <c r="BJ20" i="3" s="1"/>
  <c r="BE27" i="3" s="1" a="1"/>
  <c r="AV18" i="3"/>
  <c r="AU19" i="3"/>
  <c r="AV19" i="3" s="1"/>
  <c r="AW19" i="3" s="1"/>
  <c r="AU21" i="3"/>
  <c r="AV21" i="3" s="1"/>
  <c r="AW21" i="3" s="1"/>
  <c r="AF20" i="3"/>
  <c r="AH19" i="3"/>
  <c r="AH21" i="3"/>
  <c r="AI21" i="3" s="1"/>
  <c r="AJ21" i="3" s="1"/>
  <c r="AJ17" i="3"/>
  <c r="AK17" i="3" s="1"/>
  <c r="X18" i="3"/>
  <c r="V20" i="3"/>
  <c r="W20" i="3" s="1"/>
  <c r="X20" i="3" s="1"/>
  <c r="V19" i="3"/>
  <c r="W19" i="3" s="1"/>
  <c r="P27" i="3" a="1"/>
  <c r="X21" i="3"/>
  <c r="X17" i="3"/>
  <c r="D27" i="3" a="1"/>
  <c r="D42" i="3" s="1"/>
  <c r="J21" i="3"/>
  <c r="E27" i="3" s="1" a="1"/>
  <c r="C31" i="3"/>
  <c r="C55" i="3"/>
  <c r="C60" i="3"/>
  <c r="C39" i="3"/>
  <c r="C37" i="3"/>
  <c r="C28" i="3"/>
  <c r="C42" i="3"/>
  <c r="C36" i="3"/>
  <c r="C54" i="3"/>
  <c r="C40" i="3"/>
  <c r="C50" i="3"/>
  <c r="C61" i="3"/>
  <c r="C45" i="3"/>
  <c r="C38" i="3"/>
  <c r="C27" i="3"/>
  <c r="C29" i="3"/>
  <c r="C58" i="3"/>
  <c r="C53" i="3"/>
  <c r="C30" i="3"/>
  <c r="C65" i="3"/>
  <c r="C52" i="3"/>
  <c r="C59" i="3"/>
  <c r="C43" i="3"/>
  <c r="C62" i="3"/>
  <c r="C49" i="3"/>
  <c r="C64" i="3"/>
  <c r="C33" i="3"/>
  <c r="C47" i="3"/>
  <c r="C32" i="3"/>
  <c r="C67" i="3"/>
  <c r="C51" i="3"/>
  <c r="C63" i="3"/>
  <c r="C66" i="3"/>
  <c r="C48" i="3"/>
  <c r="C41" i="3"/>
  <c r="C56" i="3"/>
  <c r="C44" i="3"/>
  <c r="C35" i="3"/>
  <c r="C34" i="3"/>
  <c r="C57" i="3"/>
  <c r="C46" i="3"/>
  <c r="K20" i="3"/>
  <c r="I28" i="6" l="1"/>
  <c r="J27" i="6"/>
  <c r="CQ27" i="3" a="1"/>
  <c r="CQ45" i="3" s="1"/>
  <c r="CR27" i="3" a="1"/>
  <c r="CR29" i="3" s="1"/>
  <c r="CK19" i="3"/>
  <c r="CC34" i="3"/>
  <c r="CC52" i="3"/>
  <c r="CC46" i="3"/>
  <c r="CC48" i="3"/>
  <c r="CC32" i="3"/>
  <c r="CC42" i="3"/>
  <c r="CC63" i="3"/>
  <c r="CC60" i="3"/>
  <c r="CC54" i="3"/>
  <c r="CC44" i="3"/>
  <c r="CC38" i="3"/>
  <c r="CC47" i="3"/>
  <c r="CC27" i="3"/>
  <c r="CC56" i="3"/>
  <c r="CC31" i="3"/>
  <c r="CC62" i="3"/>
  <c r="CC37" i="3"/>
  <c r="CC67" i="3"/>
  <c r="CC39" i="3"/>
  <c r="CC30" i="3"/>
  <c r="CC36" i="3"/>
  <c r="CC59" i="3"/>
  <c r="CC50" i="3"/>
  <c r="CC43" i="3"/>
  <c r="CC33" i="3"/>
  <c r="CC66" i="3"/>
  <c r="CC49" i="3"/>
  <c r="CC40" i="3"/>
  <c r="CC61" i="3"/>
  <c r="CC65" i="3"/>
  <c r="CC35" i="3"/>
  <c r="CC51" i="3"/>
  <c r="CC28" i="3"/>
  <c r="BC41" i="3"/>
  <c r="BC29" i="3"/>
  <c r="BC58" i="3"/>
  <c r="BC33" i="3"/>
  <c r="BC46" i="3"/>
  <c r="BC67" i="3"/>
  <c r="BC31" i="3"/>
  <c r="BC45" i="3"/>
  <c r="BC56" i="3"/>
  <c r="BC52" i="3"/>
  <c r="BC39" i="3"/>
  <c r="BC42" i="3"/>
  <c r="BC51" i="3"/>
  <c r="BC32" i="3"/>
  <c r="BC50" i="3"/>
  <c r="BC44" i="3"/>
  <c r="BC53" i="3"/>
  <c r="BC49" i="3"/>
  <c r="BC59" i="3"/>
  <c r="BC40" i="3"/>
  <c r="CC64" i="3"/>
  <c r="CC53" i="3"/>
  <c r="BC61" i="3"/>
  <c r="BC65" i="3"/>
  <c r="BC27" i="3"/>
  <c r="BC47" i="3"/>
  <c r="BC48" i="3"/>
  <c r="CC57" i="3"/>
  <c r="CC45" i="3"/>
  <c r="BC66" i="3"/>
  <c r="BC54" i="3"/>
  <c r="BC64" i="3"/>
  <c r="BC34" i="3"/>
  <c r="BC37" i="3"/>
  <c r="BC63" i="3"/>
  <c r="CC55" i="3"/>
  <c r="CC58" i="3"/>
  <c r="BC60" i="3"/>
  <c r="BC30" i="3"/>
  <c r="BC43" i="3"/>
  <c r="BC57" i="3"/>
  <c r="BC35" i="3"/>
  <c r="BC38" i="3"/>
  <c r="CC41" i="3"/>
  <c r="CD27" i="3" a="1"/>
  <c r="CD47" i="3" s="1"/>
  <c r="DK19" i="3"/>
  <c r="DC27" i="3" a="1"/>
  <c r="CK18" i="3"/>
  <c r="CF27" i="3" s="1" a="1"/>
  <c r="BC28" i="3"/>
  <c r="BC55" i="3"/>
  <c r="DJ18" i="3"/>
  <c r="DD27" i="3" a="1"/>
  <c r="BK20" i="3"/>
  <c r="BF27" i="3" s="1" a="1"/>
  <c r="BF29" i="3" s="1"/>
  <c r="BC36" i="3"/>
  <c r="CX19" i="3"/>
  <c r="CS27" i="3" s="1" a="1"/>
  <c r="CP65" i="3"/>
  <c r="CP59" i="3"/>
  <c r="CP64" i="3"/>
  <c r="CP28" i="3"/>
  <c r="CP56" i="3"/>
  <c r="CP44" i="3"/>
  <c r="CP55" i="3"/>
  <c r="CP49" i="3"/>
  <c r="CP37" i="3"/>
  <c r="CP51" i="3"/>
  <c r="CP34" i="3"/>
  <c r="CP36" i="3"/>
  <c r="CP27" i="3"/>
  <c r="CP32" i="3"/>
  <c r="CP43" i="3"/>
  <c r="CP48" i="3"/>
  <c r="CP66" i="3"/>
  <c r="CP40" i="3"/>
  <c r="CP45" i="3"/>
  <c r="CP61" i="3"/>
  <c r="CP31" i="3"/>
  <c r="CP35" i="3"/>
  <c r="CP39" i="3"/>
  <c r="CP50" i="3"/>
  <c r="CP47" i="3"/>
  <c r="CP38" i="3"/>
  <c r="CP41" i="3"/>
  <c r="CP63" i="3"/>
  <c r="CP29" i="3"/>
  <c r="CP67" i="3"/>
  <c r="CP42" i="3"/>
  <c r="CP53" i="3"/>
  <c r="CP33" i="3"/>
  <c r="CP60" i="3"/>
  <c r="CP58" i="3"/>
  <c r="CP30" i="3"/>
  <c r="CP46" i="3"/>
  <c r="CP52" i="3"/>
  <c r="CP62" i="3"/>
  <c r="CP57" i="3"/>
  <c r="CP54" i="3"/>
  <c r="CE27" i="3" a="1"/>
  <c r="R27" i="3" a="1"/>
  <c r="R33" i="3" s="1"/>
  <c r="BD27" i="3" a="1"/>
  <c r="BD58" i="3" s="1"/>
  <c r="BP65" i="3"/>
  <c r="BP50" i="3"/>
  <c r="BP55" i="3"/>
  <c r="BP47" i="3"/>
  <c r="BP36" i="3"/>
  <c r="BP58" i="3"/>
  <c r="BP56" i="3"/>
  <c r="BP28" i="3"/>
  <c r="BP29" i="3"/>
  <c r="BP32" i="3"/>
  <c r="BP52" i="3"/>
  <c r="BP45" i="3"/>
  <c r="BP46" i="3"/>
  <c r="BP35" i="3"/>
  <c r="BP62" i="3"/>
  <c r="BP33" i="3"/>
  <c r="BP67" i="3"/>
  <c r="BP49" i="3"/>
  <c r="BP66" i="3"/>
  <c r="BP43" i="3"/>
  <c r="BP41" i="3"/>
  <c r="BP34" i="3"/>
  <c r="BP51" i="3"/>
  <c r="BP57" i="3"/>
  <c r="BP27" i="3"/>
  <c r="BP37" i="3"/>
  <c r="BP59" i="3"/>
  <c r="BP30" i="3"/>
  <c r="BP63" i="3"/>
  <c r="BP39" i="3"/>
  <c r="BP31" i="3"/>
  <c r="BP44" i="3"/>
  <c r="BP53" i="3"/>
  <c r="BP60" i="3"/>
  <c r="BP54" i="3"/>
  <c r="BP42" i="3"/>
  <c r="BP61" i="3"/>
  <c r="BP48" i="3"/>
  <c r="BP64" i="3"/>
  <c r="BP40" i="3"/>
  <c r="BP38" i="3"/>
  <c r="BW20" i="3"/>
  <c r="BX20" i="3" s="1"/>
  <c r="BR27" i="3" s="1" a="1"/>
  <c r="BQ27" i="3" a="1"/>
  <c r="BE61" i="3"/>
  <c r="BE31" i="3"/>
  <c r="BE65" i="3"/>
  <c r="BE45" i="3"/>
  <c r="BE42" i="3"/>
  <c r="BE47" i="3"/>
  <c r="BE52" i="3"/>
  <c r="BE57" i="3"/>
  <c r="BE33" i="3"/>
  <c r="BE30" i="3"/>
  <c r="BE37" i="3"/>
  <c r="BE64" i="3"/>
  <c r="BE55" i="3"/>
  <c r="BE46" i="3"/>
  <c r="BE66" i="3"/>
  <c r="BE58" i="3"/>
  <c r="BE54" i="3"/>
  <c r="BE41" i="3"/>
  <c r="BE43" i="3"/>
  <c r="BE32" i="3"/>
  <c r="BE59" i="3"/>
  <c r="BE49" i="3"/>
  <c r="BE40" i="3"/>
  <c r="BE28" i="3"/>
  <c r="BE35" i="3"/>
  <c r="BE51" i="3"/>
  <c r="BE67" i="3"/>
  <c r="BE38" i="3"/>
  <c r="BE27" i="3"/>
  <c r="BE63" i="3"/>
  <c r="BE34" i="3"/>
  <c r="BE44" i="3"/>
  <c r="BE36" i="3"/>
  <c r="BE48" i="3"/>
  <c r="BE53" i="3"/>
  <c r="BE56" i="3"/>
  <c r="BE29" i="3"/>
  <c r="BE50" i="3"/>
  <c r="BE39" i="3"/>
  <c r="BE62" i="3"/>
  <c r="BE60" i="3"/>
  <c r="AX21" i="3"/>
  <c r="AX20" i="3"/>
  <c r="AX19" i="3"/>
  <c r="AP27" i="3" a="1"/>
  <c r="AW18" i="3"/>
  <c r="AX18" i="3" s="1"/>
  <c r="AQ27" i="3" a="1"/>
  <c r="S27" i="3" a="1"/>
  <c r="S66" i="3" s="1"/>
  <c r="X19" i="3"/>
  <c r="AK21" i="3"/>
  <c r="AI19" i="3"/>
  <c r="AH20" i="3"/>
  <c r="AI20" i="3" s="1"/>
  <c r="AJ20" i="3" s="1"/>
  <c r="P65" i="3"/>
  <c r="P37" i="3"/>
  <c r="P51" i="3"/>
  <c r="P64" i="3"/>
  <c r="P50" i="3"/>
  <c r="P59" i="3"/>
  <c r="P43" i="3"/>
  <c r="P52" i="3"/>
  <c r="P48" i="3"/>
  <c r="P56" i="3"/>
  <c r="P27" i="3"/>
  <c r="P42" i="3"/>
  <c r="P49" i="3"/>
  <c r="P39" i="3"/>
  <c r="P28" i="3"/>
  <c r="P35" i="3"/>
  <c r="P34" i="3"/>
  <c r="P44" i="3"/>
  <c r="P40" i="3"/>
  <c r="P62" i="3"/>
  <c r="P29" i="3"/>
  <c r="P31" i="3"/>
  <c r="P61" i="3"/>
  <c r="P45" i="3"/>
  <c r="P47" i="3"/>
  <c r="P30" i="3"/>
  <c r="P54" i="3"/>
  <c r="P38" i="3"/>
  <c r="P55" i="3"/>
  <c r="P66" i="3"/>
  <c r="P41" i="3"/>
  <c r="P67" i="3"/>
  <c r="P57" i="3"/>
  <c r="P60" i="3"/>
  <c r="P36" i="3"/>
  <c r="P33" i="3"/>
  <c r="P58" i="3"/>
  <c r="P53" i="3"/>
  <c r="P63" i="3"/>
  <c r="P46" i="3"/>
  <c r="P32" i="3"/>
  <c r="Q27" i="3" a="1"/>
  <c r="D33" i="3"/>
  <c r="D39" i="3"/>
  <c r="D51" i="3"/>
  <c r="D62" i="3"/>
  <c r="D44" i="3"/>
  <c r="D29" i="3"/>
  <c r="D53" i="3"/>
  <c r="D50" i="3"/>
  <c r="D27" i="3"/>
  <c r="D34" i="3"/>
  <c r="D38" i="3"/>
  <c r="D36" i="3"/>
  <c r="D55" i="3"/>
  <c r="D46" i="3"/>
  <c r="D48" i="3"/>
  <c r="D58" i="3"/>
  <c r="D59" i="3"/>
  <c r="D37" i="3"/>
  <c r="D65" i="3"/>
  <c r="D47" i="3"/>
  <c r="D28" i="3"/>
  <c r="D30" i="3"/>
  <c r="D35" i="3"/>
  <c r="D40" i="3"/>
  <c r="D57" i="3"/>
  <c r="D32" i="3"/>
  <c r="D64" i="3"/>
  <c r="D66" i="3"/>
  <c r="D56" i="3"/>
  <c r="D43" i="3"/>
  <c r="D45" i="3"/>
  <c r="D63" i="3"/>
  <c r="D31" i="3"/>
  <c r="D61" i="3"/>
  <c r="D49" i="3"/>
  <c r="D60" i="3"/>
  <c r="D52" i="3"/>
  <c r="D41" i="3"/>
  <c r="D54" i="3"/>
  <c r="D67" i="3"/>
  <c r="K21" i="3"/>
  <c r="E59" i="3"/>
  <c r="E54" i="3"/>
  <c r="E43" i="3"/>
  <c r="E55" i="3"/>
  <c r="E41" i="3"/>
  <c r="E60" i="3"/>
  <c r="E64" i="3"/>
  <c r="E53" i="3"/>
  <c r="E29" i="3"/>
  <c r="E52" i="3"/>
  <c r="E63" i="3"/>
  <c r="E37" i="3"/>
  <c r="E66" i="3"/>
  <c r="E48" i="3"/>
  <c r="E57" i="3"/>
  <c r="E33" i="3"/>
  <c r="E38" i="3"/>
  <c r="E46" i="3"/>
  <c r="E39" i="3"/>
  <c r="E36" i="3"/>
  <c r="E31" i="3"/>
  <c r="E42" i="3"/>
  <c r="E62" i="3"/>
  <c r="E34" i="3"/>
  <c r="E51" i="3"/>
  <c r="E50" i="3"/>
  <c r="E49" i="3"/>
  <c r="E27" i="3"/>
  <c r="E40" i="3"/>
  <c r="E56" i="3"/>
  <c r="E67" i="3"/>
  <c r="E45" i="3"/>
  <c r="E47" i="3"/>
  <c r="E30" i="3"/>
  <c r="E61" i="3"/>
  <c r="E58" i="3"/>
  <c r="E35" i="3"/>
  <c r="E44" i="3"/>
  <c r="E28" i="3"/>
  <c r="E65" i="3"/>
  <c r="E32" i="3"/>
  <c r="I29" i="6" l="1"/>
  <c r="J28" i="6"/>
  <c r="CQ39" i="3"/>
  <c r="CQ53" i="3"/>
  <c r="CQ55" i="3"/>
  <c r="CQ30" i="3"/>
  <c r="CQ52" i="3"/>
  <c r="CQ46" i="3"/>
  <c r="CQ29" i="3"/>
  <c r="CQ42" i="3"/>
  <c r="CQ66" i="3"/>
  <c r="CQ57" i="3"/>
  <c r="CQ41" i="3"/>
  <c r="CQ32" i="3"/>
  <c r="CQ62" i="3"/>
  <c r="CQ60" i="3"/>
  <c r="CQ56" i="3"/>
  <c r="CQ31" i="3"/>
  <c r="CQ50" i="3"/>
  <c r="CQ44" i="3"/>
  <c r="CQ65" i="3"/>
  <c r="CQ48" i="3"/>
  <c r="CQ54" i="3"/>
  <c r="CQ49" i="3"/>
  <c r="CQ40" i="3"/>
  <c r="CQ27" i="3"/>
  <c r="CQ38" i="3"/>
  <c r="CQ58" i="3"/>
  <c r="CQ59" i="3"/>
  <c r="CQ37" i="3"/>
  <c r="CQ33" i="3"/>
  <c r="CQ28" i="3"/>
  <c r="CQ64" i="3"/>
  <c r="CQ61" i="3"/>
  <c r="CQ43" i="3"/>
  <c r="CQ67" i="3"/>
  <c r="CQ34" i="3"/>
  <c r="CQ63" i="3"/>
  <c r="CQ47" i="3"/>
  <c r="CQ36" i="3"/>
  <c r="CQ51" i="3"/>
  <c r="CQ35" i="3"/>
  <c r="CR31" i="3"/>
  <c r="CR41" i="3"/>
  <c r="CR47" i="3"/>
  <c r="CR52" i="3"/>
  <c r="CR30" i="3"/>
  <c r="CR36" i="3"/>
  <c r="CR34" i="3"/>
  <c r="AC27" i="3" a="1"/>
  <c r="AC39" i="3" s="1"/>
  <c r="CR63" i="3"/>
  <c r="CR49" i="3"/>
  <c r="CR42" i="3"/>
  <c r="CR37" i="3"/>
  <c r="CR27" i="3"/>
  <c r="CR32" i="3"/>
  <c r="CR64" i="3"/>
  <c r="CR48" i="3"/>
  <c r="CR50" i="3"/>
  <c r="CR61" i="3"/>
  <c r="CR57" i="3"/>
  <c r="CR60" i="3"/>
  <c r="CR44" i="3"/>
  <c r="CR39" i="3"/>
  <c r="CR38" i="3"/>
  <c r="CR58" i="3"/>
  <c r="CR28" i="3"/>
  <c r="CR56" i="3"/>
  <c r="CR66" i="3"/>
  <c r="CR43" i="3"/>
  <c r="CR65" i="3"/>
  <c r="CR51" i="3"/>
  <c r="CR46" i="3"/>
  <c r="CR59" i="3"/>
  <c r="CR33" i="3"/>
  <c r="CR67" i="3"/>
  <c r="CR62" i="3"/>
  <c r="CR40" i="3"/>
  <c r="CR35" i="3"/>
  <c r="CR55" i="3"/>
  <c r="CR45" i="3"/>
  <c r="CR53" i="3"/>
  <c r="CR54" i="3"/>
  <c r="CD41" i="3"/>
  <c r="CD53" i="3"/>
  <c r="CD51" i="3"/>
  <c r="CD43" i="3"/>
  <c r="CD45" i="3"/>
  <c r="CD29" i="3"/>
  <c r="CD37" i="3"/>
  <c r="CD27" i="3"/>
  <c r="CD62" i="3"/>
  <c r="CD28" i="3"/>
  <c r="CD34" i="3"/>
  <c r="CD46" i="3"/>
  <c r="CD48" i="3"/>
  <c r="CD42" i="3"/>
  <c r="CD66" i="3"/>
  <c r="CD44" i="3"/>
  <c r="CD35" i="3"/>
  <c r="CD57" i="3"/>
  <c r="CD32" i="3"/>
  <c r="CD36" i="3"/>
  <c r="BF60" i="3"/>
  <c r="CD38" i="3"/>
  <c r="CD49" i="3"/>
  <c r="BF53" i="3"/>
  <c r="CD56" i="3"/>
  <c r="CD67" i="3"/>
  <c r="CD30" i="3"/>
  <c r="AS27" i="3" a="1"/>
  <c r="AS28" i="3" s="1"/>
  <c r="BF28" i="3"/>
  <c r="CD50" i="3"/>
  <c r="CD59" i="3"/>
  <c r="CD33" i="3"/>
  <c r="CD64" i="3"/>
  <c r="CD52" i="3"/>
  <c r="BF43" i="3"/>
  <c r="CD31" i="3"/>
  <c r="CD58" i="3"/>
  <c r="CD40" i="3"/>
  <c r="BF67" i="3"/>
  <c r="CD61" i="3"/>
  <c r="CD60" i="3"/>
  <c r="CD55" i="3"/>
  <c r="BF39" i="3"/>
  <c r="BF61" i="3"/>
  <c r="BF31" i="3"/>
  <c r="BF37" i="3"/>
  <c r="BF44" i="3"/>
  <c r="BF35" i="3"/>
  <c r="BF58" i="3"/>
  <c r="BF62" i="3"/>
  <c r="BF42" i="3"/>
  <c r="BF41" i="3"/>
  <c r="DD55" i="3"/>
  <c r="DD64" i="3"/>
  <c r="DD48" i="3"/>
  <c r="DD52" i="3"/>
  <c r="DD34" i="3"/>
  <c r="DD58" i="3"/>
  <c r="DD30" i="3"/>
  <c r="DD27" i="3"/>
  <c r="DD56" i="3"/>
  <c r="DD61" i="3"/>
  <c r="DD54" i="3"/>
  <c r="DD32" i="3"/>
  <c r="DD31" i="3"/>
  <c r="DD45" i="3"/>
  <c r="DD63" i="3"/>
  <c r="DD47" i="3"/>
  <c r="DD35" i="3"/>
  <c r="DD57" i="3"/>
  <c r="DD46" i="3"/>
  <c r="DD67" i="3"/>
  <c r="DD65" i="3"/>
  <c r="DD44" i="3"/>
  <c r="DD43" i="3"/>
  <c r="DD38" i="3"/>
  <c r="DD51" i="3"/>
  <c r="DD29" i="3"/>
  <c r="DD37" i="3"/>
  <c r="DD39" i="3"/>
  <c r="DD49" i="3"/>
  <c r="DD66" i="3"/>
  <c r="DD40" i="3"/>
  <c r="DD59" i="3"/>
  <c r="DD33" i="3"/>
  <c r="DD60" i="3"/>
  <c r="DD50" i="3"/>
  <c r="DD28" i="3"/>
  <c r="DD36" i="3"/>
  <c r="DD53" i="3"/>
  <c r="DD41" i="3"/>
  <c r="DD42" i="3"/>
  <c r="DD62" i="3"/>
  <c r="DK18" i="3"/>
  <c r="DF27" i="3" s="1" a="1"/>
  <c r="DE27" i="3" a="1"/>
  <c r="BF48" i="3"/>
  <c r="BF52" i="3"/>
  <c r="BF66" i="3"/>
  <c r="BF46" i="3"/>
  <c r="BF30" i="3"/>
  <c r="BF45" i="3"/>
  <c r="CD65" i="3"/>
  <c r="BF34" i="3"/>
  <c r="BF63" i="3"/>
  <c r="BF49" i="3"/>
  <c r="DC65" i="3"/>
  <c r="DC40" i="3"/>
  <c r="DC57" i="3"/>
  <c r="DC41" i="3"/>
  <c r="DC33" i="3"/>
  <c r="DC34" i="3"/>
  <c r="DC38" i="3"/>
  <c r="DC44" i="3"/>
  <c r="DC58" i="3"/>
  <c r="DC36" i="3"/>
  <c r="DC59" i="3"/>
  <c r="DC27" i="3"/>
  <c r="DC63" i="3"/>
  <c r="DC30" i="3"/>
  <c r="DC51" i="3"/>
  <c r="DC50" i="3"/>
  <c r="DC45" i="3"/>
  <c r="DC62" i="3"/>
  <c r="DC48" i="3"/>
  <c r="DC52" i="3"/>
  <c r="DC53" i="3"/>
  <c r="DC64" i="3"/>
  <c r="DC43" i="3"/>
  <c r="DC55" i="3"/>
  <c r="DC35" i="3"/>
  <c r="DC67" i="3"/>
  <c r="DC42" i="3"/>
  <c r="DC61" i="3"/>
  <c r="DC49" i="3"/>
  <c r="DC54" i="3"/>
  <c r="DC32" i="3"/>
  <c r="DC31" i="3"/>
  <c r="DC46" i="3"/>
  <c r="DC47" i="3"/>
  <c r="DC39" i="3"/>
  <c r="DC37" i="3"/>
  <c r="DC60" i="3"/>
  <c r="DC66" i="3"/>
  <c r="DC29" i="3"/>
  <c r="DC56" i="3"/>
  <c r="DC28" i="3"/>
  <c r="BF55" i="3"/>
  <c r="BF64" i="3"/>
  <c r="BF57" i="3"/>
  <c r="BF47" i="3"/>
  <c r="BF38" i="3"/>
  <c r="CD39" i="3"/>
  <c r="CD54" i="3"/>
  <c r="CD63" i="3"/>
  <c r="BF32" i="3"/>
  <c r="BF54" i="3"/>
  <c r="BF59" i="3"/>
  <c r="BF65" i="3"/>
  <c r="BF50" i="3"/>
  <c r="BF40" i="3"/>
  <c r="BF27" i="3"/>
  <c r="BF36" i="3"/>
  <c r="BF51" i="3"/>
  <c r="BF56" i="3"/>
  <c r="BF33" i="3"/>
  <c r="CS67" i="3"/>
  <c r="CS27" i="3"/>
  <c r="CS54" i="3"/>
  <c r="CS30" i="3"/>
  <c r="CS32" i="3"/>
  <c r="CS66" i="3"/>
  <c r="CS47" i="3"/>
  <c r="CS33" i="3"/>
  <c r="CS53" i="3"/>
  <c r="CS28" i="3"/>
  <c r="CS35" i="3"/>
  <c r="CS43" i="3"/>
  <c r="CS46" i="3"/>
  <c r="CS48" i="3"/>
  <c r="CS38" i="3"/>
  <c r="CS39" i="3"/>
  <c r="CS59" i="3"/>
  <c r="CS42" i="3"/>
  <c r="CS62" i="3"/>
  <c r="CS64" i="3"/>
  <c r="CS52" i="3"/>
  <c r="CS56" i="3"/>
  <c r="CS61" i="3"/>
  <c r="CS63" i="3"/>
  <c r="CS55" i="3"/>
  <c r="CS58" i="3"/>
  <c r="CS34" i="3"/>
  <c r="CS50" i="3"/>
  <c r="CS31" i="3"/>
  <c r="CS44" i="3"/>
  <c r="CS29" i="3"/>
  <c r="CT29" i="3" s="1"/>
  <c r="CS37" i="3"/>
  <c r="CS60" i="3"/>
  <c r="CS45" i="3"/>
  <c r="CS40" i="3"/>
  <c r="CS36" i="3"/>
  <c r="CS49" i="3"/>
  <c r="CS41" i="3"/>
  <c r="CS65" i="3"/>
  <c r="CS57" i="3"/>
  <c r="CS51" i="3"/>
  <c r="R29" i="3"/>
  <c r="R67" i="3"/>
  <c r="R63" i="3"/>
  <c r="R55" i="3"/>
  <c r="R56" i="3"/>
  <c r="R57" i="3"/>
  <c r="R27" i="3"/>
  <c r="R34" i="3"/>
  <c r="R38" i="3"/>
  <c r="R66" i="3"/>
  <c r="R58" i="3"/>
  <c r="R48" i="3"/>
  <c r="R52" i="3"/>
  <c r="R47" i="3"/>
  <c r="R65" i="3"/>
  <c r="R54" i="3"/>
  <c r="R50" i="3"/>
  <c r="R51" i="3"/>
  <c r="R32" i="3"/>
  <c r="R45" i="3"/>
  <c r="R62" i="3"/>
  <c r="R49" i="3"/>
  <c r="R41" i="3"/>
  <c r="R44" i="3"/>
  <c r="R53" i="3"/>
  <c r="R30" i="3"/>
  <c r="R61" i="3"/>
  <c r="R31" i="3"/>
  <c r="R28" i="3"/>
  <c r="R36" i="3"/>
  <c r="R42" i="3"/>
  <c r="R40" i="3"/>
  <c r="R46" i="3"/>
  <c r="R64" i="3"/>
  <c r="R59" i="3"/>
  <c r="R35" i="3"/>
  <c r="R60" i="3"/>
  <c r="R43" i="3"/>
  <c r="BD27" i="3"/>
  <c r="BD37" i="3"/>
  <c r="BD42" i="3"/>
  <c r="BD51" i="3"/>
  <c r="BD33" i="3"/>
  <c r="BD57" i="3"/>
  <c r="BD61" i="3"/>
  <c r="BD43" i="3"/>
  <c r="BD30" i="3"/>
  <c r="BD64" i="3"/>
  <c r="BD36" i="3"/>
  <c r="BD44" i="3"/>
  <c r="BD45" i="3"/>
  <c r="BD63" i="3"/>
  <c r="BD50" i="3"/>
  <c r="BD49" i="3"/>
  <c r="BD67" i="3"/>
  <c r="BD35" i="3"/>
  <c r="BD39" i="3"/>
  <c r="BD56" i="3"/>
  <c r="BD40" i="3"/>
  <c r="BD54" i="3"/>
  <c r="BD62" i="3"/>
  <c r="BD48" i="3"/>
  <c r="BD29" i="3"/>
  <c r="BD66" i="3"/>
  <c r="BD38" i="3"/>
  <c r="BD47" i="3"/>
  <c r="BD41" i="3"/>
  <c r="BD65" i="3"/>
  <c r="R37" i="3"/>
  <c r="R39" i="3"/>
  <c r="BD52" i="3"/>
  <c r="BD53" i="3"/>
  <c r="BD59" i="3"/>
  <c r="BD60" i="3"/>
  <c r="BD34" i="3"/>
  <c r="BD32" i="3"/>
  <c r="BD28" i="3"/>
  <c r="BD46" i="3"/>
  <c r="BD55" i="3"/>
  <c r="CE61" i="3"/>
  <c r="CE58" i="3"/>
  <c r="CE50" i="3"/>
  <c r="CE56" i="3"/>
  <c r="CE46" i="3"/>
  <c r="CE33" i="3"/>
  <c r="CE31" i="3"/>
  <c r="CE34" i="3"/>
  <c r="CE51" i="3"/>
  <c r="CE63" i="3"/>
  <c r="CE40" i="3"/>
  <c r="CE39" i="3"/>
  <c r="CE42" i="3"/>
  <c r="CE54" i="3"/>
  <c r="CE41" i="3"/>
  <c r="CE36" i="3"/>
  <c r="CE27" i="3"/>
  <c r="CE55" i="3"/>
  <c r="CE53" i="3"/>
  <c r="CE45" i="3"/>
  <c r="CE32" i="3"/>
  <c r="CE66" i="3"/>
  <c r="CE52" i="3"/>
  <c r="CE64" i="3"/>
  <c r="CE43" i="3"/>
  <c r="CE30" i="3"/>
  <c r="CE38" i="3"/>
  <c r="CE37" i="3"/>
  <c r="CE47" i="3"/>
  <c r="CE57" i="3"/>
  <c r="CE67" i="3"/>
  <c r="CE28" i="3"/>
  <c r="CE62" i="3"/>
  <c r="CE65" i="3"/>
  <c r="CE59" i="3"/>
  <c r="CE35" i="3"/>
  <c r="CE48" i="3"/>
  <c r="CE44" i="3"/>
  <c r="CE29" i="3"/>
  <c r="CE60" i="3"/>
  <c r="CE49" i="3"/>
  <c r="BD31" i="3"/>
  <c r="CF67" i="3"/>
  <c r="CF34" i="3"/>
  <c r="CF30" i="3"/>
  <c r="CF35" i="3"/>
  <c r="CF48" i="3"/>
  <c r="CF50" i="3"/>
  <c r="CF46" i="3"/>
  <c r="CF51" i="3"/>
  <c r="CF59" i="3"/>
  <c r="CF31" i="3"/>
  <c r="CF47" i="3"/>
  <c r="CF41" i="3"/>
  <c r="CF39" i="3"/>
  <c r="CF66" i="3"/>
  <c r="CF62" i="3"/>
  <c r="CF52" i="3"/>
  <c r="CF53" i="3"/>
  <c r="CF55" i="3"/>
  <c r="CF57" i="3"/>
  <c r="CF32" i="3"/>
  <c r="CF49" i="3"/>
  <c r="CF37" i="3"/>
  <c r="CF29" i="3"/>
  <c r="CF64" i="3"/>
  <c r="CF38" i="3"/>
  <c r="CF42" i="3"/>
  <c r="CF33" i="3"/>
  <c r="CF45" i="3"/>
  <c r="CF40" i="3"/>
  <c r="CF27" i="3"/>
  <c r="CF58" i="3"/>
  <c r="CF60" i="3"/>
  <c r="CF43" i="3"/>
  <c r="CF65" i="3"/>
  <c r="CF61" i="3"/>
  <c r="CF28" i="3"/>
  <c r="CF44" i="3"/>
  <c r="CF63" i="3"/>
  <c r="CF54" i="3"/>
  <c r="CF36" i="3"/>
  <c r="CF56" i="3"/>
  <c r="BQ55" i="3"/>
  <c r="BQ60" i="3"/>
  <c r="BQ64" i="3"/>
  <c r="BQ38" i="3"/>
  <c r="BQ63" i="3"/>
  <c r="BQ56" i="3"/>
  <c r="BQ54" i="3"/>
  <c r="BQ34" i="3"/>
  <c r="BQ41" i="3"/>
  <c r="BQ39" i="3"/>
  <c r="BQ48" i="3"/>
  <c r="BQ47" i="3"/>
  <c r="BQ37" i="3"/>
  <c r="BQ66" i="3"/>
  <c r="BQ53" i="3"/>
  <c r="BQ57" i="3"/>
  <c r="BQ42" i="3"/>
  <c r="BQ36" i="3"/>
  <c r="BQ35" i="3"/>
  <c r="BQ33" i="3"/>
  <c r="BQ67" i="3"/>
  <c r="BQ29" i="3"/>
  <c r="BQ65" i="3"/>
  <c r="BQ31" i="3"/>
  <c r="BQ61" i="3"/>
  <c r="BQ27" i="3"/>
  <c r="BQ58" i="3"/>
  <c r="BQ49" i="3"/>
  <c r="BQ44" i="3"/>
  <c r="BQ30" i="3"/>
  <c r="BQ46" i="3"/>
  <c r="BQ50" i="3"/>
  <c r="BQ28" i="3"/>
  <c r="BQ62" i="3"/>
  <c r="BQ32" i="3"/>
  <c r="BQ51" i="3"/>
  <c r="BQ40" i="3"/>
  <c r="BQ45" i="3"/>
  <c r="BQ59" i="3"/>
  <c r="BQ52" i="3"/>
  <c r="BQ43" i="3"/>
  <c r="BR61" i="3"/>
  <c r="BR52" i="3"/>
  <c r="BR57" i="3"/>
  <c r="BR47" i="3"/>
  <c r="BR35" i="3"/>
  <c r="BR34" i="3"/>
  <c r="BR62" i="3"/>
  <c r="BR54" i="3"/>
  <c r="BR55" i="3"/>
  <c r="BR56" i="3"/>
  <c r="BR31" i="3"/>
  <c r="BR50" i="3"/>
  <c r="BR36" i="3"/>
  <c r="BR66" i="3"/>
  <c r="BR28" i="3"/>
  <c r="BR51" i="3"/>
  <c r="BR67" i="3"/>
  <c r="BR37" i="3"/>
  <c r="BR53" i="3"/>
  <c r="BR38" i="3"/>
  <c r="BR44" i="3"/>
  <c r="BR46" i="3"/>
  <c r="BR42" i="3"/>
  <c r="BR48" i="3"/>
  <c r="BR41" i="3"/>
  <c r="BR30" i="3"/>
  <c r="BR32" i="3"/>
  <c r="BR65" i="3"/>
  <c r="BR60" i="3"/>
  <c r="BR64" i="3"/>
  <c r="BR33" i="3"/>
  <c r="BR43" i="3"/>
  <c r="BR29" i="3"/>
  <c r="BR45" i="3"/>
  <c r="BR63" i="3"/>
  <c r="BR40" i="3"/>
  <c r="BR39" i="3"/>
  <c r="BR49" i="3"/>
  <c r="BR27" i="3"/>
  <c r="BR58" i="3"/>
  <c r="BR59" i="3"/>
  <c r="S67" i="3"/>
  <c r="S33" i="3"/>
  <c r="S35" i="3"/>
  <c r="S36" i="3"/>
  <c r="S55" i="3"/>
  <c r="S44" i="3"/>
  <c r="S40" i="3"/>
  <c r="BS27" i="3" a="1"/>
  <c r="S30" i="3"/>
  <c r="S38" i="3"/>
  <c r="S50" i="3"/>
  <c r="S56" i="3"/>
  <c r="S59" i="3"/>
  <c r="S52" i="3"/>
  <c r="S64" i="3"/>
  <c r="S27" i="3"/>
  <c r="S41" i="3"/>
  <c r="S60" i="3"/>
  <c r="S57" i="3"/>
  <c r="S65" i="3"/>
  <c r="S39" i="3"/>
  <c r="S34" i="3"/>
  <c r="S29" i="3"/>
  <c r="S58" i="3"/>
  <c r="S48" i="3"/>
  <c r="S62" i="3"/>
  <c r="S28" i="3"/>
  <c r="AQ55" i="3"/>
  <c r="AQ29" i="3"/>
  <c r="AQ33" i="3"/>
  <c r="AQ66" i="3"/>
  <c r="AQ61" i="3"/>
  <c r="AQ65" i="3"/>
  <c r="AQ62" i="3"/>
  <c r="AQ34" i="3"/>
  <c r="AQ36" i="3"/>
  <c r="AQ51" i="3"/>
  <c r="AQ37" i="3"/>
  <c r="AQ49" i="3"/>
  <c r="AQ40" i="3"/>
  <c r="AQ50" i="3"/>
  <c r="AQ64" i="3"/>
  <c r="AQ58" i="3"/>
  <c r="AQ43" i="3"/>
  <c r="AQ60" i="3"/>
  <c r="AQ38" i="3"/>
  <c r="AQ31" i="3"/>
  <c r="AQ52" i="3"/>
  <c r="AQ57" i="3"/>
  <c r="AQ44" i="3"/>
  <c r="AQ30" i="3"/>
  <c r="AQ47" i="3"/>
  <c r="AQ59" i="3"/>
  <c r="AQ53" i="3"/>
  <c r="AQ32" i="3"/>
  <c r="AQ28" i="3"/>
  <c r="AQ54" i="3"/>
  <c r="AQ41" i="3"/>
  <c r="AQ42" i="3"/>
  <c r="AQ46" i="3"/>
  <c r="AQ56" i="3"/>
  <c r="AQ63" i="3"/>
  <c r="AQ48" i="3"/>
  <c r="AQ39" i="3"/>
  <c r="AQ45" i="3"/>
  <c r="AQ67" i="3"/>
  <c r="AQ27" i="3"/>
  <c r="AQ35" i="3"/>
  <c r="AP65" i="3"/>
  <c r="AP55" i="3"/>
  <c r="AP66" i="3"/>
  <c r="AP67" i="3"/>
  <c r="AP41" i="3"/>
  <c r="AP44" i="3"/>
  <c r="AP58" i="3"/>
  <c r="AP37" i="3"/>
  <c r="AP54" i="3"/>
  <c r="AP32" i="3"/>
  <c r="AP48" i="3"/>
  <c r="AP53" i="3"/>
  <c r="AP64" i="3"/>
  <c r="AP56" i="3"/>
  <c r="AP57" i="3"/>
  <c r="AP62" i="3"/>
  <c r="AP49" i="3"/>
  <c r="AP59" i="3"/>
  <c r="AP40" i="3"/>
  <c r="AP30" i="3"/>
  <c r="AP51" i="3"/>
  <c r="AP36" i="3"/>
  <c r="AP50" i="3"/>
  <c r="AP31" i="3"/>
  <c r="AP28" i="3"/>
  <c r="AP46" i="3"/>
  <c r="AP63" i="3"/>
  <c r="AP33" i="3"/>
  <c r="AP38" i="3"/>
  <c r="AP29" i="3"/>
  <c r="AP47" i="3"/>
  <c r="AP60" i="3"/>
  <c r="AP61" i="3"/>
  <c r="AP42" i="3"/>
  <c r="AP39" i="3"/>
  <c r="AP43" i="3"/>
  <c r="AP35" i="3"/>
  <c r="AP52" i="3"/>
  <c r="AP27" i="3"/>
  <c r="AP45" i="3"/>
  <c r="AP34" i="3"/>
  <c r="S42" i="3"/>
  <c r="S53" i="3"/>
  <c r="S37" i="3"/>
  <c r="S43" i="3"/>
  <c r="S47" i="3"/>
  <c r="S63" i="3"/>
  <c r="S51" i="3"/>
  <c r="S45" i="3"/>
  <c r="S49" i="3"/>
  <c r="S46" i="3"/>
  <c r="AR27" i="3" a="1"/>
  <c r="AK20" i="3"/>
  <c r="AJ19" i="3"/>
  <c r="AK19" i="3" s="1"/>
  <c r="AD27" i="3" a="1"/>
  <c r="S31" i="3"/>
  <c r="S54" i="3"/>
  <c r="S61" i="3"/>
  <c r="S32" i="3"/>
  <c r="Q55" i="3"/>
  <c r="Q61" i="3"/>
  <c r="Q64" i="3"/>
  <c r="Q47" i="3"/>
  <c r="Q32" i="3"/>
  <c r="Q60" i="3"/>
  <c r="Q29" i="3"/>
  <c r="Q62" i="3"/>
  <c r="Q41" i="3"/>
  <c r="Q28" i="3"/>
  <c r="Q53" i="3"/>
  <c r="Q45" i="3"/>
  <c r="Q30" i="3"/>
  <c r="Q65" i="3"/>
  <c r="Q56" i="3"/>
  <c r="Q40" i="3"/>
  <c r="Q49" i="3"/>
  <c r="Q33" i="3"/>
  <c r="Q58" i="3"/>
  <c r="Q59" i="3"/>
  <c r="Q31" i="3"/>
  <c r="Q46" i="3"/>
  <c r="Q51" i="3"/>
  <c r="Q48" i="3"/>
  <c r="Q38" i="3"/>
  <c r="Q42" i="3"/>
  <c r="Q27" i="3"/>
  <c r="Q34" i="3"/>
  <c r="Q67" i="3"/>
  <c r="Q66" i="3"/>
  <c r="Q37" i="3"/>
  <c r="Q36" i="3"/>
  <c r="Q54" i="3"/>
  <c r="Q57" i="3"/>
  <c r="Q43" i="3"/>
  <c r="Q50" i="3"/>
  <c r="Q35" i="3"/>
  <c r="Q52" i="3"/>
  <c r="Q39" i="3"/>
  <c r="Q63" i="3"/>
  <c r="Q44" i="3"/>
  <c r="F27" i="3" a="1"/>
  <c r="F55" i="3" s="1"/>
  <c r="G55" i="3" s="1"/>
  <c r="I30" i="6" l="1"/>
  <c r="J29" i="6"/>
  <c r="CT55" i="3"/>
  <c r="CT47" i="3"/>
  <c r="CT41" i="3"/>
  <c r="CT31" i="3"/>
  <c r="CT27" i="3"/>
  <c r="CN24" i="3" s="1"/>
  <c r="CT42" i="3"/>
  <c r="CT37" i="3"/>
  <c r="CT58" i="3"/>
  <c r="CT30" i="3"/>
  <c r="CT52" i="3"/>
  <c r="CT36" i="3"/>
  <c r="CT64" i="3"/>
  <c r="CT34" i="3"/>
  <c r="AC65" i="3"/>
  <c r="CT65" i="3"/>
  <c r="CT61" i="3"/>
  <c r="CT49" i="3"/>
  <c r="CT32" i="3"/>
  <c r="AC61" i="3"/>
  <c r="AC42" i="3"/>
  <c r="CT51" i="3"/>
  <c r="AC34" i="3"/>
  <c r="CT57" i="3"/>
  <c r="CT63" i="3"/>
  <c r="CT33" i="3"/>
  <c r="AC29" i="3"/>
  <c r="AC58" i="3"/>
  <c r="AC53" i="3"/>
  <c r="AC43" i="3"/>
  <c r="AC33" i="3"/>
  <c r="AC38" i="3"/>
  <c r="AC44" i="3"/>
  <c r="AC41" i="3"/>
  <c r="AC64" i="3"/>
  <c r="AC46" i="3"/>
  <c r="AC28" i="3"/>
  <c r="AC55" i="3"/>
  <c r="AC50" i="3"/>
  <c r="AC30" i="3"/>
  <c r="AC67" i="3"/>
  <c r="AC45" i="3"/>
  <c r="AC36" i="3"/>
  <c r="AC35" i="3"/>
  <c r="AC52" i="3"/>
  <c r="AC40" i="3"/>
  <c r="AC63" i="3"/>
  <c r="AC37" i="3"/>
  <c r="AC27" i="3"/>
  <c r="AC59" i="3"/>
  <c r="AC60" i="3"/>
  <c r="AC49" i="3"/>
  <c r="AC47" i="3"/>
  <c r="AC66" i="3"/>
  <c r="AC48" i="3"/>
  <c r="AC56" i="3"/>
  <c r="AC51" i="3"/>
  <c r="AC57" i="3"/>
  <c r="AC62" i="3"/>
  <c r="AC31" i="3"/>
  <c r="AC54" i="3"/>
  <c r="AC32" i="3"/>
  <c r="CT50" i="3"/>
  <c r="CT43" i="3"/>
  <c r="CT35" i="3"/>
  <c r="CT53" i="3"/>
  <c r="CT59" i="3"/>
  <c r="CT48" i="3"/>
  <c r="CT46" i="3"/>
  <c r="CT28" i="3"/>
  <c r="CT66" i="3"/>
  <c r="CT56" i="3"/>
  <c r="CT60" i="3"/>
  <c r="CT39" i="3"/>
  <c r="CT38" i="3"/>
  <c r="CT44" i="3"/>
  <c r="CT40" i="3"/>
  <c r="CT62" i="3"/>
  <c r="CT54" i="3"/>
  <c r="CT45" i="3"/>
  <c r="AS45" i="3"/>
  <c r="AS64" i="3"/>
  <c r="AS63" i="3"/>
  <c r="AS65" i="3"/>
  <c r="AS54" i="3"/>
  <c r="AS61" i="3"/>
  <c r="AS42" i="3"/>
  <c r="AS58" i="3"/>
  <c r="AS44" i="3"/>
  <c r="AS33" i="3"/>
  <c r="AS31" i="3"/>
  <c r="AS29" i="3"/>
  <c r="AS52" i="3"/>
  <c r="AS55" i="3"/>
  <c r="CG29" i="3"/>
  <c r="AS47" i="3"/>
  <c r="AS37" i="3"/>
  <c r="AS32" i="3"/>
  <c r="AS62" i="3"/>
  <c r="AS59" i="3"/>
  <c r="CG46" i="3"/>
  <c r="AS56" i="3"/>
  <c r="AS50" i="3"/>
  <c r="AS36" i="3"/>
  <c r="AS67" i="3"/>
  <c r="AS51" i="3"/>
  <c r="AS48" i="3"/>
  <c r="AS49" i="3"/>
  <c r="AS53" i="3"/>
  <c r="AS57" i="3"/>
  <c r="AS27" i="3"/>
  <c r="CG31" i="3"/>
  <c r="AS60" i="3"/>
  <c r="AS34" i="3"/>
  <c r="CG48" i="3"/>
  <c r="AS30" i="3"/>
  <c r="AS41" i="3"/>
  <c r="CG35" i="3"/>
  <c r="CG32" i="3"/>
  <c r="AS39" i="3"/>
  <c r="AS35" i="3"/>
  <c r="AS43" i="3"/>
  <c r="AS46" i="3"/>
  <c r="AS40" i="3"/>
  <c r="AS38" i="3"/>
  <c r="AS66" i="3"/>
  <c r="CG28" i="3"/>
  <c r="CG56" i="3"/>
  <c r="DE63" i="3"/>
  <c r="DE29" i="3"/>
  <c r="DE64" i="3"/>
  <c r="DE32" i="3"/>
  <c r="DE55" i="3"/>
  <c r="DE33" i="3"/>
  <c r="DE59" i="3"/>
  <c r="DE60" i="3"/>
  <c r="DE50" i="3"/>
  <c r="DE40" i="3"/>
  <c r="DE45" i="3"/>
  <c r="DE66" i="3"/>
  <c r="DE53" i="3"/>
  <c r="DE42" i="3"/>
  <c r="DE62" i="3"/>
  <c r="DE52" i="3"/>
  <c r="DE36" i="3"/>
  <c r="DE27" i="3"/>
  <c r="DE49" i="3"/>
  <c r="DE54" i="3"/>
  <c r="DE56" i="3"/>
  <c r="DE61" i="3"/>
  <c r="DE41" i="3"/>
  <c r="DE48" i="3"/>
  <c r="DE67" i="3"/>
  <c r="DE47" i="3"/>
  <c r="DE65" i="3"/>
  <c r="DE38" i="3"/>
  <c r="DE39" i="3"/>
  <c r="DE30" i="3"/>
  <c r="DE35" i="3"/>
  <c r="DE34" i="3"/>
  <c r="DE28" i="3"/>
  <c r="DE57" i="3"/>
  <c r="DE43" i="3"/>
  <c r="DE58" i="3"/>
  <c r="DE46" i="3"/>
  <c r="DE31" i="3"/>
  <c r="DE44" i="3"/>
  <c r="DE51" i="3"/>
  <c r="DE37" i="3"/>
  <c r="DF62" i="3"/>
  <c r="DF34" i="3"/>
  <c r="DF66" i="3"/>
  <c r="DF31" i="3"/>
  <c r="DF37" i="3"/>
  <c r="DF36" i="3"/>
  <c r="DF59" i="3"/>
  <c r="DF64" i="3"/>
  <c r="DF67" i="3"/>
  <c r="DF29" i="3"/>
  <c r="DF58" i="3"/>
  <c r="DF60" i="3"/>
  <c r="DF27" i="3"/>
  <c r="DF52" i="3"/>
  <c r="DF33" i="3"/>
  <c r="DF39" i="3"/>
  <c r="DF40" i="3"/>
  <c r="DF53" i="3"/>
  <c r="DF30" i="3"/>
  <c r="DF45" i="3"/>
  <c r="DF38" i="3"/>
  <c r="DF50" i="3"/>
  <c r="DF56" i="3"/>
  <c r="DF28" i="3"/>
  <c r="DF54" i="3"/>
  <c r="DF42" i="3"/>
  <c r="DF63" i="3"/>
  <c r="DF55" i="3"/>
  <c r="DF41" i="3"/>
  <c r="DF61" i="3"/>
  <c r="DF51" i="3"/>
  <c r="DF49" i="3"/>
  <c r="DF44" i="3"/>
  <c r="DF65" i="3"/>
  <c r="DF47" i="3"/>
  <c r="DF57" i="3"/>
  <c r="DF32" i="3"/>
  <c r="DF35" i="3"/>
  <c r="DF43" i="3"/>
  <c r="DF48" i="3"/>
  <c r="DF46" i="3"/>
  <c r="CG66" i="3"/>
  <c r="CG36" i="3"/>
  <c r="CG33" i="3"/>
  <c r="CG41" i="3"/>
  <c r="CG57" i="3"/>
  <c r="CG54" i="3"/>
  <c r="CG42" i="3"/>
  <c r="CG39" i="3"/>
  <c r="CG38" i="3"/>
  <c r="CG40" i="3"/>
  <c r="CG51" i="3"/>
  <c r="CG47" i="3"/>
  <c r="CG64" i="3"/>
  <c r="CG34" i="3"/>
  <c r="CG37" i="3"/>
  <c r="CG30" i="3"/>
  <c r="CG63" i="3"/>
  <c r="CG49" i="3"/>
  <c r="CG43" i="3"/>
  <c r="CG60" i="3"/>
  <c r="CG52" i="3"/>
  <c r="CG45" i="3"/>
  <c r="CG59" i="3"/>
  <c r="CG53" i="3"/>
  <c r="CG50" i="3"/>
  <c r="CG65" i="3"/>
  <c r="CG55" i="3"/>
  <c r="CG58" i="3"/>
  <c r="CG44" i="3"/>
  <c r="CG62" i="3"/>
  <c r="CG27" i="3"/>
  <c r="CG61" i="3"/>
  <c r="BS67" i="3"/>
  <c r="BS53" i="3"/>
  <c r="BT53" i="3" s="1"/>
  <c r="BS65" i="3"/>
  <c r="BT65" i="3" s="1"/>
  <c r="BS30" i="3"/>
  <c r="BT30" i="3" s="1"/>
  <c r="BS38" i="3"/>
  <c r="BT38" i="3" s="1"/>
  <c r="BS31" i="3"/>
  <c r="BT31" i="3" s="1"/>
  <c r="BS62" i="3"/>
  <c r="BT62" i="3" s="1"/>
  <c r="BS39" i="3"/>
  <c r="BT39" i="3" s="1"/>
  <c r="BS33" i="3"/>
  <c r="BT33" i="3" s="1"/>
  <c r="BS52" i="3"/>
  <c r="BT52" i="3" s="1"/>
  <c r="BS42" i="3"/>
  <c r="BT42" i="3" s="1"/>
  <c r="BS60" i="3"/>
  <c r="BT60" i="3" s="1"/>
  <c r="BS63" i="3"/>
  <c r="BT63" i="3" s="1"/>
  <c r="BS57" i="3"/>
  <c r="BT57" i="3" s="1"/>
  <c r="BS56" i="3"/>
  <c r="BT56" i="3" s="1"/>
  <c r="BS58" i="3"/>
  <c r="BT58" i="3" s="1"/>
  <c r="BS28" i="3"/>
  <c r="BT28" i="3" s="1"/>
  <c r="BS64" i="3"/>
  <c r="BT64" i="3" s="1"/>
  <c r="BS44" i="3"/>
  <c r="BT44" i="3" s="1"/>
  <c r="BS34" i="3"/>
  <c r="BT34" i="3" s="1"/>
  <c r="BS50" i="3"/>
  <c r="BT50" i="3" s="1"/>
  <c r="BS61" i="3"/>
  <c r="BT61" i="3" s="1"/>
  <c r="BS66" i="3"/>
  <c r="BT66" i="3" s="1"/>
  <c r="BS41" i="3"/>
  <c r="BT41" i="3" s="1"/>
  <c r="BS29" i="3"/>
  <c r="BT29" i="3" s="1"/>
  <c r="BS47" i="3"/>
  <c r="BT47" i="3" s="1"/>
  <c r="BS36" i="3"/>
  <c r="BT36" i="3" s="1"/>
  <c r="BS48" i="3"/>
  <c r="BT48" i="3" s="1"/>
  <c r="BS55" i="3"/>
  <c r="BT55" i="3" s="1"/>
  <c r="BS27" i="3"/>
  <c r="BT27" i="3" s="1"/>
  <c r="BN24" i="3" s="1"/>
  <c r="BS45" i="3"/>
  <c r="BT45" i="3" s="1"/>
  <c r="BS43" i="3"/>
  <c r="BT43" i="3" s="1"/>
  <c r="BS59" i="3"/>
  <c r="BT59" i="3" s="1"/>
  <c r="BS35" i="3"/>
  <c r="BT35" i="3" s="1"/>
  <c r="BS37" i="3"/>
  <c r="BT37" i="3" s="1"/>
  <c r="BS49" i="3"/>
  <c r="BT49" i="3" s="1"/>
  <c r="BS51" i="3"/>
  <c r="BT51" i="3" s="1"/>
  <c r="BS54" i="3"/>
  <c r="BT54" i="3" s="1"/>
  <c r="BS46" i="3"/>
  <c r="BT46" i="3" s="1"/>
  <c r="BS32" i="3"/>
  <c r="BT32" i="3" s="1"/>
  <c r="BS40" i="3"/>
  <c r="BT40" i="3" s="1"/>
  <c r="AR61" i="3"/>
  <c r="AR48" i="3"/>
  <c r="AR51" i="3"/>
  <c r="AR57" i="3"/>
  <c r="AR44" i="3"/>
  <c r="AR46" i="3"/>
  <c r="AR67" i="3"/>
  <c r="AR36" i="3"/>
  <c r="AR60" i="3"/>
  <c r="AR47" i="3"/>
  <c r="AR37" i="3"/>
  <c r="AR54" i="3"/>
  <c r="AR33" i="3"/>
  <c r="AR49" i="3"/>
  <c r="AR38" i="3"/>
  <c r="AR66" i="3"/>
  <c r="AR28" i="3"/>
  <c r="AT28" i="3" s="1"/>
  <c r="AR30" i="3"/>
  <c r="AR31" i="3"/>
  <c r="AR58" i="3"/>
  <c r="AR55" i="3"/>
  <c r="AR62" i="3"/>
  <c r="AR43" i="3"/>
  <c r="AR32" i="3"/>
  <c r="AR50" i="3"/>
  <c r="AR52" i="3"/>
  <c r="AR56" i="3"/>
  <c r="AR42" i="3"/>
  <c r="AT42" i="3" s="1"/>
  <c r="AR35" i="3"/>
  <c r="AR41" i="3"/>
  <c r="AR40" i="3"/>
  <c r="AR27" i="3"/>
  <c r="AR34" i="3"/>
  <c r="AR29" i="3"/>
  <c r="AR65" i="3"/>
  <c r="AR45" i="3"/>
  <c r="AR39" i="3"/>
  <c r="AR63" i="3"/>
  <c r="AR64" i="3"/>
  <c r="AT64" i="3" s="1"/>
  <c r="AR53" i="3"/>
  <c r="AR59" i="3"/>
  <c r="AT59" i="3" s="1"/>
  <c r="AD55" i="3"/>
  <c r="AD28" i="3"/>
  <c r="AD58" i="3"/>
  <c r="AD47" i="3"/>
  <c r="AD62" i="3"/>
  <c r="AD40" i="3"/>
  <c r="AD32" i="3"/>
  <c r="AD35" i="3"/>
  <c r="AD46" i="3"/>
  <c r="AD30" i="3"/>
  <c r="AD50" i="3"/>
  <c r="AD61" i="3"/>
  <c r="AD56" i="3"/>
  <c r="AD33" i="3"/>
  <c r="AD60" i="3"/>
  <c r="AD48" i="3"/>
  <c r="AD51" i="3"/>
  <c r="AD44" i="3"/>
  <c r="AD66" i="3"/>
  <c r="AD43" i="3"/>
  <c r="AD64" i="3"/>
  <c r="AD67" i="3"/>
  <c r="AD37" i="3"/>
  <c r="AD63" i="3"/>
  <c r="AD39" i="3"/>
  <c r="AD42" i="3"/>
  <c r="AD41" i="3"/>
  <c r="AD65" i="3"/>
  <c r="AD45" i="3"/>
  <c r="AD34" i="3"/>
  <c r="AD53" i="3"/>
  <c r="AD29" i="3"/>
  <c r="AD38" i="3"/>
  <c r="AD31" i="3"/>
  <c r="AD54" i="3"/>
  <c r="AD49" i="3"/>
  <c r="AD59" i="3"/>
  <c r="AD27" i="3"/>
  <c r="AD57" i="3"/>
  <c r="AD52" i="3"/>
  <c r="AD36" i="3"/>
  <c r="AF27" i="3" a="1"/>
  <c r="AE27" i="3" a="1"/>
  <c r="T39" i="3"/>
  <c r="T61" i="3"/>
  <c r="T28" i="3"/>
  <c r="T42" i="3"/>
  <c r="T59" i="3"/>
  <c r="T43" i="3"/>
  <c r="T66" i="3"/>
  <c r="T54" i="3"/>
  <c r="T40" i="3"/>
  <c r="T65" i="3"/>
  <c r="T49" i="3"/>
  <c r="T37" i="3"/>
  <c r="T27" i="3"/>
  <c r="T51" i="3"/>
  <c r="T50" i="3"/>
  <c r="T30" i="3"/>
  <c r="T41" i="3"/>
  <c r="T48" i="3"/>
  <c r="T32" i="3"/>
  <c r="T63" i="3"/>
  <c r="CU28" i="3"/>
  <c r="T29" i="3"/>
  <c r="T35" i="3"/>
  <c r="T38" i="3"/>
  <c r="T36" i="3"/>
  <c r="T44" i="3"/>
  <c r="T64" i="3"/>
  <c r="T56" i="3"/>
  <c r="T62" i="3"/>
  <c r="T60" i="3"/>
  <c r="T45" i="3"/>
  <c r="T34" i="3"/>
  <c r="T55" i="3"/>
  <c r="T31" i="3"/>
  <c r="T46" i="3"/>
  <c r="T57" i="3"/>
  <c r="T52" i="3"/>
  <c r="T58" i="3"/>
  <c r="T47" i="3"/>
  <c r="T53" i="3"/>
  <c r="T33" i="3"/>
  <c r="F49" i="3"/>
  <c r="G49" i="3" s="1"/>
  <c r="F46" i="3"/>
  <c r="G46" i="3" s="1"/>
  <c r="F59" i="3"/>
  <c r="G59" i="3" s="1"/>
  <c r="F66" i="3"/>
  <c r="G66" i="3" s="1"/>
  <c r="F42" i="3"/>
  <c r="G42" i="3" s="1"/>
  <c r="F35" i="3"/>
  <c r="G35" i="3" s="1"/>
  <c r="F56" i="3"/>
  <c r="G56" i="3" s="1"/>
  <c r="F38" i="3"/>
  <c r="G38" i="3" s="1"/>
  <c r="F62" i="3"/>
  <c r="G62" i="3" s="1"/>
  <c r="F45" i="3"/>
  <c r="G45" i="3" s="1"/>
  <c r="F53" i="3"/>
  <c r="G53" i="3" s="1"/>
  <c r="F40" i="3"/>
  <c r="G40" i="3" s="1"/>
  <c r="F31" i="3"/>
  <c r="G31" i="3" s="1"/>
  <c r="F32" i="3"/>
  <c r="G32" i="3" s="1"/>
  <c r="F52" i="3"/>
  <c r="G52" i="3" s="1"/>
  <c r="F54" i="3"/>
  <c r="G54" i="3" s="1"/>
  <c r="F37" i="3"/>
  <c r="G37" i="3" s="1"/>
  <c r="F64" i="3"/>
  <c r="G64" i="3" s="1"/>
  <c r="F63" i="3"/>
  <c r="G63" i="3" s="1"/>
  <c r="F27" i="3"/>
  <c r="G27" i="3" s="1"/>
  <c r="A24" i="3" s="1"/>
  <c r="F65" i="3"/>
  <c r="G65" i="3" s="1"/>
  <c r="F57" i="3"/>
  <c r="G57" i="3" s="1"/>
  <c r="F48" i="3"/>
  <c r="G48" i="3" s="1"/>
  <c r="F39" i="3"/>
  <c r="G39" i="3" s="1"/>
  <c r="F33" i="3"/>
  <c r="G33" i="3" s="1"/>
  <c r="F34" i="3"/>
  <c r="G34" i="3" s="1"/>
  <c r="F47" i="3"/>
  <c r="G47" i="3" s="1"/>
  <c r="F36" i="3"/>
  <c r="G36" i="3" s="1"/>
  <c r="F41" i="3"/>
  <c r="G41" i="3" s="1"/>
  <c r="F51" i="3"/>
  <c r="G51" i="3" s="1"/>
  <c r="F58" i="3"/>
  <c r="G58" i="3" s="1"/>
  <c r="F50" i="3"/>
  <c r="G50" i="3" s="1"/>
  <c r="F28" i="3"/>
  <c r="G28" i="3" s="1"/>
  <c r="F67" i="3"/>
  <c r="F30" i="3"/>
  <c r="G30" i="3" s="1"/>
  <c r="F29" i="3"/>
  <c r="G29" i="3" s="1"/>
  <c r="F43" i="3"/>
  <c r="G43" i="3" s="1"/>
  <c r="F60" i="3"/>
  <c r="G60" i="3" s="1"/>
  <c r="F44" i="3"/>
  <c r="G44" i="3" s="1"/>
  <c r="F61" i="3"/>
  <c r="G61" i="3" s="1"/>
  <c r="BG61" i="3"/>
  <c r="BG59" i="3"/>
  <c r="BG32" i="3"/>
  <c r="BG44" i="3"/>
  <c r="BG64" i="3"/>
  <c r="BG53" i="3"/>
  <c r="BG33" i="3"/>
  <c r="BG56" i="3"/>
  <c r="BG39" i="3"/>
  <c r="BG38" i="3"/>
  <c r="BG43" i="3"/>
  <c r="BG58" i="3"/>
  <c r="BG41" i="3"/>
  <c r="BG50" i="3"/>
  <c r="BG29" i="3"/>
  <c r="BG45" i="3"/>
  <c r="BG66" i="3"/>
  <c r="BG35" i="3"/>
  <c r="BG55" i="3"/>
  <c r="BG57" i="3"/>
  <c r="BG62" i="3"/>
  <c r="BG54" i="3"/>
  <c r="BG60" i="3"/>
  <c r="BG36" i="3"/>
  <c r="BG46" i="3"/>
  <c r="BG47" i="3"/>
  <c r="BG27" i="3"/>
  <c r="BA24" i="3" s="1"/>
  <c r="BG40" i="3"/>
  <c r="BG48" i="3"/>
  <c r="BG37" i="3"/>
  <c r="BG65" i="3"/>
  <c r="BG63" i="3"/>
  <c r="BG42" i="3"/>
  <c r="BG31" i="3"/>
  <c r="BG51" i="3"/>
  <c r="BG28" i="3"/>
  <c r="BG34" i="3"/>
  <c r="BG49" i="3"/>
  <c r="BG30" i="3"/>
  <c r="BG52" i="3"/>
  <c r="I31" i="6" l="1"/>
  <c r="J30" i="6"/>
  <c r="AT56" i="3"/>
  <c r="DG33" i="3"/>
  <c r="DG51" i="3"/>
  <c r="DG41" i="3"/>
  <c r="DG61" i="3"/>
  <c r="CU29" i="3"/>
  <c r="CU30" i="3" s="1"/>
  <c r="CU31" i="3" s="1"/>
  <c r="CU32" i="3" s="1"/>
  <c r="CU33" i="3" s="1"/>
  <c r="CU34" i="3" s="1"/>
  <c r="CU35" i="3" s="1"/>
  <c r="CU36" i="3" s="1"/>
  <c r="CU37" i="3" s="1"/>
  <c r="CU38" i="3" s="1"/>
  <c r="CU39" i="3" s="1"/>
  <c r="CU40" i="3" s="1"/>
  <c r="CU41" i="3" s="1"/>
  <c r="CU42" i="3" s="1"/>
  <c r="CU43" i="3" s="1"/>
  <c r="CU44" i="3" s="1"/>
  <c r="CU45" i="3" s="1"/>
  <c r="CU46" i="3" s="1"/>
  <c r="CU47" i="3" s="1"/>
  <c r="CU48" i="3" s="1"/>
  <c r="CU49" i="3" s="1"/>
  <c r="CU50" i="3" s="1"/>
  <c r="CU51" i="3" s="1"/>
  <c r="CU52" i="3" s="1"/>
  <c r="CU53" i="3" s="1"/>
  <c r="CU54" i="3" s="1"/>
  <c r="CU55" i="3" s="1"/>
  <c r="CU56" i="3" s="1"/>
  <c r="CU57" i="3" s="1"/>
  <c r="CU58" i="3" s="1"/>
  <c r="CU59" i="3" s="1"/>
  <c r="CU60" i="3" s="1"/>
  <c r="CU61" i="3" s="1"/>
  <c r="CU62" i="3" s="1"/>
  <c r="CU63" i="3" s="1"/>
  <c r="CU64" i="3" s="1"/>
  <c r="CU65" i="3" s="1"/>
  <c r="CU66" i="3" s="1"/>
  <c r="CU67" i="3" s="1"/>
  <c r="CV28" i="3" s="1" a="1"/>
  <c r="CV35" i="3" s="1"/>
  <c r="AT61" i="3"/>
  <c r="DG44" i="3"/>
  <c r="AT57" i="3"/>
  <c r="AT35" i="3"/>
  <c r="DG55" i="3"/>
  <c r="AT45" i="3"/>
  <c r="DG40" i="3"/>
  <c r="DG37" i="3"/>
  <c r="AT33" i="3"/>
  <c r="DG59" i="3"/>
  <c r="AT58" i="3"/>
  <c r="AT65" i="3"/>
  <c r="AT29" i="3"/>
  <c r="DG31" i="3"/>
  <c r="AT54" i="3"/>
  <c r="DG56" i="3"/>
  <c r="DG34" i="3"/>
  <c r="DG52" i="3"/>
  <c r="AT31" i="3"/>
  <c r="AT51" i="3"/>
  <c r="DG50" i="3"/>
  <c r="DG62" i="3"/>
  <c r="DG39" i="3"/>
  <c r="AT48" i="3"/>
  <c r="DG53" i="3"/>
  <c r="DG60" i="3"/>
  <c r="DG30" i="3"/>
  <c r="DG65" i="3"/>
  <c r="AT63" i="3"/>
  <c r="AT62" i="3"/>
  <c r="AT40" i="3"/>
  <c r="AT50" i="3"/>
  <c r="AT36" i="3"/>
  <c r="AT46" i="3"/>
  <c r="DG46" i="3"/>
  <c r="DG27" i="3"/>
  <c r="DH28" i="3" s="1"/>
  <c r="DG29" i="3"/>
  <c r="AT39" i="3"/>
  <c r="AT55" i="3"/>
  <c r="AT44" i="3"/>
  <c r="DG48" i="3"/>
  <c r="DG63" i="3"/>
  <c r="AT27" i="3"/>
  <c r="AU28" i="3" s="1"/>
  <c r="AU29" i="3" s="1"/>
  <c r="AT66" i="3"/>
  <c r="AT38" i="3"/>
  <c r="AT34" i="3"/>
  <c r="AT49" i="3"/>
  <c r="AT37" i="3"/>
  <c r="DG28" i="3"/>
  <c r="AT52" i="3"/>
  <c r="AT47" i="3"/>
  <c r="AT53" i="3"/>
  <c r="AT32" i="3"/>
  <c r="DG58" i="3"/>
  <c r="DG54" i="3"/>
  <c r="AT43" i="3"/>
  <c r="DG42" i="3"/>
  <c r="DG43" i="3"/>
  <c r="DG49" i="3"/>
  <c r="DG64" i="3"/>
  <c r="DG36" i="3"/>
  <c r="DG35" i="3"/>
  <c r="AT30" i="3"/>
  <c r="DG32" i="3"/>
  <c r="DG57" i="3"/>
  <c r="DG38" i="3"/>
  <c r="DG66" i="3"/>
  <c r="DG45" i="3"/>
  <c r="AT41" i="3"/>
  <c r="DG47" i="3"/>
  <c r="AT60" i="3"/>
  <c r="CH28" i="3"/>
  <c r="CH29" i="3" s="1"/>
  <c r="CH30" i="3" s="1"/>
  <c r="CH31" i="3" s="1"/>
  <c r="CH32" i="3" s="1"/>
  <c r="CH33" i="3" s="1"/>
  <c r="CH34" i="3" s="1"/>
  <c r="CH35" i="3" s="1"/>
  <c r="CH36" i="3" s="1"/>
  <c r="CH37" i="3" s="1"/>
  <c r="CH38" i="3" s="1"/>
  <c r="CH39" i="3" s="1"/>
  <c r="CH40" i="3" s="1"/>
  <c r="CH41" i="3" s="1"/>
  <c r="CH42" i="3" s="1"/>
  <c r="CH43" i="3" s="1"/>
  <c r="CH44" i="3" s="1"/>
  <c r="CH45" i="3" s="1"/>
  <c r="CH46" i="3" s="1"/>
  <c r="CH47" i="3" s="1"/>
  <c r="CH48" i="3" s="1"/>
  <c r="CH49" i="3" s="1"/>
  <c r="CH50" i="3" s="1"/>
  <c r="CH51" i="3" s="1"/>
  <c r="CH52" i="3" s="1"/>
  <c r="CH53" i="3" s="1"/>
  <c r="CH54" i="3" s="1"/>
  <c r="CH55" i="3" s="1"/>
  <c r="CH56" i="3" s="1"/>
  <c r="CH57" i="3" s="1"/>
  <c r="CH58" i="3" s="1"/>
  <c r="CH59" i="3" s="1"/>
  <c r="CH60" i="3" s="1"/>
  <c r="CH61" i="3" s="1"/>
  <c r="CH62" i="3" s="1"/>
  <c r="CH63" i="3" s="1"/>
  <c r="CH64" i="3" s="1"/>
  <c r="CH65" i="3" s="1"/>
  <c r="CH66" i="3" s="1"/>
  <c r="CH67" i="3" s="1"/>
  <c r="CI28" i="3" s="1" a="1"/>
  <c r="CI56" i="3" s="1"/>
  <c r="CA24" i="3"/>
  <c r="BU28" i="3"/>
  <c r="BU29" i="3" s="1"/>
  <c r="BU30" i="3" s="1"/>
  <c r="BU31" i="3" s="1"/>
  <c r="BU32" i="3" s="1"/>
  <c r="BU33" i="3" s="1"/>
  <c r="BU34" i="3" s="1"/>
  <c r="BU35" i="3" s="1"/>
  <c r="BU36" i="3" s="1"/>
  <c r="BU37" i="3" s="1"/>
  <c r="BU38" i="3" s="1"/>
  <c r="BU39" i="3" s="1"/>
  <c r="BU40" i="3" s="1"/>
  <c r="BU41" i="3" s="1"/>
  <c r="BU42" i="3" s="1"/>
  <c r="BU43" i="3" s="1"/>
  <c r="BU44" i="3" s="1"/>
  <c r="BU45" i="3" s="1"/>
  <c r="BU46" i="3" s="1"/>
  <c r="BU47" i="3" s="1"/>
  <c r="BU48" i="3" s="1"/>
  <c r="BU49" i="3" s="1"/>
  <c r="BU50" i="3" s="1"/>
  <c r="BU51" i="3" s="1"/>
  <c r="BU52" i="3" s="1"/>
  <c r="BU53" i="3" s="1"/>
  <c r="BU54" i="3" s="1"/>
  <c r="BU55" i="3" s="1"/>
  <c r="BU56" i="3" s="1"/>
  <c r="BU57" i="3" s="1"/>
  <c r="BU58" i="3" s="1"/>
  <c r="BU59" i="3" s="1"/>
  <c r="BU60" i="3" s="1"/>
  <c r="BU61" i="3" s="1"/>
  <c r="BU62" i="3" s="1"/>
  <c r="BU63" i="3" s="1"/>
  <c r="BU64" i="3" s="1"/>
  <c r="BU65" i="3" s="1"/>
  <c r="BU66" i="3" s="1"/>
  <c r="BU67" i="3" s="1"/>
  <c r="BV28" i="3" s="1" a="1"/>
  <c r="AF67" i="3"/>
  <c r="AF39" i="3"/>
  <c r="AF48" i="3"/>
  <c r="AF34" i="3"/>
  <c r="AF33" i="3"/>
  <c r="AF49" i="3"/>
  <c r="AF29" i="3"/>
  <c r="AF50" i="3"/>
  <c r="AF31" i="3"/>
  <c r="AF57" i="3"/>
  <c r="AF40" i="3"/>
  <c r="AF43" i="3"/>
  <c r="AF61" i="3"/>
  <c r="AF66" i="3"/>
  <c r="AF47" i="3"/>
  <c r="AF58" i="3"/>
  <c r="AF52" i="3"/>
  <c r="AF45" i="3"/>
  <c r="AF56" i="3"/>
  <c r="AF28" i="3"/>
  <c r="AF36" i="3"/>
  <c r="AF44" i="3"/>
  <c r="AF65" i="3"/>
  <c r="AF59" i="3"/>
  <c r="AF46" i="3"/>
  <c r="AF62" i="3"/>
  <c r="AF64" i="3"/>
  <c r="AF53" i="3"/>
  <c r="AF41" i="3"/>
  <c r="AF54" i="3"/>
  <c r="AF60" i="3"/>
  <c r="AF63" i="3"/>
  <c r="AF30" i="3"/>
  <c r="AF27" i="3"/>
  <c r="AF55" i="3"/>
  <c r="AF51" i="3"/>
  <c r="AF37" i="3"/>
  <c r="AF32" i="3"/>
  <c r="AF38" i="3"/>
  <c r="AF42" i="3"/>
  <c r="AF35" i="3"/>
  <c r="AE61" i="3"/>
  <c r="AE55" i="3"/>
  <c r="AE50" i="3"/>
  <c r="AE34" i="3"/>
  <c r="AE48" i="3"/>
  <c r="AE37" i="3"/>
  <c r="AE35" i="3"/>
  <c r="AE57" i="3"/>
  <c r="AE66" i="3"/>
  <c r="AE46" i="3"/>
  <c r="AE56" i="3"/>
  <c r="AE58" i="3"/>
  <c r="AE36" i="3"/>
  <c r="AE40" i="3"/>
  <c r="AE32" i="3"/>
  <c r="AE63" i="3"/>
  <c r="AE62" i="3"/>
  <c r="AE53" i="3"/>
  <c r="AE51" i="3"/>
  <c r="AE65" i="3"/>
  <c r="AE47" i="3"/>
  <c r="AE38" i="3"/>
  <c r="AE41" i="3"/>
  <c r="AE27" i="3"/>
  <c r="AE54" i="3"/>
  <c r="AE43" i="3"/>
  <c r="AE30" i="3"/>
  <c r="AE52" i="3"/>
  <c r="AE59" i="3"/>
  <c r="AE33" i="3"/>
  <c r="AE31" i="3"/>
  <c r="AE67" i="3"/>
  <c r="AE64" i="3"/>
  <c r="AE45" i="3"/>
  <c r="AE44" i="3"/>
  <c r="AE39" i="3"/>
  <c r="AE60" i="3"/>
  <c r="AE28" i="3"/>
  <c r="AE42" i="3"/>
  <c r="AE29" i="3"/>
  <c r="AE49" i="3"/>
  <c r="N24" i="3"/>
  <c r="U28" i="3"/>
  <c r="U29" i="3" s="1"/>
  <c r="U30" i="3" s="1"/>
  <c r="H28" i="3"/>
  <c r="H29" i="3" s="1"/>
  <c r="H30" i="3" s="1"/>
  <c r="H31" i="3" s="1"/>
  <c r="H32" i="3" s="1"/>
  <c r="CW28" i="3" a="1"/>
  <c r="BH28" i="3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BH63" i="3" s="1"/>
  <c r="BH64" i="3" s="1"/>
  <c r="BH65" i="3" s="1"/>
  <c r="BH66" i="3" s="1"/>
  <c r="BH67" i="3" s="1"/>
  <c r="I32" i="6" l="1"/>
  <c r="J31" i="6"/>
  <c r="AU30" i="3"/>
  <c r="AU31" i="3" s="1"/>
  <c r="AU32" i="3" s="1"/>
  <c r="AU33" i="3" s="1"/>
  <c r="AU34" i="3" s="1"/>
  <c r="AU35" i="3" s="1"/>
  <c r="AU36" i="3" s="1"/>
  <c r="AU37" i="3" s="1"/>
  <c r="AU38" i="3" s="1"/>
  <c r="AU39" i="3" s="1"/>
  <c r="AU40" i="3" s="1"/>
  <c r="AU41" i="3" s="1"/>
  <c r="AU42" i="3" s="1"/>
  <c r="AU43" i="3" s="1"/>
  <c r="AU44" i="3" s="1"/>
  <c r="AU45" i="3" s="1"/>
  <c r="AU46" i="3" s="1"/>
  <c r="AU47" i="3" s="1"/>
  <c r="AU48" i="3" s="1"/>
  <c r="AU49" i="3" s="1"/>
  <c r="AU50" i="3" s="1"/>
  <c r="AU51" i="3" s="1"/>
  <c r="AU52" i="3" s="1"/>
  <c r="AU53" i="3" s="1"/>
  <c r="AU54" i="3" s="1"/>
  <c r="AU55" i="3" s="1"/>
  <c r="AU56" i="3" s="1"/>
  <c r="AU57" i="3" s="1"/>
  <c r="AU58" i="3" s="1"/>
  <c r="AU59" i="3" s="1"/>
  <c r="AU60" i="3" s="1"/>
  <c r="AU61" i="3" s="1"/>
  <c r="AU62" i="3" s="1"/>
  <c r="AU63" i="3" s="1"/>
  <c r="AU64" i="3" s="1"/>
  <c r="AU65" i="3" s="1"/>
  <c r="AU66" i="3" s="1"/>
  <c r="AU67" i="3" s="1"/>
  <c r="AG32" i="3"/>
  <c r="AG58" i="3"/>
  <c r="AG66" i="3"/>
  <c r="DA24" i="3"/>
  <c r="AN24" i="3"/>
  <c r="CJ28" i="3" a="1"/>
  <c r="CJ34" i="3" s="1"/>
  <c r="AG59" i="3"/>
  <c r="DH29" i="3"/>
  <c r="AG33" i="3"/>
  <c r="AG36" i="3"/>
  <c r="AG28" i="3"/>
  <c r="AG47" i="3"/>
  <c r="DH30" i="3"/>
  <c r="DH31" i="3" s="1"/>
  <c r="DH32" i="3" s="1"/>
  <c r="DH33" i="3" s="1"/>
  <c r="DH34" i="3" s="1"/>
  <c r="DH35" i="3" s="1"/>
  <c r="DH36" i="3" s="1"/>
  <c r="DH37" i="3" s="1"/>
  <c r="DH38" i="3" s="1"/>
  <c r="DH39" i="3" s="1"/>
  <c r="DH40" i="3" s="1"/>
  <c r="DH41" i="3" s="1"/>
  <c r="DH42" i="3" s="1"/>
  <c r="DH43" i="3" s="1"/>
  <c r="DH44" i="3" s="1"/>
  <c r="DH45" i="3" s="1"/>
  <c r="DH46" i="3" s="1"/>
  <c r="DH47" i="3" s="1"/>
  <c r="DH48" i="3" s="1"/>
  <c r="DH49" i="3" s="1"/>
  <c r="DH50" i="3" s="1"/>
  <c r="DH51" i="3" s="1"/>
  <c r="DH52" i="3" s="1"/>
  <c r="DH53" i="3" s="1"/>
  <c r="DH54" i="3" s="1"/>
  <c r="DH55" i="3" s="1"/>
  <c r="DH56" i="3" s="1"/>
  <c r="DH57" i="3" s="1"/>
  <c r="DH58" i="3" s="1"/>
  <c r="DH59" i="3" s="1"/>
  <c r="DH60" i="3" s="1"/>
  <c r="DH61" i="3" s="1"/>
  <c r="DH62" i="3" s="1"/>
  <c r="DH63" i="3" s="1"/>
  <c r="DH64" i="3" s="1"/>
  <c r="DH65" i="3" s="1"/>
  <c r="DH66" i="3" s="1"/>
  <c r="DH67" i="3" s="1"/>
  <c r="DI28" i="3" s="1" a="1"/>
  <c r="DI37" i="3" s="1"/>
  <c r="AG48" i="3"/>
  <c r="AG62" i="3"/>
  <c r="AG63" i="3"/>
  <c r="AG49" i="3"/>
  <c r="AG35" i="3"/>
  <c r="AG52" i="3"/>
  <c r="AG37" i="3"/>
  <c r="AG42" i="3"/>
  <c r="AG38" i="3"/>
  <c r="AG30" i="3"/>
  <c r="AG56" i="3"/>
  <c r="CI48" i="3"/>
  <c r="CI46" i="3"/>
  <c r="CI64" i="3"/>
  <c r="CI32" i="3"/>
  <c r="CI30" i="3"/>
  <c r="CI54" i="3"/>
  <c r="CI67" i="3"/>
  <c r="CI51" i="3"/>
  <c r="CI28" i="3"/>
  <c r="CI47" i="3"/>
  <c r="CI40" i="3"/>
  <c r="CI65" i="3"/>
  <c r="CI38" i="3"/>
  <c r="CI49" i="3"/>
  <c r="CI42" i="3"/>
  <c r="CI34" i="3"/>
  <c r="CI43" i="3"/>
  <c r="CI60" i="3"/>
  <c r="CI37" i="3"/>
  <c r="CI39" i="3"/>
  <c r="CI36" i="3"/>
  <c r="CI63" i="3"/>
  <c r="CI58" i="3"/>
  <c r="CI57" i="3"/>
  <c r="CI62" i="3"/>
  <c r="CI33" i="3"/>
  <c r="CI41" i="3"/>
  <c r="CI35" i="3"/>
  <c r="CI31" i="3"/>
  <c r="CI61" i="3"/>
  <c r="CI66" i="3"/>
  <c r="CI45" i="3"/>
  <c r="CI50" i="3"/>
  <c r="CI29" i="3"/>
  <c r="CI59" i="3"/>
  <c r="CI55" i="3"/>
  <c r="CI44" i="3"/>
  <c r="CI53" i="3"/>
  <c r="CI52" i="3"/>
  <c r="AG44" i="3"/>
  <c r="AG51" i="3"/>
  <c r="CW45" i="3"/>
  <c r="AG65" i="3"/>
  <c r="AG41" i="3"/>
  <c r="AG27" i="3"/>
  <c r="AA24" i="3" s="1"/>
  <c r="AG53" i="3"/>
  <c r="AG40" i="3"/>
  <c r="AG60" i="3"/>
  <c r="AG64" i="3"/>
  <c r="AG61" i="3"/>
  <c r="AG31" i="3"/>
  <c r="AG50" i="3"/>
  <c r="AG34" i="3"/>
  <c r="AG43" i="3"/>
  <c r="AG46" i="3"/>
  <c r="AG39" i="3"/>
  <c r="AG54" i="3"/>
  <c r="AG45" i="3"/>
  <c r="AG29" i="3"/>
  <c r="AG57" i="3"/>
  <c r="AG55" i="3"/>
  <c r="BJ28" i="3" a="1"/>
  <c r="BJ46" i="3" s="1"/>
  <c r="CW59" i="3"/>
  <c r="BW28" i="3" a="1"/>
  <c r="BW37" i="3" s="1"/>
  <c r="CV65" i="3"/>
  <c r="CV37" i="3"/>
  <c r="CV39" i="3"/>
  <c r="CW32" i="3"/>
  <c r="CW48" i="3"/>
  <c r="CW64" i="3"/>
  <c r="CV28" i="3"/>
  <c r="CV59" i="3"/>
  <c r="CV30" i="3"/>
  <c r="CV46" i="3"/>
  <c r="CV32" i="3"/>
  <c r="CV48" i="3"/>
  <c r="CV33" i="3"/>
  <c r="CV34" i="3"/>
  <c r="CV52" i="3"/>
  <c r="CW33" i="3"/>
  <c r="CV53" i="3"/>
  <c r="CV36" i="3"/>
  <c r="CV54" i="3"/>
  <c r="CW58" i="3"/>
  <c r="CV62" i="3"/>
  <c r="CV55" i="3"/>
  <c r="CW35" i="3"/>
  <c r="CV42" i="3"/>
  <c r="CV63" i="3"/>
  <c r="CW53" i="3"/>
  <c r="CV61" i="3"/>
  <c r="CW54" i="3"/>
  <c r="CW28" i="3"/>
  <c r="CW36" i="3"/>
  <c r="CW39" i="3"/>
  <c r="CV51" i="3"/>
  <c r="CV50" i="3"/>
  <c r="CW55" i="3"/>
  <c r="CW41" i="3"/>
  <c r="CV43" i="3"/>
  <c r="CV67" i="3"/>
  <c r="CW57" i="3"/>
  <c r="CW46" i="3"/>
  <c r="CW60" i="3"/>
  <c r="CV58" i="3"/>
  <c r="CV40" i="3"/>
  <c r="CW49" i="3"/>
  <c r="CV64" i="3"/>
  <c r="CV38" i="3"/>
  <c r="CW29" i="3"/>
  <c r="CV49" i="3"/>
  <c r="CW66" i="3"/>
  <c r="CW30" i="3"/>
  <c r="CW62" i="3"/>
  <c r="CW38" i="3"/>
  <c r="CW43" i="3"/>
  <c r="CV66" i="3"/>
  <c r="CW67" i="3"/>
  <c r="CV56" i="3"/>
  <c r="CW37" i="3"/>
  <c r="CW44" i="3"/>
  <c r="CV45" i="3"/>
  <c r="CV57" i="3"/>
  <c r="CW31" i="3"/>
  <c r="CW34" i="3"/>
  <c r="CW52" i="3"/>
  <c r="CW47" i="3"/>
  <c r="CV44" i="3"/>
  <c r="CV41" i="3"/>
  <c r="CW56" i="3"/>
  <c r="CW61" i="3"/>
  <c r="CV60" i="3"/>
  <c r="CW51" i="3"/>
  <c r="CV31" i="3"/>
  <c r="CV29" i="3"/>
  <c r="CV47" i="3"/>
  <c r="CW50" i="3"/>
  <c r="CW40" i="3"/>
  <c r="CW63" i="3"/>
  <c r="CW65" i="3"/>
  <c r="CW42" i="3"/>
  <c r="BV57" i="3"/>
  <c r="BV60" i="3"/>
  <c r="BV59" i="3"/>
  <c r="BV52" i="3"/>
  <c r="BV35" i="3"/>
  <c r="BV28" i="3"/>
  <c r="BV49" i="3"/>
  <c r="BV62" i="3"/>
  <c r="BV41" i="3"/>
  <c r="BV67" i="3"/>
  <c r="BV64" i="3"/>
  <c r="BV43" i="3"/>
  <c r="BV29" i="3"/>
  <c r="BV37" i="3"/>
  <c r="BV51" i="3"/>
  <c r="BV48" i="3"/>
  <c r="BV32" i="3"/>
  <c r="BV44" i="3"/>
  <c r="BV65" i="3"/>
  <c r="BV33" i="3"/>
  <c r="BV30" i="3"/>
  <c r="BV54" i="3"/>
  <c r="BV46" i="3"/>
  <c r="BV56" i="3"/>
  <c r="BV45" i="3"/>
  <c r="BV63" i="3"/>
  <c r="BV40" i="3"/>
  <c r="BV66" i="3"/>
  <c r="BV31" i="3"/>
  <c r="BV53" i="3"/>
  <c r="BV42" i="3"/>
  <c r="BV34" i="3"/>
  <c r="BV50" i="3"/>
  <c r="BV36" i="3"/>
  <c r="BV38" i="3"/>
  <c r="BV58" i="3"/>
  <c r="BV47" i="3"/>
  <c r="BV55" i="3"/>
  <c r="BV61" i="3"/>
  <c r="BV39" i="3"/>
  <c r="BI28" i="3" a="1"/>
  <c r="U31" i="3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H33" i="3"/>
  <c r="I33" i="6" l="1"/>
  <c r="J32" i="6"/>
  <c r="CJ37" i="3"/>
  <c r="CJ39" i="3"/>
  <c r="CJ32" i="3"/>
  <c r="CJ40" i="3"/>
  <c r="CJ59" i="3"/>
  <c r="CJ41" i="3"/>
  <c r="CJ38" i="3"/>
  <c r="CJ42" i="3"/>
  <c r="CJ49" i="3"/>
  <c r="CJ48" i="3"/>
  <c r="CJ28" i="3"/>
  <c r="CJ57" i="3"/>
  <c r="CJ31" i="3"/>
  <c r="CJ65" i="3"/>
  <c r="CJ51" i="3"/>
  <c r="CJ66" i="3"/>
  <c r="CJ58" i="3"/>
  <c r="CJ61" i="3"/>
  <c r="CJ67" i="3"/>
  <c r="CJ44" i="3"/>
  <c r="CJ29" i="3"/>
  <c r="CJ47" i="3"/>
  <c r="CJ55" i="3"/>
  <c r="CJ52" i="3"/>
  <c r="CJ43" i="3"/>
  <c r="CJ30" i="3"/>
  <c r="CJ60" i="3"/>
  <c r="CJ53" i="3"/>
  <c r="CJ46" i="3"/>
  <c r="DI34" i="3"/>
  <c r="DI28" i="3"/>
  <c r="DI30" i="3"/>
  <c r="DJ28" i="3" a="1"/>
  <c r="DJ37" i="3" s="1"/>
  <c r="CJ62" i="3"/>
  <c r="DI36" i="3"/>
  <c r="CJ54" i="3"/>
  <c r="CJ35" i="3"/>
  <c r="CJ33" i="3"/>
  <c r="CJ56" i="3"/>
  <c r="CJ45" i="3"/>
  <c r="CJ64" i="3"/>
  <c r="CJ63" i="3"/>
  <c r="DI29" i="3"/>
  <c r="CJ50" i="3"/>
  <c r="CJ36" i="3"/>
  <c r="AW28" i="3" a="1"/>
  <c r="AW41" i="3" s="1"/>
  <c r="DI44" i="3"/>
  <c r="AV28" i="3" a="1"/>
  <c r="AV67" i="3" s="1"/>
  <c r="DI46" i="3"/>
  <c r="DI35" i="3"/>
  <c r="DI42" i="3"/>
  <c r="DI38" i="3"/>
  <c r="DI45" i="3"/>
  <c r="DI53" i="3"/>
  <c r="DI43" i="3"/>
  <c r="DI41" i="3"/>
  <c r="DI33" i="3"/>
  <c r="DI52" i="3"/>
  <c r="DI62" i="3"/>
  <c r="DI56" i="3"/>
  <c r="DI57" i="3"/>
  <c r="DI40" i="3"/>
  <c r="DI50" i="3"/>
  <c r="DI55" i="3"/>
  <c r="DI39" i="3"/>
  <c r="DI67" i="3"/>
  <c r="DI63" i="3"/>
  <c r="DI51" i="3"/>
  <c r="DI59" i="3"/>
  <c r="DI64" i="3"/>
  <c r="DI31" i="3"/>
  <c r="DI49" i="3"/>
  <c r="DI48" i="3"/>
  <c r="DI66" i="3"/>
  <c r="DI32" i="3"/>
  <c r="DI54" i="3"/>
  <c r="DI60" i="3"/>
  <c r="DI61" i="3"/>
  <c r="DI58" i="3"/>
  <c r="DI47" i="3"/>
  <c r="DI65" i="3"/>
  <c r="AH28" i="3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AH63" i="3" s="1"/>
  <c r="AH64" i="3" s="1"/>
  <c r="AH65" i="3" s="1"/>
  <c r="AH66" i="3" s="1"/>
  <c r="AH67" i="3" s="1"/>
  <c r="AI28" i="3" s="1" a="1"/>
  <c r="BJ63" i="3"/>
  <c r="BJ28" i="3"/>
  <c r="BJ52" i="3"/>
  <c r="BJ60" i="3"/>
  <c r="BJ51" i="3"/>
  <c r="BJ31" i="3"/>
  <c r="BJ57" i="3"/>
  <c r="BJ33" i="3"/>
  <c r="BJ47" i="3"/>
  <c r="BJ49" i="3"/>
  <c r="BJ53" i="3"/>
  <c r="BW53" i="3"/>
  <c r="BW64" i="3"/>
  <c r="BW33" i="3"/>
  <c r="BW41" i="3"/>
  <c r="BJ54" i="3"/>
  <c r="BJ66" i="3"/>
  <c r="BJ62" i="3"/>
  <c r="BJ48" i="3"/>
  <c r="BW46" i="3"/>
  <c r="BJ55" i="3"/>
  <c r="BW42" i="3"/>
  <c r="BJ61" i="3"/>
  <c r="BJ42" i="3"/>
  <c r="BJ67" i="3"/>
  <c r="BJ59" i="3"/>
  <c r="BJ64" i="3"/>
  <c r="BJ39" i="3"/>
  <c r="BJ45" i="3"/>
  <c r="BJ40" i="3"/>
  <c r="BW61" i="3"/>
  <c r="BJ38" i="3"/>
  <c r="BJ29" i="3"/>
  <c r="BJ30" i="3"/>
  <c r="BW38" i="3"/>
  <c r="BJ32" i="3"/>
  <c r="BJ34" i="3"/>
  <c r="BJ50" i="3"/>
  <c r="BJ37" i="3"/>
  <c r="BJ41" i="3"/>
  <c r="BW51" i="3"/>
  <c r="BW44" i="3"/>
  <c r="BJ35" i="3"/>
  <c r="BJ65" i="3"/>
  <c r="BJ56" i="3"/>
  <c r="BJ58" i="3"/>
  <c r="BW47" i="3"/>
  <c r="BJ43" i="3"/>
  <c r="BJ36" i="3"/>
  <c r="BJ44" i="3"/>
  <c r="BW63" i="3"/>
  <c r="BW67" i="3"/>
  <c r="BW62" i="3"/>
  <c r="BW36" i="3"/>
  <c r="BW32" i="3"/>
  <c r="BW54" i="3"/>
  <c r="BW31" i="3"/>
  <c r="BW40" i="3"/>
  <c r="BW52" i="3"/>
  <c r="BW65" i="3"/>
  <c r="BW58" i="3"/>
  <c r="BW56" i="3"/>
  <c r="BW30" i="3"/>
  <c r="BW57" i="3"/>
  <c r="BW50" i="3"/>
  <c r="BW39" i="3"/>
  <c r="BW29" i="3"/>
  <c r="BW55" i="3"/>
  <c r="BW45" i="3"/>
  <c r="BW59" i="3"/>
  <c r="BW49" i="3"/>
  <c r="BW48" i="3"/>
  <c r="BW35" i="3"/>
  <c r="BW66" i="3"/>
  <c r="BW28" i="3"/>
  <c r="BW60" i="3"/>
  <c r="BW43" i="3"/>
  <c r="BW34" i="3"/>
  <c r="CO24" i="3"/>
  <c r="CU24" i="3"/>
  <c r="CP24" i="3"/>
  <c r="CQ24" i="3"/>
  <c r="CS24" i="3"/>
  <c r="CR24" i="3"/>
  <c r="CT24" i="3"/>
  <c r="W28" i="3" a="1"/>
  <c r="W61" i="3" s="1"/>
  <c r="BI51" i="3"/>
  <c r="BI40" i="3"/>
  <c r="BI52" i="3"/>
  <c r="BI36" i="3"/>
  <c r="BI38" i="3"/>
  <c r="BI37" i="3"/>
  <c r="BI67" i="3"/>
  <c r="BI62" i="3"/>
  <c r="BI63" i="3"/>
  <c r="BI29" i="3"/>
  <c r="BI53" i="3"/>
  <c r="BI50" i="3"/>
  <c r="BI33" i="3"/>
  <c r="BI58" i="3"/>
  <c r="BI55" i="3"/>
  <c r="BI43" i="3"/>
  <c r="BI34" i="3"/>
  <c r="BI30" i="3"/>
  <c r="BI42" i="3"/>
  <c r="BI48" i="3"/>
  <c r="BI66" i="3"/>
  <c r="BI59" i="3"/>
  <c r="BI46" i="3"/>
  <c r="BI41" i="3"/>
  <c r="BI28" i="3"/>
  <c r="BI45" i="3"/>
  <c r="BI57" i="3"/>
  <c r="BI39" i="3"/>
  <c r="BI31" i="3"/>
  <c r="BI56" i="3"/>
  <c r="BI44" i="3"/>
  <c r="BI49" i="3"/>
  <c r="BI54" i="3"/>
  <c r="BI61" i="3"/>
  <c r="BI32" i="3"/>
  <c r="BI65" i="3"/>
  <c r="BI60" i="3"/>
  <c r="BI35" i="3"/>
  <c r="BI64" i="3"/>
  <c r="BI47" i="3"/>
  <c r="V28" i="3" a="1"/>
  <c r="H34" i="3"/>
  <c r="I34" i="6" l="1"/>
  <c r="J33" i="6"/>
  <c r="AV43" i="3"/>
  <c r="AV33" i="3"/>
  <c r="AV42" i="3"/>
  <c r="AV54" i="3"/>
  <c r="AV32" i="3"/>
  <c r="AV31" i="3"/>
  <c r="AV49" i="3"/>
  <c r="AV46" i="3"/>
  <c r="AV34" i="3"/>
  <c r="AV60" i="3"/>
  <c r="AV64" i="3"/>
  <c r="AV50" i="3"/>
  <c r="AV59" i="3"/>
  <c r="AV40" i="3"/>
  <c r="AV28" i="3"/>
  <c r="AV53" i="3"/>
  <c r="AV51" i="3"/>
  <c r="AV66" i="3"/>
  <c r="CD24" i="3"/>
  <c r="CC24" i="3"/>
  <c r="CG24" i="3"/>
  <c r="AW46" i="3"/>
  <c r="DJ30" i="3"/>
  <c r="AW51" i="3"/>
  <c r="AW31" i="3"/>
  <c r="DJ47" i="3"/>
  <c r="AW61" i="3"/>
  <c r="DJ32" i="3"/>
  <c r="AW65" i="3"/>
  <c r="AW36" i="3"/>
  <c r="DJ46" i="3"/>
  <c r="AW50" i="3"/>
  <c r="AW57" i="3"/>
  <c r="AW54" i="3"/>
  <c r="DJ57" i="3"/>
  <c r="AW32" i="3"/>
  <c r="CF24" i="3"/>
  <c r="AW58" i="3"/>
  <c r="AW60" i="3"/>
  <c r="AW64" i="3"/>
  <c r="CH24" i="3"/>
  <c r="DJ51" i="3"/>
  <c r="DJ33" i="3"/>
  <c r="DJ66" i="3"/>
  <c r="CB24" i="3"/>
  <c r="AW63" i="3"/>
  <c r="DJ35" i="3"/>
  <c r="DJ55" i="3"/>
  <c r="DJ53" i="3"/>
  <c r="DJ62" i="3"/>
  <c r="DJ67" i="3"/>
  <c r="DJ40" i="3"/>
  <c r="DJ60" i="3"/>
  <c r="DJ48" i="3"/>
  <c r="DJ65" i="3"/>
  <c r="AW52" i="3"/>
  <c r="AW42" i="3"/>
  <c r="AV45" i="3"/>
  <c r="DJ52" i="3"/>
  <c r="DJ31" i="3"/>
  <c r="DJ59" i="3"/>
  <c r="DJ28" i="3"/>
  <c r="AW37" i="3"/>
  <c r="DJ61" i="3"/>
  <c r="AV52" i="3"/>
  <c r="AV65" i="3"/>
  <c r="AW59" i="3"/>
  <c r="AV44" i="3"/>
  <c r="DJ54" i="3"/>
  <c r="DJ64" i="3"/>
  <c r="AV36" i="3"/>
  <c r="AV47" i="3"/>
  <c r="AV61" i="3"/>
  <c r="AW44" i="3"/>
  <c r="DJ58" i="3"/>
  <c r="AV30" i="3"/>
  <c r="AW48" i="3"/>
  <c r="AW49" i="3"/>
  <c r="AW33" i="3"/>
  <c r="AW53" i="3"/>
  <c r="AW39" i="3"/>
  <c r="AW40" i="3"/>
  <c r="AW28" i="3"/>
  <c r="AW55" i="3"/>
  <c r="AW30" i="3"/>
  <c r="AW29" i="3"/>
  <c r="AW38" i="3"/>
  <c r="AW35" i="3"/>
  <c r="AW34" i="3"/>
  <c r="AV38" i="3"/>
  <c r="AV35" i="3"/>
  <c r="AV37" i="3"/>
  <c r="AV29" i="3"/>
  <c r="CE24" i="3"/>
  <c r="AV63" i="3"/>
  <c r="AV62" i="3"/>
  <c r="AV57" i="3"/>
  <c r="DJ41" i="3"/>
  <c r="DJ36" i="3"/>
  <c r="DJ49" i="3"/>
  <c r="AV41" i="3"/>
  <c r="AV48" i="3"/>
  <c r="AW56" i="3"/>
  <c r="AW43" i="3"/>
  <c r="DJ63" i="3"/>
  <c r="DJ42" i="3"/>
  <c r="DJ50" i="3"/>
  <c r="DJ43" i="3"/>
  <c r="AV58" i="3"/>
  <c r="DJ34" i="3"/>
  <c r="DJ56" i="3"/>
  <c r="AV55" i="3"/>
  <c r="AW66" i="3"/>
  <c r="AW47" i="3"/>
  <c r="DJ39" i="3"/>
  <c r="DJ29" i="3"/>
  <c r="DJ38" i="3"/>
  <c r="DJ44" i="3"/>
  <c r="DJ45" i="3"/>
  <c r="AV56" i="3"/>
  <c r="AV39" i="3"/>
  <c r="AW62" i="3"/>
  <c r="AW45" i="3"/>
  <c r="AW67" i="3"/>
  <c r="AJ28" i="3" a="1"/>
  <c r="AJ55" i="3" s="1"/>
  <c r="BT24" i="3"/>
  <c r="BU24" i="3"/>
  <c r="BQ24" i="3"/>
  <c r="BP24" i="3"/>
  <c r="AI56" i="3"/>
  <c r="AI34" i="3"/>
  <c r="AI30" i="3"/>
  <c r="AI46" i="3"/>
  <c r="AI66" i="3"/>
  <c r="AI42" i="3"/>
  <c r="AI52" i="3"/>
  <c r="AI37" i="3"/>
  <c r="AI40" i="3"/>
  <c r="AI64" i="3"/>
  <c r="AI58" i="3"/>
  <c r="AI50" i="3"/>
  <c r="AI62" i="3"/>
  <c r="AI59" i="3"/>
  <c r="AI44" i="3"/>
  <c r="AI33" i="3"/>
  <c r="AI43" i="3"/>
  <c r="AI28" i="3"/>
  <c r="AI63" i="3"/>
  <c r="AI36" i="3"/>
  <c r="AI53" i="3"/>
  <c r="AI48" i="3"/>
  <c r="AI47" i="3"/>
  <c r="AI65" i="3"/>
  <c r="AI35" i="3"/>
  <c r="AI51" i="3"/>
  <c r="AI29" i="3"/>
  <c r="AI32" i="3"/>
  <c r="AI57" i="3"/>
  <c r="AI39" i="3"/>
  <c r="AI60" i="3"/>
  <c r="AI49" i="3"/>
  <c r="AI31" i="3"/>
  <c r="AI38" i="3"/>
  <c r="AI67" i="3"/>
  <c r="AI45" i="3"/>
  <c r="AI61" i="3"/>
  <c r="AI55" i="3"/>
  <c r="AI54" i="3"/>
  <c r="AI41" i="3"/>
  <c r="BS24" i="3"/>
  <c r="BO24" i="3"/>
  <c r="BR24" i="3"/>
  <c r="L73" i="3" a="1"/>
  <c r="L73" i="3" s="1"/>
  <c r="W54" i="3"/>
  <c r="W52" i="3"/>
  <c r="W56" i="3"/>
  <c r="W38" i="3"/>
  <c r="W32" i="3"/>
  <c r="W37" i="3"/>
  <c r="W34" i="3"/>
  <c r="W35" i="3"/>
  <c r="W40" i="3"/>
  <c r="W43" i="3"/>
  <c r="W64" i="3"/>
  <c r="W59" i="3"/>
  <c r="W67" i="3"/>
  <c r="W36" i="3"/>
  <c r="W65" i="3"/>
  <c r="W46" i="3"/>
  <c r="W58" i="3"/>
  <c r="W51" i="3"/>
  <c r="W41" i="3"/>
  <c r="W28" i="3"/>
  <c r="W47" i="3"/>
  <c r="W48" i="3"/>
  <c r="W31" i="3"/>
  <c r="W29" i="3"/>
  <c r="W49" i="3"/>
  <c r="W66" i="3"/>
  <c r="W53" i="3"/>
  <c r="W62" i="3"/>
  <c r="W30" i="3"/>
  <c r="W39" i="3"/>
  <c r="W55" i="3"/>
  <c r="W50" i="3"/>
  <c r="W33" i="3"/>
  <c r="W45" i="3"/>
  <c r="W44" i="3"/>
  <c r="W63" i="3"/>
  <c r="W60" i="3"/>
  <c r="W42" i="3"/>
  <c r="W57" i="3"/>
  <c r="BH24" i="3"/>
  <c r="BG24" i="3"/>
  <c r="BD24" i="3"/>
  <c r="BB24" i="3"/>
  <c r="BE24" i="3"/>
  <c r="BC24" i="3"/>
  <c r="BF24" i="3"/>
  <c r="V48" i="3"/>
  <c r="V29" i="3"/>
  <c r="V52" i="3"/>
  <c r="V45" i="3"/>
  <c r="V57" i="3"/>
  <c r="V58" i="3"/>
  <c r="V36" i="3"/>
  <c r="V31" i="3"/>
  <c r="V67" i="3"/>
  <c r="V42" i="3"/>
  <c r="V63" i="3"/>
  <c r="V65" i="3"/>
  <c r="V32" i="3"/>
  <c r="V61" i="3"/>
  <c r="V46" i="3"/>
  <c r="V47" i="3"/>
  <c r="V39" i="3"/>
  <c r="V64" i="3"/>
  <c r="V66" i="3"/>
  <c r="V54" i="3"/>
  <c r="V50" i="3"/>
  <c r="V56" i="3"/>
  <c r="V44" i="3"/>
  <c r="V43" i="3"/>
  <c r="V49" i="3"/>
  <c r="V53" i="3"/>
  <c r="V62" i="3"/>
  <c r="V55" i="3"/>
  <c r="V35" i="3"/>
  <c r="V40" i="3"/>
  <c r="V59" i="3"/>
  <c r="V51" i="3"/>
  <c r="V37" i="3"/>
  <c r="V41" i="3"/>
  <c r="V28" i="3"/>
  <c r="V33" i="3"/>
  <c r="V38" i="3"/>
  <c r="V34" i="3"/>
  <c r="V60" i="3"/>
  <c r="V30" i="3"/>
  <c r="H35" i="3"/>
  <c r="I35" i="6" l="1"/>
  <c r="J34" i="6"/>
  <c r="AO24" i="3"/>
  <c r="AU24" i="3"/>
  <c r="K73" i="3" a="1"/>
  <c r="K75" i="3" s="1"/>
  <c r="AR24" i="3"/>
  <c r="DG24" i="3"/>
  <c r="AS24" i="3"/>
  <c r="DH24" i="3"/>
  <c r="DF24" i="3"/>
  <c r="DD24" i="3"/>
  <c r="AT24" i="3"/>
  <c r="DB24" i="3"/>
  <c r="AQ24" i="3"/>
  <c r="DC24" i="3"/>
  <c r="DE24" i="3"/>
  <c r="AP24" i="3"/>
  <c r="J73" i="3" a="1"/>
  <c r="J74" i="3" s="1"/>
  <c r="AJ34" i="3"/>
  <c r="AJ58" i="3"/>
  <c r="AJ41" i="3"/>
  <c r="AJ33" i="3"/>
  <c r="AJ35" i="3"/>
  <c r="AJ60" i="3"/>
  <c r="AJ51" i="3"/>
  <c r="AJ38" i="3"/>
  <c r="AJ43" i="3"/>
  <c r="AJ39" i="3"/>
  <c r="AJ63" i="3"/>
  <c r="AJ32" i="3"/>
  <c r="AJ28" i="3"/>
  <c r="AJ67" i="3"/>
  <c r="AJ61" i="3"/>
  <c r="AJ44" i="3"/>
  <c r="AJ45" i="3"/>
  <c r="AJ62" i="3"/>
  <c r="AJ56" i="3"/>
  <c r="AJ57" i="3"/>
  <c r="AJ65" i="3"/>
  <c r="AJ59" i="3"/>
  <c r="AJ52" i="3"/>
  <c r="AJ37" i="3"/>
  <c r="AJ31" i="3"/>
  <c r="AJ53" i="3"/>
  <c r="AJ42" i="3"/>
  <c r="AJ36" i="3"/>
  <c r="AJ40" i="3"/>
  <c r="AJ66" i="3"/>
  <c r="AJ49" i="3"/>
  <c r="AJ29" i="3"/>
  <c r="AJ50" i="3"/>
  <c r="AJ47" i="3"/>
  <c r="AJ46" i="3"/>
  <c r="AJ30" i="3"/>
  <c r="AJ64" i="3"/>
  <c r="AJ48" i="3"/>
  <c r="AJ54" i="3"/>
  <c r="L75" i="3"/>
  <c r="L76" i="3"/>
  <c r="L80" i="3"/>
  <c r="L79" i="3"/>
  <c r="L74" i="3"/>
  <c r="L78" i="3"/>
  <c r="L77" i="3"/>
  <c r="I73" i="3" a="1"/>
  <c r="Q24" i="3"/>
  <c r="U24" i="3"/>
  <c r="O24" i="3"/>
  <c r="T24" i="3"/>
  <c r="S24" i="3"/>
  <c r="P24" i="3"/>
  <c r="R24" i="3"/>
  <c r="H36" i="3"/>
  <c r="I36" i="6" l="1"/>
  <c r="J35" i="6"/>
  <c r="H73" i="3" a="1"/>
  <c r="H73" i="3" s="1"/>
  <c r="K76" i="3"/>
  <c r="K80" i="3"/>
  <c r="K74" i="3"/>
  <c r="K78" i="3"/>
  <c r="K73" i="3"/>
  <c r="M73" i="3" a="1"/>
  <c r="M75" i="3" s="1"/>
  <c r="K79" i="3"/>
  <c r="K77" i="3"/>
  <c r="J77" i="3"/>
  <c r="J76" i="3"/>
  <c r="J75" i="3"/>
  <c r="J73" i="3"/>
  <c r="J80" i="3"/>
  <c r="J79" i="3"/>
  <c r="J78" i="3"/>
  <c r="AB24" i="3"/>
  <c r="AH24" i="3"/>
  <c r="AC24" i="3"/>
  <c r="AE24" i="3"/>
  <c r="AD24" i="3"/>
  <c r="AF24" i="3"/>
  <c r="AG24" i="3"/>
  <c r="I73" i="3"/>
  <c r="I77" i="3"/>
  <c r="I78" i="3"/>
  <c r="I76" i="3"/>
  <c r="I75" i="3"/>
  <c r="I79" i="3"/>
  <c r="I74" i="3"/>
  <c r="I80" i="3"/>
  <c r="F73" i="3" a="1"/>
  <c r="H37" i="3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I28" i="3" s="1" a="1"/>
  <c r="I37" i="6" l="1"/>
  <c r="J36" i="6"/>
  <c r="H77" i="3"/>
  <c r="H80" i="3"/>
  <c r="H78" i="3"/>
  <c r="H79" i="3"/>
  <c r="H76" i="3"/>
  <c r="H74" i="3"/>
  <c r="H75" i="3"/>
  <c r="M78" i="3"/>
  <c r="M74" i="3"/>
  <c r="M77" i="3"/>
  <c r="M80" i="3"/>
  <c r="M79" i="3"/>
  <c r="M76" i="3"/>
  <c r="M73" i="3"/>
  <c r="G73" i="3" a="1"/>
  <c r="G79" i="3" s="1"/>
  <c r="F73" i="3"/>
  <c r="F78" i="3"/>
  <c r="F76" i="3"/>
  <c r="F74" i="3"/>
  <c r="F80" i="3"/>
  <c r="F77" i="3"/>
  <c r="F75" i="3"/>
  <c r="F79" i="3"/>
  <c r="J28" i="3" a="1"/>
  <c r="J55" i="3" s="1"/>
  <c r="I28" i="3"/>
  <c r="I50" i="3"/>
  <c r="I52" i="3"/>
  <c r="I66" i="3"/>
  <c r="I47" i="3"/>
  <c r="I30" i="3"/>
  <c r="I51" i="3"/>
  <c r="I34" i="3"/>
  <c r="I53" i="3"/>
  <c r="I54" i="3"/>
  <c r="I40" i="3"/>
  <c r="I61" i="3"/>
  <c r="I43" i="3"/>
  <c r="I31" i="3"/>
  <c r="I35" i="3"/>
  <c r="I41" i="3"/>
  <c r="I62" i="3"/>
  <c r="I63" i="3"/>
  <c r="I46" i="3"/>
  <c r="I36" i="3"/>
  <c r="I55" i="3"/>
  <c r="I56" i="3"/>
  <c r="I57" i="3"/>
  <c r="I39" i="3"/>
  <c r="I58" i="3"/>
  <c r="I59" i="3"/>
  <c r="I42" i="3"/>
  <c r="I45" i="3"/>
  <c r="I67" i="3"/>
  <c r="I37" i="3"/>
  <c r="I38" i="3"/>
  <c r="I65" i="3"/>
  <c r="I49" i="3"/>
  <c r="I33" i="3"/>
  <c r="I64" i="3"/>
  <c r="I48" i="3"/>
  <c r="I32" i="3"/>
  <c r="I29" i="3"/>
  <c r="I44" i="3"/>
  <c r="I60" i="3"/>
  <c r="I38" i="6" l="1"/>
  <c r="J37" i="6"/>
  <c r="G75" i="3"/>
  <c r="G77" i="3"/>
  <c r="G80" i="3"/>
  <c r="G78" i="3"/>
  <c r="G76" i="3"/>
  <c r="G74" i="3"/>
  <c r="G73" i="3"/>
  <c r="J29" i="3"/>
  <c r="J45" i="3"/>
  <c r="J54" i="3"/>
  <c r="J38" i="3"/>
  <c r="J50" i="3"/>
  <c r="J33" i="3"/>
  <c r="J28" i="3"/>
  <c r="J64" i="3"/>
  <c r="J67" i="3"/>
  <c r="J40" i="3"/>
  <c r="J52" i="3"/>
  <c r="J60" i="3"/>
  <c r="J59" i="3"/>
  <c r="J42" i="3"/>
  <c r="J48" i="3"/>
  <c r="J62" i="3"/>
  <c r="J47" i="3"/>
  <c r="J46" i="3"/>
  <c r="J31" i="3"/>
  <c r="J34" i="3"/>
  <c r="J51" i="3"/>
  <c r="J53" i="3"/>
  <c r="J37" i="3"/>
  <c r="J57" i="3"/>
  <c r="J39" i="3"/>
  <c r="J43" i="3"/>
  <c r="J35" i="3"/>
  <c r="J49" i="3"/>
  <c r="J58" i="3"/>
  <c r="J44" i="3"/>
  <c r="J41" i="3"/>
  <c r="J30" i="3"/>
  <c r="J61" i="3"/>
  <c r="J63" i="3"/>
  <c r="J65" i="3"/>
  <c r="J66" i="3"/>
  <c r="J56" i="3"/>
  <c r="J32" i="3"/>
  <c r="J36" i="3"/>
  <c r="I39" i="6" l="1"/>
  <c r="J38" i="6"/>
  <c r="B24" i="3"/>
  <c r="E24" i="3"/>
  <c r="D24" i="3"/>
  <c r="C24" i="3"/>
  <c r="F24" i="3"/>
  <c r="H24" i="3"/>
  <c r="G24" i="3"/>
  <c r="I40" i="6" l="1"/>
  <c r="J39" i="6"/>
  <c r="D73" i="3" a="1"/>
  <c r="D73" i="3" s="1"/>
  <c r="I41" i="6" l="1"/>
  <c r="J40" i="6"/>
  <c r="D79" i="3"/>
  <c r="D77" i="3"/>
  <c r="D74" i="3"/>
  <c r="D75" i="3"/>
  <c r="D80" i="3"/>
  <c r="D78" i="3"/>
  <c r="D76" i="3"/>
  <c r="U73" i="3" a="1"/>
  <c r="I42" i="6" l="1"/>
  <c r="J41" i="6"/>
  <c r="T73" i="3" a="1"/>
  <c r="R73" i="3" a="1"/>
  <c r="R73" i="3" s="1"/>
  <c r="S73" i="3" a="1"/>
  <c r="S75" i="3" s="1"/>
  <c r="O73" i="3" a="1"/>
  <c r="O76" i="3" s="1"/>
  <c r="V73" i="3" a="1"/>
  <c r="Q73" i="3" a="1"/>
  <c r="Q74" i="3" s="1"/>
  <c r="P73" i="3" a="1"/>
  <c r="P73" i="3" s="1"/>
  <c r="V73" i="3"/>
  <c r="V80" i="3"/>
  <c r="V79" i="3"/>
  <c r="V77" i="3"/>
  <c r="V74" i="3"/>
  <c r="V75" i="3"/>
  <c r="V76" i="3"/>
  <c r="V78" i="3"/>
  <c r="S77" i="3"/>
  <c r="R78" i="3"/>
  <c r="R80" i="3"/>
  <c r="R74" i="3"/>
  <c r="R77" i="3"/>
  <c r="R75" i="3"/>
  <c r="T78" i="3"/>
  <c r="T73" i="3"/>
  <c r="T79" i="3"/>
  <c r="T77" i="3"/>
  <c r="T76" i="3"/>
  <c r="T75" i="3"/>
  <c r="T74" i="3"/>
  <c r="T80" i="3"/>
  <c r="O75" i="3"/>
  <c r="O79" i="3"/>
  <c r="O78" i="3"/>
  <c r="Q80" i="3"/>
  <c r="Q75" i="3"/>
  <c r="P74" i="3"/>
  <c r="P76" i="3"/>
  <c r="U75" i="3"/>
  <c r="U74" i="3"/>
  <c r="U79" i="3"/>
  <c r="U80" i="3"/>
  <c r="U77" i="3"/>
  <c r="U73" i="3"/>
  <c r="U78" i="3"/>
  <c r="U76" i="3"/>
  <c r="J42" i="6" l="1"/>
  <c r="I43" i="6"/>
  <c r="O80" i="3"/>
  <c r="O73" i="3"/>
  <c r="O74" i="3"/>
  <c r="R76" i="3"/>
  <c r="O77" i="3"/>
  <c r="R79" i="3"/>
  <c r="P77" i="3"/>
  <c r="S73" i="3"/>
  <c r="S78" i="3"/>
  <c r="P78" i="3"/>
  <c r="P79" i="3"/>
  <c r="S76" i="3"/>
  <c r="P75" i="3"/>
  <c r="P80" i="3"/>
  <c r="S74" i="3"/>
  <c r="Q79" i="3"/>
  <c r="S79" i="3"/>
  <c r="Q78" i="3"/>
  <c r="Q76" i="3"/>
  <c r="Q73" i="3"/>
  <c r="Q77" i="3"/>
  <c r="S80" i="3"/>
  <c r="I44" i="6" l="1"/>
  <c r="J43" i="6"/>
  <c r="X73" i="3" a="1"/>
  <c r="AC77" i="3" s="1"/>
  <c r="J44" i="6" l="1"/>
  <c r="I45" i="6"/>
  <c r="X80" i="3"/>
  <c r="AA75" i="3"/>
  <c r="AB80" i="3"/>
  <c r="AE80" i="3"/>
  <c r="AA74" i="3"/>
  <c r="X78" i="3"/>
  <c r="AC80" i="3"/>
  <c r="AB78" i="3"/>
  <c r="AE79" i="3"/>
  <c r="Z80" i="3"/>
  <c r="X74" i="3"/>
  <c r="X76" i="3"/>
  <c r="AA76" i="3"/>
  <c r="AC79" i="3"/>
  <c r="AC73" i="3"/>
  <c r="AD78" i="3"/>
  <c r="Y73" i="3"/>
  <c r="AE75" i="3"/>
  <c r="AC78" i="3"/>
  <c r="Z77" i="3"/>
  <c r="X79" i="3"/>
  <c r="AC74" i="3"/>
  <c r="AC76" i="3"/>
  <c r="Y74" i="3"/>
  <c r="Z76" i="3"/>
  <c r="AA79" i="3"/>
  <c r="AD74" i="3"/>
  <c r="AB79" i="3"/>
  <c r="Z78" i="3"/>
  <c r="Y77" i="3"/>
  <c r="Y80" i="3"/>
  <c r="AC75" i="3"/>
  <c r="AB74" i="3"/>
  <c r="AB76" i="3"/>
  <c r="Z73" i="3"/>
  <c r="AE78" i="3"/>
  <c r="AD76" i="3"/>
  <c r="X75" i="3"/>
  <c r="AE77" i="3"/>
  <c r="AE73" i="3"/>
  <c r="Z75" i="3"/>
  <c r="AD77" i="3"/>
  <c r="Y78" i="3"/>
  <c r="AA80" i="3"/>
  <c r="Z74" i="3"/>
  <c r="AD73" i="3"/>
  <c r="AE76" i="3"/>
  <c r="AB73" i="3"/>
  <c r="AD75" i="3"/>
  <c r="X73" i="3"/>
  <c r="AE74" i="3"/>
  <c r="AD80" i="3"/>
  <c r="AA78" i="3"/>
  <c r="X77" i="3"/>
  <c r="AD79" i="3"/>
  <c r="Y79" i="3"/>
  <c r="AB75" i="3"/>
  <c r="AA73" i="3"/>
  <c r="Y76" i="3"/>
  <c r="Z79" i="3"/>
  <c r="AB77" i="3"/>
  <c r="Y75" i="3"/>
  <c r="AA77" i="3"/>
  <c r="J45" i="6" l="1"/>
  <c r="I46" i="6"/>
  <c r="AH73" i="3" a="1"/>
  <c r="AH73" i="3" s="1"/>
  <c r="I47" i="6" l="1"/>
  <c r="J46" i="6"/>
  <c r="AH76" i="3"/>
  <c r="AH75" i="3"/>
  <c r="AH77" i="3"/>
  <c r="AH78" i="3"/>
  <c r="AH79" i="3"/>
  <c r="AH74" i="3"/>
  <c r="AH80" i="3"/>
  <c r="B88" i="3"/>
  <c r="B87" i="3"/>
  <c r="D86" i="3" s="1"/>
  <c r="B89" i="3"/>
  <c r="D88" i="3" s="1"/>
  <c r="B90" i="3"/>
  <c r="B91" i="3"/>
  <c r="B86" i="3"/>
  <c r="B92" i="3"/>
  <c r="B85" i="3"/>
  <c r="J47" i="6" l="1"/>
  <c r="I48" i="6"/>
  <c r="DB85" i="3"/>
  <c r="CO85" i="3"/>
  <c r="AB85" i="3"/>
  <c r="CB85" i="3"/>
  <c r="AO85" i="3"/>
  <c r="B144" i="3"/>
  <c r="BO85" i="3"/>
  <c r="BB85" i="3"/>
  <c r="O85" i="3"/>
  <c r="B151" i="3"/>
  <c r="BO92" i="3"/>
  <c r="BB92" i="3"/>
  <c r="CB92" i="3"/>
  <c r="AO92" i="3"/>
  <c r="AB92" i="3"/>
  <c r="O92" i="3"/>
  <c r="DB92" i="3"/>
  <c r="CO92" i="3"/>
  <c r="BO86" i="3"/>
  <c r="O86" i="3"/>
  <c r="B145" i="3"/>
  <c r="BB86" i="3"/>
  <c r="CO86" i="3"/>
  <c r="DB86" i="3"/>
  <c r="AO86" i="3"/>
  <c r="CB86" i="3"/>
  <c r="AB86" i="3"/>
  <c r="CO91" i="3"/>
  <c r="O91" i="3"/>
  <c r="AB91" i="3"/>
  <c r="CB91" i="3"/>
  <c r="B150" i="3"/>
  <c r="BO91" i="3"/>
  <c r="DB91" i="3"/>
  <c r="BB91" i="3"/>
  <c r="AO91" i="3"/>
  <c r="BB90" i="3"/>
  <c r="CB90" i="3"/>
  <c r="DB90" i="3"/>
  <c r="B149" i="3"/>
  <c r="AO90" i="3"/>
  <c r="CO90" i="3"/>
  <c r="AB90" i="3"/>
  <c r="O90" i="3"/>
  <c r="BO90" i="3"/>
  <c r="AO89" i="3"/>
  <c r="CO89" i="3"/>
  <c r="DB89" i="3"/>
  <c r="AB89" i="3"/>
  <c r="CB89" i="3"/>
  <c r="O89" i="3"/>
  <c r="BB89" i="3"/>
  <c r="B148" i="3"/>
  <c r="BO89" i="3"/>
  <c r="B146" i="3"/>
  <c r="CO87" i="3"/>
  <c r="DB87" i="3"/>
  <c r="AB87" i="3"/>
  <c r="BB87" i="3"/>
  <c r="O87" i="3"/>
  <c r="CB87" i="3"/>
  <c r="BO87" i="3"/>
  <c r="AO87" i="3"/>
  <c r="BO88" i="3"/>
  <c r="CB88" i="3"/>
  <c r="CO88" i="3"/>
  <c r="B147" i="3"/>
  <c r="O88" i="3"/>
  <c r="DB88" i="3"/>
  <c r="AO88" i="3"/>
  <c r="AB88" i="3"/>
  <c r="BB88" i="3"/>
  <c r="D90" i="3"/>
  <c r="E86" i="3"/>
  <c r="E88" i="3"/>
  <c r="D92" i="3"/>
  <c r="E92" i="3" s="1"/>
  <c r="D85" i="3"/>
  <c r="D87" i="3"/>
  <c r="D89" i="3"/>
  <c r="D91" i="3"/>
  <c r="I49" i="6" l="1"/>
  <c r="J48" i="6"/>
  <c r="BQ87" i="3"/>
  <c r="BR87" i="3" s="1"/>
  <c r="AQ86" i="3"/>
  <c r="AR86" i="3" s="1"/>
  <c r="AQ88" i="3"/>
  <c r="AQ92" i="3"/>
  <c r="AQ91" i="3"/>
  <c r="AR91" i="3" s="1"/>
  <c r="BQ89" i="3"/>
  <c r="BR89" i="3" s="1"/>
  <c r="BD92" i="3"/>
  <c r="BD91" i="3"/>
  <c r="BD86" i="3"/>
  <c r="AD86" i="3"/>
  <c r="CD90" i="3"/>
  <c r="CE90" i="3" s="1"/>
  <c r="BQ86" i="3"/>
  <c r="AD89" i="3"/>
  <c r="CD91" i="3"/>
  <c r="CD92" i="3"/>
  <c r="CE92" i="3" s="1"/>
  <c r="Q86" i="3"/>
  <c r="BQ92" i="3"/>
  <c r="BQ91" i="3"/>
  <c r="CQ89" i="3"/>
  <c r="AQ89" i="3"/>
  <c r="DD88" i="3"/>
  <c r="Q92" i="3"/>
  <c r="Q91" i="3"/>
  <c r="CQ88" i="3"/>
  <c r="AD90" i="3"/>
  <c r="CD86" i="3"/>
  <c r="Q89" i="3"/>
  <c r="DD86" i="3"/>
  <c r="AQ85" i="3"/>
  <c r="BD87" i="3"/>
  <c r="CQ86" i="3"/>
  <c r="DD85" i="3"/>
  <c r="AD87" i="3"/>
  <c r="AE87" i="3" s="1"/>
  <c r="DD89" i="3"/>
  <c r="AQ87" i="3"/>
  <c r="BQ88" i="3"/>
  <c r="CD89" i="3"/>
  <c r="BD85" i="3"/>
  <c r="Q87" i="3"/>
  <c r="AQ90" i="3"/>
  <c r="AR90" i="3" s="1"/>
  <c r="Q88" i="3"/>
  <c r="BD90" i="3"/>
  <c r="BQ85" i="3"/>
  <c r="AD91" i="3"/>
  <c r="AD92" i="3"/>
  <c r="DD87" i="3"/>
  <c r="BD89" i="3"/>
  <c r="BD88" i="3"/>
  <c r="BE88" i="3" s="1"/>
  <c r="Q85" i="3"/>
  <c r="CQ87" i="3"/>
  <c r="CR87" i="3" s="1"/>
  <c r="CD88" i="3"/>
  <c r="DD90" i="3"/>
  <c r="CQ92" i="3"/>
  <c r="CQ91" i="3"/>
  <c r="Q90" i="3"/>
  <c r="CQ90" i="3"/>
  <c r="AD85" i="3"/>
  <c r="CD85" i="3"/>
  <c r="CQ85" i="3"/>
  <c r="CD87" i="3"/>
  <c r="AD88" i="3"/>
  <c r="AE88" i="3" s="1"/>
  <c r="BQ90" i="3"/>
  <c r="DD91" i="3"/>
  <c r="DE91" i="3" s="1"/>
  <c r="DD92" i="3"/>
  <c r="E85" i="3"/>
  <c r="G85" i="3" s="1"/>
  <c r="E91" i="3"/>
  <c r="G91" i="3" s="1"/>
  <c r="F92" i="3" s="1"/>
  <c r="H92" i="3" s="1"/>
  <c r="E89" i="3"/>
  <c r="E87" i="3"/>
  <c r="G87" i="3" s="1"/>
  <c r="F88" i="3" s="1"/>
  <c r="E90" i="3"/>
  <c r="G90" i="3" s="1"/>
  <c r="F91" i="3" s="1"/>
  <c r="I50" i="6" l="1"/>
  <c r="J49" i="6"/>
  <c r="H91" i="3"/>
  <c r="I91" i="3" s="1"/>
  <c r="G86" i="3"/>
  <c r="F87" i="3" s="1"/>
  <c r="H87" i="3" s="1"/>
  <c r="AG87" i="3"/>
  <c r="AF88" i="3" s="1"/>
  <c r="R90" i="3"/>
  <c r="CE86" i="3"/>
  <c r="CR91" i="3"/>
  <c r="AE90" i="3"/>
  <c r="BE85" i="3"/>
  <c r="BG85" i="3" s="1"/>
  <c r="CR85" i="3"/>
  <c r="R86" i="3"/>
  <c r="AE92" i="3"/>
  <c r="AR92" i="3"/>
  <c r="AT91" i="3" s="1"/>
  <c r="AS92" i="3" s="1"/>
  <c r="AU92" i="3" s="1"/>
  <c r="DE88" i="3"/>
  <c r="CR88" i="3"/>
  <c r="CT87" i="3" s="1"/>
  <c r="CS88" i="3" s="1"/>
  <c r="BR86" i="3"/>
  <c r="BT86" i="3" s="1"/>
  <c r="BS87" i="3" s="1"/>
  <c r="AR88" i="3"/>
  <c r="BE89" i="3"/>
  <c r="BG88" i="3" s="1"/>
  <c r="BF89" i="3" s="1"/>
  <c r="BE86" i="3"/>
  <c r="BE91" i="3"/>
  <c r="R91" i="3"/>
  <c r="R92" i="3"/>
  <c r="DE86" i="3"/>
  <c r="R87" i="3"/>
  <c r="BE92" i="3"/>
  <c r="CE88" i="3"/>
  <c r="BE87" i="3"/>
  <c r="BG87" i="3" s="1"/>
  <c r="BF88" i="3" s="1"/>
  <c r="BR88" i="3"/>
  <c r="BT88" i="3" s="1"/>
  <c r="BS89" i="3" s="1"/>
  <c r="AR85" i="3"/>
  <c r="AT85" i="3" s="1"/>
  <c r="BE90" i="3"/>
  <c r="BG90" i="3" s="1"/>
  <c r="BF91" i="3" s="1"/>
  <c r="AE85" i="3"/>
  <c r="R88" i="3"/>
  <c r="BR85" i="3"/>
  <c r="DE87" i="3"/>
  <c r="AR89" i="3"/>
  <c r="AT89" i="3" s="1"/>
  <c r="AS90" i="3" s="1"/>
  <c r="BR92" i="3"/>
  <c r="DE90" i="3"/>
  <c r="DG90" i="3" s="1"/>
  <c r="DF91" i="3" s="1"/>
  <c r="AE91" i="3"/>
  <c r="CR86" i="3"/>
  <c r="CT86" i="3" s="1"/>
  <c r="CS87" i="3" s="1"/>
  <c r="CE91" i="3"/>
  <c r="CG91" i="3" s="1"/>
  <c r="CF92" i="3" s="1"/>
  <c r="CH92" i="3" s="1"/>
  <c r="AR87" i="3"/>
  <c r="AT86" i="3" s="1"/>
  <c r="AS87" i="3" s="1"/>
  <c r="R85" i="3"/>
  <c r="CR90" i="3"/>
  <c r="CT90" i="3" s="1"/>
  <c r="CS91" i="3" s="1"/>
  <c r="BR91" i="3"/>
  <c r="BT91" i="3" s="1"/>
  <c r="BS92" i="3" s="1"/>
  <c r="BU92" i="3" s="1"/>
  <c r="BR90" i="3"/>
  <c r="CR92" i="3"/>
  <c r="DE85" i="3"/>
  <c r="CE87" i="3"/>
  <c r="CE89" i="3"/>
  <c r="CG89" i="3" s="1"/>
  <c r="CF90" i="3" s="1"/>
  <c r="AE89" i="3"/>
  <c r="CE85" i="3"/>
  <c r="DE92" i="3"/>
  <c r="DG91" i="3" s="1"/>
  <c r="DF92" i="3" s="1"/>
  <c r="DH92" i="3" s="1"/>
  <c r="AT90" i="3"/>
  <c r="AS91" i="3" s="1"/>
  <c r="DE89" i="3"/>
  <c r="R89" i="3"/>
  <c r="T89" i="3" s="1"/>
  <c r="S90" i="3" s="1"/>
  <c r="CR89" i="3"/>
  <c r="AE86" i="3"/>
  <c r="AG86" i="3" s="1"/>
  <c r="AF87" i="3" s="1"/>
  <c r="AH87" i="3" s="1"/>
  <c r="H85" i="3"/>
  <c r="F86" i="3"/>
  <c r="G89" i="3"/>
  <c r="F90" i="3" s="1"/>
  <c r="I92" i="3"/>
  <c r="G88" i="3"/>
  <c r="F89" i="3" s="1"/>
  <c r="J50" i="6" l="1"/>
  <c r="I51" i="6"/>
  <c r="T88" i="3"/>
  <c r="S89" i="3" s="1"/>
  <c r="U89" i="3" s="1"/>
  <c r="AT88" i="3"/>
  <c r="AS89" i="3" s="1"/>
  <c r="AU89" i="3" s="1"/>
  <c r="DG89" i="3"/>
  <c r="DF90" i="3" s="1"/>
  <c r="DH90" i="3" s="1"/>
  <c r="I87" i="3"/>
  <c r="DG86" i="3"/>
  <c r="DF87" i="3" s="1"/>
  <c r="CG85" i="3"/>
  <c r="AG89" i="3"/>
  <c r="AF90" i="3" s="1"/>
  <c r="AG85" i="3"/>
  <c r="CU87" i="3"/>
  <c r="CV87" i="3" s="1"/>
  <c r="CW87" i="3" s="1"/>
  <c r="AU91" i="3"/>
  <c r="T87" i="3"/>
  <c r="S88" i="3" s="1"/>
  <c r="U88" i="3" s="1"/>
  <c r="CT89" i="3"/>
  <c r="CS90" i="3" s="1"/>
  <c r="CU90" i="3" s="1"/>
  <c r="CV90" i="3" s="1"/>
  <c r="CW90" i="3" s="1"/>
  <c r="BG91" i="3"/>
  <c r="BF92" i="3" s="1"/>
  <c r="BH92" i="3" s="1"/>
  <c r="DG85" i="3"/>
  <c r="DH85" i="3" s="1"/>
  <c r="CI92" i="3"/>
  <c r="CJ92" i="3" s="1"/>
  <c r="BT90" i="3"/>
  <c r="BS91" i="3" s="1"/>
  <c r="CT85" i="3"/>
  <c r="DI92" i="3"/>
  <c r="DJ92" i="3" s="1"/>
  <c r="DH91" i="3"/>
  <c r="AU85" i="3"/>
  <c r="AS86" i="3"/>
  <c r="AU86" i="3" s="1"/>
  <c r="BV92" i="3"/>
  <c r="BW92" i="3" s="1"/>
  <c r="CT88" i="3"/>
  <c r="CS89" i="3" s="1"/>
  <c r="BH85" i="3"/>
  <c r="BF86" i="3"/>
  <c r="T91" i="3"/>
  <c r="S92" i="3" s="1"/>
  <c r="AG88" i="3"/>
  <c r="CF86" i="3"/>
  <c r="CH85" i="3"/>
  <c r="CG90" i="3"/>
  <c r="CF91" i="3" s="1"/>
  <c r="AG90" i="3"/>
  <c r="AF91" i="3" s="1"/>
  <c r="DG88" i="3"/>
  <c r="DF89" i="3" s="1"/>
  <c r="T86" i="3"/>
  <c r="S87" i="3" s="1"/>
  <c r="BH88" i="3"/>
  <c r="AV92" i="3"/>
  <c r="AW92" i="3" s="1"/>
  <c r="CT91" i="3"/>
  <c r="CS92" i="3" s="1"/>
  <c r="BT87" i="3"/>
  <c r="BS88" i="3" s="1"/>
  <c r="T85" i="3"/>
  <c r="AU90" i="3"/>
  <c r="DG87" i="3"/>
  <c r="DF88" i="3" s="1"/>
  <c r="CG88" i="3"/>
  <c r="CF89" i="3" s="1"/>
  <c r="BG86" i="3"/>
  <c r="BF87" i="3" s="1"/>
  <c r="CG86" i="3"/>
  <c r="CF87" i="3" s="1"/>
  <c r="AH85" i="3"/>
  <c r="AF86" i="3"/>
  <c r="AI87" i="3"/>
  <c r="AJ87" i="3" s="1"/>
  <c r="AT87" i="3"/>
  <c r="AS88" i="3" s="1"/>
  <c r="BT85" i="3"/>
  <c r="BT89" i="3"/>
  <c r="BS90" i="3" s="1"/>
  <c r="AG91" i="3"/>
  <c r="AF92" i="3" s="1"/>
  <c r="CG87" i="3"/>
  <c r="CF88" i="3" s="1"/>
  <c r="BG89" i="3"/>
  <c r="BF90" i="3" s="1"/>
  <c r="T90" i="3"/>
  <c r="S91" i="3" s="1"/>
  <c r="J92" i="3"/>
  <c r="J91" i="3"/>
  <c r="J87" i="3"/>
  <c r="H89" i="3"/>
  <c r="I89" i="3" s="1"/>
  <c r="H90" i="3"/>
  <c r="H88" i="3"/>
  <c r="H86" i="3"/>
  <c r="C98" i="3" s="1" a="1"/>
  <c r="I85" i="3"/>
  <c r="I52" i="6" l="1"/>
  <c r="J51" i="6"/>
  <c r="V89" i="3"/>
  <c r="W89" i="3" s="1"/>
  <c r="AV89" i="3"/>
  <c r="AW89" i="3" s="1"/>
  <c r="DI90" i="3"/>
  <c r="DJ90" i="3" s="1"/>
  <c r="DK90" i="3" s="1"/>
  <c r="I86" i="3"/>
  <c r="CK92" i="3"/>
  <c r="BI92" i="3"/>
  <c r="BJ92" i="3" s="1"/>
  <c r="AV91" i="3"/>
  <c r="AW91" i="3" s="1"/>
  <c r="V88" i="3"/>
  <c r="W88" i="3" s="1"/>
  <c r="BU87" i="3"/>
  <c r="BV87" i="3" s="1"/>
  <c r="BW87" i="3" s="1"/>
  <c r="CX90" i="3"/>
  <c r="AK87" i="3"/>
  <c r="U90" i="3"/>
  <c r="V90" i="3" s="1"/>
  <c r="W90" i="3" s="1"/>
  <c r="BU89" i="3"/>
  <c r="BV89" i="3" s="1"/>
  <c r="BW89" i="3" s="1"/>
  <c r="AX92" i="3"/>
  <c r="DK92" i="3"/>
  <c r="DF86" i="3"/>
  <c r="DH86" i="3" s="1"/>
  <c r="DI86" i="3" s="1"/>
  <c r="DJ86" i="3" s="1"/>
  <c r="BX92" i="3"/>
  <c r="CX87" i="3"/>
  <c r="BH91" i="3"/>
  <c r="CH90" i="3"/>
  <c r="CI90" i="3" s="1"/>
  <c r="CJ90" i="3" s="1"/>
  <c r="K92" i="3"/>
  <c r="DH88" i="3"/>
  <c r="DI88" i="3" s="1"/>
  <c r="DJ88" i="3" s="1"/>
  <c r="BU85" i="3"/>
  <c r="BS86" i="3"/>
  <c r="CU85" i="3"/>
  <c r="CS86" i="3"/>
  <c r="CU92" i="3"/>
  <c r="CV92" i="3" s="1"/>
  <c r="CW92" i="3" s="1"/>
  <c r="BI85" i="3"/>
  <c r="AX89" i="3"/>
  <c r="AU88" i="3"/>
  <c r="AV88" i="3" s="1"/>
  <c r="AW88" i="3" s="1"/>
  <c r="CH88" i="3"/>
  <c r="CI88" i="3" s="1"/>
  <c r="CJ88" i="3" s="1"/>
  <c r="AH86" i="3"/>
  <c r="AI86" i="3" s="1"/>
  <c r="AJ86" i="3" s="1"/>
  <c r="BH90" i="3"/>
  <c r="BI90" i="3" s="1"/>
  <c r="BJ90" i="3" s="1"/>
  <c r="AU87" i="3"/>
  <c r="U87" i="3"/>
  <c r="V87" i="3" s="1"/>
  <c r="W87" i="3" s="1"/>
  <c r="CI85" i="3"/>
  <c r="CU88" i="3"/>
  <c r="DH87" i="3"/>
  <c r="CU89" i="3"/>
  <c r="CV89" i="3" s="1"/>
  <c r="CW89" i="3" s="1"/>
  <c r="DI85" i="3"/>
  <c r="AF89" i="3"/>
  <c r="AH88" i="3"/>
  <c r="AV86" i="3"/>
  <c r="AW86" i="3" s="1"/>
  <c r="CH91" i="3"/>
  <c r="CI91" i="3" s="1"/>
  <c r="CJ91" i="3" s="1"/>
  <c r="BI88" i="3"/>
  <c r="BJ88" i="3" s="1"/>
  <c r="AH90" i="3"/>
  <c r="AH92" i="3"/>
  <c r="AI92" i="3" s="1"/>
  <c r="AJ92" i="3" s="1"/>
  <c r="AV90" i="3"/>
  <c r="AW90" i="3" s="1"/>
  <c r="BU90" i="3"/>
  <c r="BV90" i="3" s="1"/>
  <c r="BW90" i="3" s="1"/>
  <c r="U92" i="3"/>
  <c r="V92" i="3" s="1"/>
  <c r="W92" i="3" s="1"/>
  <c r="AV85" i="3"/>
  <c r="BU91" i="3"/>
  <c r="BH86" i="3"/>
  <c r="BI86" i="3" s="1"/>
  <c r="BJ86" i="3" s="1"/>
  <c r="AI85" i="3"/>
  <c r="CH86" i="3"/>
  <c r="DH89" i="3"/>
  <c r="DI89" i="3" s="1"/>
  <c r="DJ89" i="3" s="1"/>
  <c r="CH87" i="3"/>
  <c r="CI87" i="3" s="1"/>
  <c r="CJ87" i="3" s="1"/>
  <c r="U85" i="3"/>
  <c r="S86" i="3"/>
  <c r="BH87" i="3"/>
  <c r="BI87" i="3" s="1"/>
  <c r="BJ87" i="3" s="1"/>
  <c r="BU88" i="3"/>
  <c r="BV88" i="3" s="1"/>
  <c r="BW88" i="3" s="1"/>
  <c r="CU91" i="3"/>
  <c r="BH89" i="3"/>
  <c r="DI91" i="3"/>
  <c r="DJ91" i="3" s="1"/>
  <c r="AH91" i="3"/>
  <c r="AI91" i="3" s="1"/>
  <c r="AJ91" i="3" s="1"/>
  <c r="U91" i="3"/>
  <c r="V91" i="3" s="1"/>
  <c r="W91" i="3" s="1"/>
  <c r="CH89" i="3"/>
  <c r="CI89" i="3" s="1"/>
  <c r="CJ89" i="3" s="1"/>
  <c r="J86" i="3"/>
  <c r="I90" i="3"/>
  <c r="J89" i="3"/>
  <c r="K89" i="3" s="1"/>
  <c r="K87" i="3"/>
  <c r="K91" i="3"/>
  <c r="J85" i="3"/>
  <c r="C136" i="3"/>
  <c r="C117" i="3"/>
  <c r="C124" i="3"/>
  <c r="C126" i="3"/>
  <c r="C100" i="3"/>
  <c r="C135" i="3"/>
  <c r="C111" i="3"/>
  <c r="C103" i="3"/>
  <c r="C108" i="3"/>
  <c r="C105" i="3"/>
  <c r="C99" i="3"/>
  <c r="C116" i="3"/>
  <c r="C128" i="3"/>
  <c r="C131" i="3"/>
  <c r="C118" i="3"/>
  <c r="C109" i="3"/>
  <c r="C125" i="3"/>
  <c r="C106" i="3"/>
  <c r="C104" i="3"/>
  <c r="C138" i="3"/>
  <c r="C121" i="3"/>
  <c r="C129" i="3"/>
  <c r="C112" i="3"/>
  <c r="C115" i="3"/>
  <c r="C132" i="3"/>
  <c r="C102" i="3"/>
  <c r="C134" i="3"/>
  <c r="C137" i="3"/>
  <c r="C130" i="3"/>
  <c r="C120" i="3"/>
  <c r="C133" i="3"/>
  <c r="C101" i="3"/>
  <c r="C114" i="3"/>
  <c r="C113" i="3"/>
  <c r="C123" i="3"/>
  <c r="C98" i="3"/>
  <c r="C122" i="3"/>
  <c r="C127" i="3"/>
  <c r="C110" i="3"/>
  <c r="C107" i="3"/>
  <c r="C119" i="3"/>
  <c r="I88" i="3"/>
  <c r="J52" i="6" l="1"/>
  <c r="I53" i="6"/>
  <c r="X89" i="3"/>
  <c r="BK92" i="3"/>
  <c r="X88" i="3"/>
  <c r="CC98" i="3" a="1"/>
  <c r="CC130" i="3" s="1"/>
  <c r="AX91" i="3"/>
  <c r="BC98" i="3" a="1"/>
  <c r="BC137" i="3" s="1"/>
  <c r="DK91" i="3"/>
  <c r="AP98" i="3" a="1"/>
  <c r="AP109" i="3" s="1"/>
  <c r="BK88" i="3"/>
  <c r="AX86" i="3"/>
  <c r="BX87" i="3"/>
  <c r="BX89" i="3"/>
  <c r="BI91" i="3"/>
  <c r="BJ91" i="3" s="1"/>
  <c r="BK91" i="3" s="1"/>
  <c r="CI86" i="3"/>
  <c r="CJ86" i="3" s="1"/>
  <c r="CK91" i="3"/>
  <c r="DK89" i="3"/>
  <c r="X92" i="3"/>
  <c r="AK91" i="3"/>
  <c r="AI88" i="3"/>
  <c r="AJ88" i="3" s="1"/>
  <c r="CK90" i="3"/>
  <c r="BX90" i="3"/>
  <c r="AH89" i="3"/>
  <c r="AI89" i="3" s="1"/>
  <c r="AJ89" i="3" s="1"/>
  <c r="CX92" i="3"/>
  <c r="X91" i="3"/>
  <c r="X87" i="3"/>
  <c r="AX90" i="3"/>
  <c r="DJ85" i="3"/>
  <c r="CU86" i="3"/>
  <c r="CV86" i="3" s="1"/>
  <c r="CW86" i="3" s="1"/>
  <c r="BI89" i="3"/>
  <c r="BJ89" i="3" s="1"/>
  <c r="BK90" i="3"/>
  <c r="CV85" i="3"/>
  <c r="V85" i="3"/>
  <c r="CV91" i="3"/>
  <c r="CW91" i="3" s="1"/>
  <c r="AJ85" i="3"/>
  <c r="AK85" i="3" s="1"/>
  <c r="DC98" i="3" a="1"/>
  <c r="X90" i="3"/>
  <c r="AW85" i="3"/>
  <c r="AX85" i="3" s="1"/>
  <c r="AV87" i="3"/>
  <c r="AW87" i="3" s="1"/>
  <c r="BX88" i="3"/>
  <c r="DK86" i="3"/>
  <c r="CX89" i="3"/>
  <c r="BU86" i="3"/>
  <c r="BV86" i="3" s="1"/>
  <c r="BW86" i="3" s="1"/>
  <c r="DI87" i="3"/>
  <c r="DJ87" i="3" s="1"/>
  <c r="AK86" i="3"/>
  <c r="BV85" i="3"/>
  <c r="BJ85" i="3"/>
  <c r="BK85" i="3" s="1"/>
  <c r="BK87" i="3"/>
  <c r="BK86" i="3"/>
  <c r="AK92" i="3"/>
  <c r="CV88" i="3"/>
  <c r="CW88" i="3" s="1"/>
  <c r="AX88" i="3"/>
  <c r="CK87" i="3"/>
  <c r="K86" i="3"/>
  <c r="CK89" i="3"/>
  <c r="U86" i="3"/>
  <c r="V86" i="3" s="1"/>
  <c r="W86" i="3" s="1"/>
  <c r="BV91" i="3"/>
  <c r="BW91" i="3" s="1"/>
  <c r="AI90" i="3"/>
  <c r="AJ90" i="3" s="1"/>
  <c r="CJ85" i="3"/>
  <c r="CK88" i="3"/>
  <c r="DK88" i="3"/>
  <c r="K85" i="3"/>
  <c r="J90" i="3"/>
  <c r="J88" i="3"/>
  <c r="D98" i="3" a="1"/>
  <c r="I54" i="6" l="1"/>
  <c r="J53" i="6"/>
  <c r="CC133" i="3"/>
  <c r="CC122" i="3"/>
  <c r="CC113" i="3"/>
  <c r="CC129" i="3"/>
  <c r="CC131" i="3"/>
  <c r="CC135" i="3"/>
  <c r="CC117" i="3"/>
  <c r="CC128" i="3"/>
  <c r="CC103" i="3"/>
  <c r="CC127" i="3"/>
  <c r="CC134" i="3"/>
  <c r="CC109" i="3"/>
  <c r="CC125" i="3"/>
  <c r="CC102" i="3"/>
  <c r="CC112" i="3"/>
  <c r="CC98" i="3"/>
  <c r="CC115" i="3"/>
  <c r="CC100" i="3"/>
  <c r="CC110" i="3"/>
  <c r="CC114" i="3"/>
  <c r="CC138" i="3"/>
  <c r="CC101" i="3"/>
  <c r="CC99" i="3"/>
  <c r="CC105" i="3"/>
  <c r="CC123" i="3"/>
  <c r="CC108" i="3"/>
  <c r="CC106" i="3"/>
  <c r="CC132" i="3"/>
  <c r="CC121" i="3"/>
  <c r="CC136" i="3"/>
  <c r="CC116" i="3"/>
  <c r="CC119" i="3"/>
  <c r="CC126" i="3"/>
  <c r="CC111" i="3"/>
  <c r="CC118" i="3"/>
  <c r="CC104" i="3"/>
  <c r="CC124" i="3"/>
  <c r="CC107" i="3"/>
  <c r="CC120" i="3"/>
  <c r="CC137" i="3"/>
  <c r="AP110" i="3"/>
  <c r="AP134" i="3"/>
  <c r="AP99" i="3"/>
  <c r="BC100" i="3"/>
  <c r="CD98" i="3" a="1"/>
  <c r="CD128" i="3" s="1"/>
  <c r="BC133" i="3"/>
  <c r="BC123" i="3"/>
  <c r="BC108" i="3"/>
  <c r="BC118" i="3"/>
  <c r="BC122" i="3"/>
  <c r="BC124" i="3"/>
  <c r="BC99" i="3"/>
  <c r="CK86" i="3"/>
  <c r="BC114" i="3"/>
  <c r="AC98" i="3" a="1"/>
  <c r="AC123" i="3" s="1"/>
  <c r="AP100" i="3"/>
  <c r="AP120" i="3"/>
  <c r="BC135" i="3"/>
  <c r="AP138" i="3"/>
  <c r="CP98" i="3" a="1"/>
  <c r="CP113" i="3" s="1"/>
  <c r="AP104" i="3"/>
  <c r="BC127" i="3"/>
  <c r="AP107" i="3"/>
  <c r="BC112" i="3"/>
  <c r="AP122" i="3"/>
  <c r="AP127" i="3"/>
  <c r="BC115" i="3"/>
  <c r="BC109" i="3"/>
  <c r="BC105" i="3"/>
  <c r="BC134" i="3"/>
  <c r="BC116" i="3"/>
  <c r="BC129" i="3"/>
  <c r="AP135" i="3"/>
  <c r="BC130" i="3"/>
  <c r="BC125" i="3"/>
  <c r="AP118" i="3"/>
  <c r="BC132" i="3"/>
  <c r="BC126" i="3"/>
  <c r="AP114" i="3"/>
  <c r="BC110" i="3"/>
  <c r="BC119" i="3"/>
  <c r="AP121" i="3"/>
  <c r="BC106" i="3"/>
  <c r="BC120" i="3"/>
  <c r="AP117" i="3"/>
  <c r="BC101" i="3"/>
  <c r="BC98" i="3"/>
  <c r="BC111" i="3"/>
  <c r="BC121" i="3"/>
  <c r="AP125" i="3"/>
  <c r="AP103" i="3"/>
  <c r="BC131" i="3"/>
  <c r="BC113" i="3"/>
  <c r="AP131" i="3"/>
  <c r="BC117" i="3"/>
  <c r="BC103" i="3"/>
  <c r="AP133" i="3"/>
  <c r="AP126" i="3"/>
  <c r="BC128" i="3"/>
  <c r="BC136" i="3"/>
  <c r="AP136" i="3"/>
  <c r="AP123" i="3"/>
  <c r="BC104" i="3"/>
  <c r="BC102" i="3"/>
  <c r="AP111" i="3"/>
  <c r="AP132" i="3"/>
  <c r="BD98" i="3" a="1"/>
  <c r="BD128" i="3" s="1"/>
  <c r="BC138" i="3"/>
  <c r="BC107" i="3"/>
  <c r="AP105" i="3"/>
  <c r="AP130" i="3"/>
  <c r="AP113" i="3"/>
  <c r="AP128" i="3"/>
  <c r="AP101" i="3"/>
  <c r="AP106" i="3"/>
  <c r="AP115" i="3"/>
  <c r="AP137" i="3"/>
  <c r="AP119" i="3"/>
  <c r="AP108" i="3"/>
  <c r="AP116" i="3"/>
  <c r="AP98" i="3"/>
  <c r="AP102" i="3"/>
  <c r="AP124" i="3"/>
  <c r="AP129" i="3"/>
  <c r="AP112" i="3"/>
  <c r="DK87" i="3"/>
  <c r="DE98" i="3" a="1"/>
  <c r="DK85" i="3"/>
  <c r="CX91" i="3"/>
  <c r="W85" i="3"/>
  <c r="X85" i="3" s="1"/>
  <c r="Q98" i="3" a="1"/>
  <c r="P98" i="3" a="1"/>
  <c r="CW85" i="3"/>
  <c r="CR98" i="3" s="1" a="1"/>
  <c r="CQ98" i="3" a="1"/>
  <c r="BE98" i="3" a="1"/>
  <c r="BX86" i="3"/>
  <c r="AX87" i="3"/>
  <c r="AS98" i="3" s="1" a="1"/>
  <c r="AQ98" i="3" a="1"/>
  <c r="BK89" i="3"/>
  <c r="BF98" i="3" s="1" a="1"/>
  <c r="BQ98" i="3" a="1"/>
  <c r="BW85" i="3"/>
  <c r="BR98" i="3" s="1" a="1"/>
  <c r="AR98" i="3" a="1"/>
  <c r="AK89" i="3"/>
  <c r="BX91" i="3"/>
  <c r="AK90" i="3"/>
  <c r="CX88" i="3"/>
  <c r="BP98" i="3" a="1"/>
  <c r="CE98" i="3" a="1"/>
  <c r="CK85" i="3"/>
  <c r="DC130" i="3"/>
  <c r="DC138" i="3"/>
  <c r="DC118" i="3"/>
  <c r="DC107" i="3"/>
  <c r="DC102" i="3"/>
  <c r="DC133" i="3"/>
  <c r="DC113" i="3"/>
  <c r="DC110" i="3"/>
  <c r="DC117" i="3"/>
  <c r="DC99" i="3"/>
  <c r="DC129" i="3"/>
  <c r="DC137" i="3"/>
  <c r="DC116" i="3"/>
  <c r="DC126" i="3"/>
  <c r="DC121" i="3"/>
  <c r="DC132" i="3"/>
  <c r="DC119" i="3"/>
  <c r="DC112" i="3"/>
  <c r="DC108" i="3"/>
  <c r="DC115" i="3"/>
  <c r="DC111" i="3"/>
  <c r="DC128" i="3"/>
  <c r="DC136" i="3"/>
  <c r="DC100" i="3"/>
  <c r="DC124" i="3"/>
  <c r="DC135" i="3"/>
  <c r="DC98" i="3"/>
  <c r="DC101" i="3"/>
  <c r="DC109" i="3"/>
  <c r="DC104" i="3"/>
  <c r="DC106" i="3"/>
  <c r="DC123" i="3"/>
  <c r="DC134" i="3"/>
  <c r="DC103" i="3"/>
  <c r="DC105" i="3"/>
  <c r="DC127" i="3"/>
  <c r="DC122" i="3"/>
  <c r="DC125" i="3"/>
  <c r="DC120" i="3"/>
  <c r="DC131" i="3"/>
  <c r="DC114" i="3"/>
  <c r="AD98" i="3" a="1"/>
  <c r="CX86" i="3"/>
  <c r="X86" i="3"/>
  <c r="AE98" i="3" a="1"/>
  <c r="DD98" i="3" a="1"/>
  <c r="AK88" i="3"/>
  <c r="K90" i="3"/>
  <c r="E98" i="3" a="1"/>
  <c r="E101" i="3" s="1"/>
  <c r="K88" i="3"/>
  <c r="D126" i="3"/>
  <c r="D113" i="3"/>
  <c r="D122" i="3"/>
  <c r="D121" i="3"/>
  <c r="D120" i="3"/>
  <c r="D117" i="3"/>
  <c r="D130" i="3"/>
  <c r="D100" i="3"/>
  <c r="D109" i="3"/>
  <c r="D125" i="3"/>
  <c r="D111" i="3"/>
  <c r="D114" i="3"/>
  <c r="D132" i="3"/>
  <c r="D106" i="3"/>
  <c r="D102" i="3"/>
  <c r="D108" i="3"/>
  <c r="D101" i="3"/>
  <c r="D103" i="3"/>
  <c r="D116" i="3"/>
  <c r="D127" i="3"/>
  <c r="D105" i="3"/>
  <c r="D118" i="3"/>
  <c r="D137" i="3"/>
  <c r="D124" i="3"/>
  <c r="D104" i="3"/>
  <c r="D112" i="3"/>
  <c r="D107" i="3"/>
  <c r="D123" i="3"/>
  <c r="D119" i="3"/>
  <c r="D138" i="3"/>
  <c r="D134" i="3"/>
  <c r="D136" i="3"/>
  <c r="D99" i="3"/>
  <c r="D115" i="3"/>
  <c r="D128" i="3"/>
  <c r="D110" i="3"/>
  <c r="D133" i="3"/>
  <c r="D135" i="3"/>
  <c r="D131" i="3"/>
  <c r="D129" i="3"/>
  <c r="D98" i="3"/>
  <c r="J54" i="6" l="1"/>
  <c r="I55" i="6"/>
  <c r="CD133" i="3"/>
  <c r="CD121" i="3"/>
  <c r="CD98" i="3"/>
  <c r="CD116" i="3"/>
  <c r="CD125" i="3"/>
  <c r="CD106" i="3"/>
  <c r="CD122" i="3"/>
  <c r="CD137" i="3"/>
  <c r="CD108" i="3"/>
  <c r="CD100" i="3"/>
  <c r="CD115" i="3"/>
  <c r="CD126" i="3"/>
  <c r="CD112" i="3"/>
  <c r="CD130" i="3"/>
  <c r="CD123" i="3"/>
  <c r="CD118" i="3"/>
  <c r="CD134" i="3"/>
  <c r="CD127" i="3"/>
  <c r="CD113" i="3"/>
  <c r="CD109" i="3"/>
  <c r="CD102" i="3"/>
  <c r="CD124" i="3"/>
  <c r="CD138" i="3"/>
  <c r="CD135" i="3"/>
  <c r="CD107" i="3"/>
  <c r="CD103" i="3"/>
  <c r="CD132" i="3"/>
  <c r="CD99" i="3"/>
  <c r="CD131" i="3"/>
  <c r="CD111" i="3"/>
  <c r="CD117" i="3"/>
  <c r="CD101" i="3"/>
  <c r="CD104" i="3"/>
  <c r="CD136" i="3"/>
  <c r="CD110" i="3"/>
  <c r="CD114" i="3"/>
  <c r="CD129" i="3"/>
  <c r="CD119" i="3"/>
  <c r="AC120" i="3"/>
  <c r="AC114" i="3"/>
  <c r="AC105" i="3"/>
  <c r="AC99" i="3"/>
  <c r="AC121" i="3"/>
  <c r="AC126" i="3"/>
  <c r="AC107" i="3"/>
  <c r="AC124" i="3"/>
  <c r="AC104" i="3"/>
  <c r="AC116" i="3"/>
  <c r="AC138" i="3"/>
  <c r="AC112" i="3"/>
  <c r="CD105" i="3"/>
  <c r="CD120" i="3"/>
  <c r="AC131" i="3"/>
  <c r="AC135" i="3"/>
  <c r="AC117" i="3"/>
  <c r="AC129" i="3"/>
  <c r="CP107" i="3"/>
  <c r="CP120" i="3"/>
  <c r="CP127" i="3"/>
  <c r="CP130" i="3"/>
  <c r="CP102" i="3"/>
  <c r="AC102" i="3"/>
  <c r="AC122" i="3"/>
  <c r="CP119" i="3"/>
  <c r="AC136" i="3"/>
  <c r="AC111" i="3"/>
  <c r="CP138" i="3"/>
  <c r="CP109" i="3"/>
  <c r="AC109" i="3"/>
  <c r="AC128" i="3"/>
  <c r="CP115" i="3"/>
  <c r="CP125" i="3"/>
  <c r="AC125" i="3"/>
  <c r="AC118" i="3"/>
  <c r="CP100" i="3"/>
  <c r="CP104" i="3"/>
  <c r="AC133" i="3"/>
  <c r="AC113" i="3"/>
  <c r="CP106" i="3"/>
  <c r="CP128" i="3"/>
  <c r="CF98" i="3" a="1"/>
  <c r="CF129" i="3" s="1"/>
  <c r="AC103" i="3"/>
  <c r="AC127" i="3"/>
  <c r="CP117" i="3"/>
  <c r="CP121" i="3"/>
  <c r="CP135" i="3"/>
  <c r="AC108" i="3"/>
  <c r="AC119" i="3"/>
  <c r="CP133" i="3"/>
  <c r="DF98" i="3" a="1"/>
  <c r="DF118" i="3" s="1"/>
  <c r="AC110" i="3"/>
  <c r="AC130" i="3"/>
  <c r="CP137" i="3"/>
  <c r="CP116" i="3"/>
  <c r="CP108" i="3"/>
  <c r="CP134" i="3"/>
  <c r="CP129" i="3"/>
  <c r="AF98" i="3" a="1"/>
  <c r="AF135" i="3" s="1"/>
  <c r="CP114" i="3"/>
  <c r="CP101" i="3"/>
  <c r="CP103" i="3"/>
  <c r="CP124" i="3"/>
  <c r="CP98" i="3"/>
  <c r="CP136" i="3"/>
  <c r="CP105" i="3"/>
  <c r="CP118" i="3"/>
  <c r="CP111" i="3"/>
  <c r="AC106" i="3"/>
  <c r="AC101" i="3"/>
  <c r="AC115" i="3"/>
  <c r="CP132" i="3"/>
  <c r="CP131" i="3"/>
  <c r="CP123" i="3"/>
  <c r="BD124" i="3"/>
  <c r="AC100" i="3"/>
  <c r="AC134" i="3"/>
  <c r="AC132" i="3"/>
  <c r="CP126" i="3"/>
  <c r="CP99" i="3"/>
  <c r="CP112" i="3"/>
  <c r="BD104" i="3"/>
  <c r="AC98" i="3"/>
  <c r="AC137" i="3"/>
  <c r="CP110" i="3"/>
  <c r="CP122" i="3"/>
  <c r="BD136" i="3"/>
  <c r="BD110" i="3"/>
  <c r="BD120" i="3"/>
  <c r="BD113" i="3"/>
  <c r="BD103" i="3"/>
  <c r="BD107" i="3"/>
  <c r="BD130" i="3"/>
  <c r="BD137" i="3"/>
  <c r="BD134" i="3"/>
  <c r="BD111" i="3"/>
  <c r="BD131" i="3"/>
  <c r="BD117" i="3"/>
  <c r="S98" i="3" a="1"/>
  <c r="S105" i="3" s="1"/>
  <c r="BD108" i="3"/>
  <c r="BD126" i="3"/>
  <c r="BD101" i="3"/>
  <c r="BD118" i="3"/>
  <c r="BD125" i="3"/>
  <c r="BD114" i="3"/>
  <c r="BD109" i="3"/>
  <c r="BD98" i="3"/>
  <c r="BD115" i="3"/>
  <c r="BD106" i="3"/>
  <c r="BD119" i="3"/>
  <c r="BD133" i="3"/>
  <c r="BD129" i="3"/>
  <c r="BD105" i="3"/>
  <c r="BD123" i="3"/>
  <c r="BD116" i="3"/>
  <c r="BD122" i="3"/>
  <c r="BD127" i="3"/>
  <c r="BD121" i="3"/>
  <c r="BD100" i="3"/>
  <c r="BD112" i="3"/>
  <c r="BD99" i="3"/>
  <c r="BD135" i="3"/>
  <c r="BD138" i="3"/>
  <c r="BD102" i="3"/>
  <c r="BD132" i="3"/>
  <c r="CX85" i="3"/>
  <c r="CS98" i="3" s="1" a="1"/>
  <c r="BF104" i="3"/>
  <c r="BF105" i="3"/>
  <c r="BF126" i="3"/>
  <c r="BF129" i="3"/>
  <c r="BF135" i="3"/>
  <c r="BF116" i="3"/>
  <c r="BF103" i="3"/>
  <c r="BF99" i="3"/>
  <c r="BF118" i="3"/>
  <c r="BF125" i="3"/>
  <c r="BF124" i="3"/>
  <c r="BF134" i="3"/>
  <c r="BF120" i="3"/>
  <c r="BF136" i="3"/>
  <c r="BF138" i="3"/>
  <c r="BF102" i="3"/>
  <c r="BF98" i="3"/>
  <c r="BF137" i="3"/>
  <c r="BF130" i="3"/>
  <c r="BF122" i="3"/>
  <c r="BF123" i="3"/>
  <c r="BF133" i="3"/>
  <c r="BF114" i="3"/>
  <c r="BF106" i="3"/>
  <c r="BF101" i="3"/>
  <c r="BF132" i="3"/>
  <c r="BF117" i="3"/>
  <c r="BF112" i="3"/>
  <c r="BF128" i="3"/>
  <c r="BF121" i="3"/>
  <c r="BF131" i="3"/>
  <c r="BF111" i="3"/>
  <c r="BF100" i="3"/>
  <c r="BF107" i="3"/>
  <c r="BF127" i="3"/>
  <c r="BF115" i="3"/>
  <c r="BF119" i="3"/>
  <c r="BF109" i="3"/>
  <c r="BF108" i="3"/>
  <c r="BF110" i="3"/>
  <c r="BF113" i="3"/>
  <c r="E123" i="3"/>
  <c r="BP109" i="3"/>
  <c r="BP121" i="3"/>
  <c r="BP98" i="3"/>
  <c r="BP100" i="3"/>
  <c r="BP136" i="3"/>
  <c r="BP125" i="3"/>
  <c r="BP120" i="3"/>
  <c r="BP115" i="3"/>
  <c r="BP108" i="3"/>
  <c r="BP119" i="3"/>
  <c r="BP105" i="3"/>
  <c r="BP127" i="3"/>
  <c r="BP135" i="3"/>
  <c r="BP118" i="3"/>
  <c r="BP134" i="3"/>
  <c r="BP113" i="3"/>
  <c r="BP116" i="3"/>
  <c r="BP112" i="3"/>
  <c r="BP114" i="3"/>
  <c r="BP111" i="3"/>
  <c r="BP124" i="3"/>
  <c r="BP132" i="3"/>
  <c r="BP104" i="3"/>
  <c r="BP133" i="3"/>
  <c r="BP107" i="3"/>
  <c r="BP103" i="3"/>
  <c r="BP117" i="3"/>
  <c r="BP131" i="3"/>
  <c r="BP138" i="3"/>
  <c r="BP128" i="3"/>
  <c r="BP130" i="3"/>
  <c r="BP137" i="3"/>
  <c r="BP101" i="3"/>
  <c r="BP106" i="3"/>
  <c r="BP102" i="3"/>
  <c r="BP110" i="3"/>
  <c r="BP123" i="3"/>
  <c r="BP99" i="3"/>
  <c r="BP126" i="3"/>
  <c r="BP122" i="3"/>
  <c r="BP129" i="3"/>
  <c r="P112" i="3"/>
  <c r="P105" i="3"/>
  <c r="P137" i="3"/>
  <c r="P116" i="3"/>
  <c r="P99" i="3"/>
  <c r="P138" i="3"/>
  <c r="P127" i="3"/>
  <c r="P124" i="3"/>
  <c r="P117" i="3"/>
  <c r="P125" i="3"/>
  <c r="P122" i="3"/>
  <c r="P111" i="3"/>
  <c r="P104" i="3"/>
  <c r="P114" i="3"/>
  <c r="P107" i="3"/>
  <c r="P130" i="3"/>
  <c r="P126" i="3"/>
  <c r="P123" i="3"/>
  <c r="P136" i="3"/>
  <c r="P110" i="3"/>
  <c r="P103" i="3"/>
  <c r="P115" i="3"/>
  <c r="P109" i="3"/>
  <c r="P102" i="3"/>
  <c r="P135" i="3"/>
  <c r="P133" i="3"/>
  <c r="P121" i="3"/>
  <c r="P134" i="3"/>
  <c r="P113" i="3"/>
  <c r="P101" i="3"/>
  <c r="P132" i="3"/>
  <c r="P120" i="3"/>
  <c r="P131" i="3"/>
  <c r="P119" i="3"/>
  <c r="P108" i="3"/>
  <c r="P100" i="3"/>
  <c r="P106" i="3"/>
  <c r="P118" i="3"/>
  <c r="P128" i="3"/>
  <c r="P129" i="3"/>
  <c r="P98" i="3"/>
  <c r="Q133" i="3"/>
  <c r="Q108" i="3"/>
  <c r="Q138" i="3"/>
  <c r="Q98" i="3"/>
  <c r="Q117" i="3"/>
  <c r="Q127" i="3"/>
  <c r="Q137" i="3"/>
  <c r="Q101" i="3"/>
  <c r="Q107" i="3"/>
  <c r="Q136" i="3"/>
  <c r="Q121" i="3"/>
  <c r="Q132" i="3"/>
  <c r="Q126" i="3"/>
  <c r="Q114" i="3"/>
  <c r="Q129" i="3"/>
  <c r="Q116" i="3"/>
  <c r="Q106" i="3"/>
  <c r="Q113" i="3"/>
  <c r="Q100" i="3"/>
  <c r="Q125" i="3"/>
  <c r="Q112" i="3"/>
  <c r="Q131" i="3"/>
  <c r="Q105" i="3"/>
  <c r="Q115" i="3"/>
  <c r="Q124" i="3"/>
  <c r="Q134" i="3"/>
  <c r="Q99" i="3"/>
  <c r="Q104" i="3"/>
  <c r="Q110" i="3"/>
  <c r="Q135" i="3"/>
  <c r="Q123" i="3"/>
  <c r="Q111" i="3"/>
  <c r="Q103" i="3"/>
  <c r="Q130" i="3"/>
  <c r="Q122" i="3"/>
  <c r="Q118" i="3"/>
  <c r="Q109" i="3"/>
  <c r="Q120" i="3"/>
  <c r="Q102" i="3"/>
  <c r="Q128" i="3"/>
  <c r="Q119" i="3"/>
  <c r="E132" i="3"/>
  <c r="E103" i="3"/>
  <c r="BX85" i="3"/>
  <c r="BS98" i="3" s="1" a="1"/>
  <c r="E135" i="3"/>
  <c r="E133" i="3"/>
  <c r="DD138" i="3"/>
  <c r="DD132" i="3"/>
  <c r="DD116" i="3"/>
  <c r="DD131" i="3"/>
  <c r="DD136" i="3"/>
  <c r="DD123" i="3"/>
  <c r="DD100" i="3"/>
  <c r="DD121" i="3"/>
  <c r="DD130" i="3"/>
  <c r="DD114" i="3"/>
  <c r="DD103" i="3"/>
  <c r="DD118" i="3"/>
  <c r="DD104" i="3"/>
  <c r="DD129" i="3"/>
  <c r="DD111" i="3"/>
  <c r="DD115" i="3"/>
  <c r="DD99" i="3"/>
  <c r="DD137" i="3"/>
  <c r="DD128" i="3"/>
  <c r="DD110" i="3"/>
  <c r="DD120" i="3"/>
  <c r="DD127" i="3"/>
  <c r="DD126" i="3"/>
  <c r="DD113" i="3"/>
  <c r="DD101" i="3"/>
  <c r="DD135" i="3"/>
  <c r="DD134" i="3"/>
  <c r="DD106" i="3"/>
  <c r="DD112" i="3"/>
  <c r="DD125" i="3"/>
  <c r="DD109" i="3"/>
  <c r="DD102" i="3"/>
  <c r="DD108" i="3"/>
  <c r="DD124" i="3"/>
  <c r="DD107" i="3"/>
  <c r="DD122" i="3"/>
  <c r="DD119" i="3"/>
  <c r="DD133" i="3"/>
  <c r="DD105" i="3"/>
  <c r="DD98" i="3"/>
  <c r="DD117" i="3"/>
  <c r="E107" i="3"/>
  <c r="AE121" i="3"/>
  <c r="AE134" i="3"/>
  <c r="AE115" i="3"/>
  <c r="AE114" i="3"/>
  <c r="AE101" i="3"/>
  <c r="AE111" i="3"/>
  <c r="AE137" i="3"/>
  <c r="AE138" i="3"/>
  <c r="AE133" i="3"/>
  <c r="AE123" i="3"/>
  <c r="AE105" i="3"/>
  <c r="AE118" i="3"/>
  <c r="AE110" i="3"/>
  <c r="AE109" i="3"/>
  <c r="AE100" i="3"/>
  <c r="AE132" i="3"/>
  <c r="AE136" i="3"/>
  <c r="AE117" i="3"/>
  <c r="AE131" i="3"/>
  <c r="AE127" i="3"/>
  <c r="AE106" i="3"/>
  <c r="AE120" i="3"/>
  <c r="AE99" i="3"/>
  <c r="AE108" i="3"/>
  <c r="AE104" i="3"/>
  <c r="AE126" i="3"/>
  <c r="AE130" i="3"/>
  <c r="AE135" i="3"/>
  <c r="AE125" i="3"/>
  <c r="AE107" i="3"/>
  <c r="AE103" i="3"/>
  <c r="AE116" i="3"/>
  <c r="AE128" i="3"/>
  <c r="AE119" i="3"/>
  <c r="AE124" i="3"/>
  <c r="AE129" i="3"/>
  <c r="AE122" i="3"/>
  <c r="AE113" i="3"/>
  <c r="AE98" i="3"/>
  <c r="AE102" i="3"/>
  <c r="AE112" i="3"/>
  <c r="AD138" i="3"/>
  <c r="AD128" i="3"/>
  <c r="AD124" i="3"/>
  <c r="AD102" i="3"/>
  <c r="AD130" i="3"/>
  <c r="AD115" i="3"/>
  <c r="AD100" i="3"/>
  <c r="AD114" i="3"/>
  <c r="AD137" i="3"/>
  <c r="AD122" i="3"/>
  <c r="AD106" i="3"/>
  <c r="AD98" i="3"/>
  <c r="AD112" i="3"/>
  <c r="AD99" i="3"/>
  <c r="AD129" i="3"/>
  <c r="AD136" i="3"/>
  <c r="AD121" i="3"/>
  <c r="AD113" i="3"/>
  <c r="AD111" i="3"/>
  <c r="AD120" i="3"/>
  <c r="AD127" i="3"/>
  <c r="AD135" i="3"/>
  <c r="AD119" i="3"/>
  <c r="AD132" i="3"/>
  <c r="AD109" i="3"/>
  <c r="AD110" i="3"/>
  <c r="AD117" i="3"/>
  <c r="AD126" i="3"/>
  <c r="AD134" i="3"/>
  <c r="AD118" i="3"/>
  <c r="AD108" i="3"/>
  <c r="AD104" i="3"/>
  <c r="AD116" i="3"/>
  <c r="AD125" i="3"/>
  <c r="AD133" i="3"/>
  <c r="AD107" i="3"/>
  <c r="AD103" i="3"/>
  <c r="AD123" i="3"/>
  <c r="AD131" i="3"/>
  <c r="AD105" i="3"/>
  <c r="AD101" i="3"/>
  <c r="E108" i="3"/>
  <c r="AS126" i="3"/>
  <c r="AS132" i="3"/>
  <c r="AS137" i="3"/>
  <c r="AS112" i="3"/>
  <c r="AS118" i="3"/>
  <c r="AS138" i="3"/>
  <c r="AS108" i="3"/>
  <c r="AS109" i="3"/>
  <c r="AS136" i="3"/>
  <c r="AS100" i="3"/>
  <c r="AS125" i="3"/>
  <c r="AS131" i="3"/>
  <c r="AS114" i="3"/>
  <c r="AS119" i="3"/>
  <c r="AS134" i="3"/>
  <c r="AS117" i="3"/>
  <c r="AS115" i="3"/>
  <c r="AS105" i="3"/>
  <c r="AS101" i="3"/>
  <c r="AS113" i="3"/>
  <c r="AS104" i="3"/>
  <c r="AS124" i="3"/>
  <c r="AS130" i="3"/>
  <c r="AS121" i="3"/>
  <c r="AS129" i="3"/>
  <c r="AS103" i="3"/>
  <c r="AS99" i="3"/>
  <c r="AS135" i="3"/>
  <c r="AS123" i="3"/>
  <c r="AS107" i="3"/>
  <c r="AS111" i="3"/>
  <c r="AS110" i="3"/>
  <c r="AS120" i="3"/>
  <c r="AS128" i="3"/>
  <c r="AS102" i="3"/>
  <c r="AS98" i="3"/>
  <c r="AS127" i="3"/>
  <c r="AS122" i="3"/>
  <c r="AS133" i="3"/>
  <c r="AS116" i="3"/>
  <c r="AS106" i="3"/>
  <c r="AR116" i="3"/>
  <c r="AR122" i="3"/>
  <c r="AR104" i="3"/>
  <c r="AR133" i="3"/>
  <c r="AR117" i="3"/>
  <c r="AR100" i="3"/>
  <c r="AR121" i="3"/>
  <c r="AR131" i="3"/>
  <c r="AR115" i="3"/>
  <c r="AR130" i="3"/>
  <c r="AR120" i="3"/>
  <c r="AR125" i="3"/>
  <c r="AR136" i="3"/>
  <c r="AR106" i="3"/>
  <c r="AR99" i="3"/>
  <c r="AR112" i="3"/>
  <c r="AR119" i="3"/>
  <c r="AR103" i="3"/>
  <c r="AR111" i="3"/>
  <c r="AR129" i="3"/>
  <c r="AR118" i="3"/>
  <c r="AR102" i="3"/>
  <c r="AR128" i="3"/>
  <c r="AR114" i="3"/>
  <c r="AR108" i="3"/>
  <c r="AR124" i="3"/>
  <c r="AR135" i="3"/>
  <c r="AR110" i="3"/>
  <c r="AR138" i="3"/>
  <c r="AR127" i="3"/>
  <c r="AR113" i="3"/>
  <c r="AR109" i="3"/>
  <c r="AR137" i="3"/>
  <c r="AR126" i="3"/>
  <c r="AR107" i="3"/>
  <c r="AR101" i="3"/>
  <c r="AR123" i="3"/>
  <c r="AR105" i="3"/>
  <c r="AR132" i="3"/>
  <c r="AR98" i="3"/>
  <c r="AR134" i="3"/>
  <c r="E127" i="3"/>
  <c r="E128" i="3"/>
  <c r="AQ132" i="3"/>
  <c r="AQ103" i="3"/>
  <c r="AQ127" i="3"/>
  <c r="AQ114" i="3"/>
  <c r="AQ125" i="3"/>
  <c r="AQ136" i="3"/>
  <c r="AQ123" i="3"/>
  <c r="AQ111" i="3"/>
  <c r="AQ113" i="3"/>
  <c r="AQ102" i="3"/>
  <c r="AQ105" i="3"/>
  <c r="AQ98" i="3"/>
  <c r="AQ126" i="3"/>
  <c r="AQ112" i="3"/>
  <c r="AQ124" i="3"/>
  <c r="AQ138" i="3"/>
  <c r="AQ110" i="3"/>
  <c r="AQ109" i="3"/>
  <c r="AQ101" i="3"/>
  <c r="AQ118" i="3"/>
  <c r="AQ108" i="3"/>
  <c r="AQ122" i="3"/>
  <c r="AQ116" i="3"/>
  <c r="AQ129" i="3"/>
  <c r="AQ100" i="3"/>
  <c r="AQ137" i="3"/>
  <c r="AQ121" i="3"/>
  <c r="AQ135" i="3"/>
  <c r="AQ107" i="3"/>
  <c r="AQ120" i="3"/>
  <c r="AQ117" i="3"/>
  <c r="AQ131" i="3"/>
  <c r="AQ119" i="3"/>
  <c r="AQ134" i="3"/>
  <c r="AQ130" i="3"/>
  <c r="AQ99" i="3"/>
  <c r="AQ106" i="3"/>
  <c r="AQ133" i="3"/>
  <c r="AQ104" i="3"/>
  <c r="AQ115" i="3"/>
  <c r="AQ128" i="3"/>
  <c r="BR110" i="3"/>
  <c r="BR104" i="3"/>
  <c r="BR114" i="3"/>
  <c r="BR123" i="3"/>
  <c r="BR126" i="3"/>
  <c r="BR134" i="3"/>
  <c r="BR108" i="3"/>
  <c r="BR125" i="3"/>
  <c r="BR109" i="3"/>
  <c r="BR103" i="3"/>
  <c r="BR119" i="3"/>
  <c r="BR133" i="3"/>
  <c r="BR98" i="3"/>
  <c r="BR102" i="3"/>
  <c r="BR118" i="3"/>
  <c r="BR132" i="3"/>
  <c r="BR107" i="3"/>
  <c r="BR128" i="3"/>
  <c r="BR138" i="3"/>
  <c r="BR101" i="3"/>
  <c r="BR129" i="3"/>
  <c r="BR117" i="3"/>
  <c r="BR131" i="3"/>
  <c r="BR112" i="3"/>
  <c r="BR106" i="3"/>
  <c r="BR137" i="3"/>
  <c r="BR100" i="3"/>
  <c r="BR116" i="3"/>
  <c r="BR122" i="3"/>
  <c r="BR113" i="3"/>
  <c r="BR136" i="3"/>
  <c r="BR99" i="3"/>
  <c r="BR130" i="3"/>
  <c r="BR115" i="3"/>
  <c r="BR124" i="3"/>
  <c r="BR111" i="3"/>
  <c r="BR105" i="3"/>
  <c r="BR121" i="3"/>
  <c r="BR127" i="3"/>
  <c r="BR135" i="3"/>
  <c r="BR120" i="3"/>
  <c r="E112" i="3"/>
  <c r="E117" i="3"/>
  <c r="BE117" i="3"/>
  <c r="BE112" i="3"/>
  <c r="BE126" i="3"/>
  <c r="BE99" i="3"/>
  <c r="BE111" i="3"/>
  <c r="BE135" i="3"/>
  <c r="BE120" i="3"/>
  <c r="BE133" i="3"/>
  <c r="BE110" i="3"/>
  <c r="BE129" i="3"/>
  <c r="BE118" i="3"/>
  <c r="BE115" i="3"/>
  <c r="BE109" i="3"/>
  <c r="BE128" i="3"/>
  <c r="BE98" i="3"/>
  <c r="BE108" i="3"/>
  <c r="BE125" i="3"/>
  <c r="BE138" i="3"/>
  <c r="BE132" i="3"/>
  <c r="BE104" i="3"/>
  <c r="BE107" i="3"/>
  <c r="BE116" i="3"/>
  <c r="BE124" i="3"/>
  <c r="BE137" i="3"/>
  <c r="BE100" i="3"/>
  <c r="BE103" i="3"/>
  <c r="BE106" i="3"/>
  <c r="BE136" i="3"/>
  <c r="BE123" i="3"/>
  <c r="BE131" i="3"/>
  <c r="BE119" i="3"/>
  <c r="BE122" i="3"/>
  <c r="BE105" i="3"/>
  <c r="BE102" i="3"/>
  <c r="BE121" i="3"/>
  <c r="BE130" i="3"/>
  <c r="BE101" i="3"/>
  <c r="BE114" i="3"/>
  <c r="BE127" i="3"/>
  <c r="BE134" i="3"/>
  <c r="BE113" i="3"/>
  <c r="E125" i="3"/>
  <c r="BQ114" i="3"/>
  <c r="BQ105" i="3"/>
  <c r="BQ122" i="3"/>
  <c r="BQ138" i="3"/>
  <c r="BQ104" i="3"/>
  <c r="BQ123" i="3"/>
  <c r="BQ113" i="3"/>
  <c r="BQ130" i="3"/>
  <c r="BQ107" i="3"/>
  <c r="BQ133" i="3"/>
  <c r="BQ99" i="3"/>
  <c r="BQ102" i="3"/>
  <c r="BQ137" i="3"/>
  <c r="BQ112" i="3"/>
  <c r="BQ129" i="3"/>
  <c r="BQ115" i="3"/>
  <c r="BQ109" i="3"/>
  <c r="BQ120" i="3"/>
  <c r="BQ132" i="3"/>
  <c r="BQ98" i="3"/>
  <c r="BQ103" i="3"/>
  <c r="BQ111" i="3"/>
  <c r="BQ128" i="3"/>
  <c r="BQ101" i="3"/>
  <c r="BQ136" i="3"/>
  <c r="BQ131" i="3"/>
  <c r="BQ127" i="3"/>
  <c r="BQ125" i="3"/>
  <c r="BQ119" i="3"/>
  <c r="BQ110" i="3"/>
  <c r="BQ126" i="3"/>
  <c r="BQ134" i="3"/>
  <c r="BQ135" i="3"/>
  <c r="BQ121" i="3"/>
  <c r="BQ124" i="3"/>
  <c r="BQ118" i="3"/>
  <c r="BQ116" i="3"/>
  <c r="BQ117" i="3"/>
  <c r="BQ108" i="3"/>
  <c r="BQ100" i="3"/>
  <c r="BQ106" i="3"/>
  <c r="E109" i="3"/>
  <c r="CE132" i="3"/>
  <c r="CE108" i="3"/>
  <c r="CE124" i="3"/>
  <c r="CE100" i="3"/>
  <c r="CE133" i="3"/>
  <c r="CE128" i="3"/>
  <c r="CE113" i="3"/>
  <c r="CE107" i="3"/>
  <c r="CE123" i="3"/>
  <c r="CE101" i="3"/>
  <c r="CE117" i="3"/>
  <c r="CE125" i="3"/>
  <c r="CE131" i="3"/>
  <c r="CE106" i="3"/>
  <c r="CE114" i="3"/>
  <c r="CE112" i="3"/>
  <c r="CE105" i="3"/>
  <c r="CE127" i="3"/>
  <c r="CE129" i="3"/>
  <c r="CE130" i="3"/>
  <c r="CE104" i="3"/>
  <c r="CE121" i="3"/>
  <c r="CE111" i="3"/>
  <c r="CE103" i="3"/>
  <c r="CE134" i="3"/>
  <c r="CE120" i="3"/>
  <c r="CE137" i="3"/>
  <c r="CE110" i="3"/>
  <c r="CE138" i="3"/>
  <c r="CE122" i="3"/>
  <c r="CE98" i="3"/>
  <c r="CE102" i="3"/>
  <c r="CE136" i="3"/>
  <c r="CE99" i="3"/>
  <c r="CE119" i="3"/>
  <c r="CE126" i="3"/>
  <c r="CE116" i="3"/>
  <c r="CE109" i="3"/>
  <c r="CE118" i="3"/>
  <c r="CE135" i="3"/>
  <c r="CE115" i="3"/>
  <c r="CQ102" i="3"/>
  <c r="CQ138" i="3"/>
  <c r="CQ119" i="3"/>
  <c r="CQ131" i="3"/>
  <c r="CQ128" i="3"/>
  <c r="CQ113" i="3"/>
  <c r="CQ117" i="3"/>
  <c r="CQ124" i="3"/>
  <c r="CQ103" i="3"/>
  <c r="CQ111" i="3"/>
  <c r="CQ137" i="3"/>
  <c r="CQ116" i="3"/>
  <c r="CQ106" i="3"/>
  <c r="CQ132" i="3"/>
  <c r="CQ122" i="3"/>
  <c r="CQ127" i="3"/>
  <c r="CQ112" i="3"/>
  <c r="CQ115" i="3"/>
  <c r="CQ110" i="3"/>
  <c r="CQ136" i="3"/>
  <c r="CQ100" i="3"/>
  <c r="CQ126" i="3"/>
  <c r="CQ108" i="3"/>
  <c r="CQ99" i="3"/>
  <c r="CQ109" i="3"/>
  <c r="CQ135" i="3"/>
  <c r="CQ98" i="3"/>
  <c r="CQ125" i="3"/>
  <c r="CQ107" i="3"/>
  <c r="CQ105" i="3"/>
  <c r="CQ133" i="3"/>
  <c r="CQ104" i="3"/>
  <c r="CQ129" i="3"/>
  <c r="CQ123" i="3"/>
  <c r="CQ121" i="3"/>
  <c r="CQ134" i="3"/>
  <c r="CQ101" i="3"/>
  <c r="CQ130" i="3"/>
  <c r="CQ118" i="3"/>
  <c r="CQ114" i="3"/>
  <c r="CQ120" i="3"/>
  <c r="DE125" i="3"/>
  <c r="DE134" i="3"/>
  <c r="DE115" i="3"/>
  <c r="DE111" i="3"/>
  <c r="DE110" i="3"/>
  <c r="DE103" i="3"/>
  <c r="DE99" i="3"/>
  <c r="DE101" i="3"/>
  <c r="DE109" i="3"/>
  <c r="DE123" i="3"/>
  <c r="DE128" i="3"/>
  <c r="DE113" i="3"/>
  <c r="DE130" i="3"/>
  <c r="DE112" i="3"/>
  <c r="DE102" i="3"/>
  <c r="DE127" i="3"/>
  <c r="DE138" i="3"/>
  <c r="DE124" i="3"/>
  <c r="DE122" i="3"/>
  <c r="DE119" i="3"/>
  <c r="DE121" i="3"/>
  <c r="DE120" i="3"/>
  <c r="DE108" i="3"/>
  <c r="DE116" i="3"/>
  <c r="DE133" i="3"/>
  <c r="DE129" i="3"/>
  <c r="DE105" i="3"/>
  <c r="DE100" i="3"/>
  <c r="DE107" i="3"/>
  <c r="DE132" i="3"/>
  <c r="DE118" i="3"/>
  <c r="DE98" i="3"/>
  <c r="DE114" i="3"/>
  <c r="DE117" i="3"/>
  <c r="DE137" i="3"/>
  <c r="DE136" i="3"/>
  <c r="DE131" i="3"/>
  <c r="DE126" i="3"/>
  <c r="DE135" i="3"/>
  <c r="DE104" i="3"/>
  <c r="DE106" i="3"/>
  <c r="CR137" i="3"/>
  <c r="CR100" i="3"/>
  <c r="CR131" i="3"/>
  <c r="CR134" i="3"/>
  <c r="CR120" i="3"/>
  <c r="CR129" i="3"/>
  <c r="CR130" i="3"/>
  <c r="CR105" i="3"/>
  <c r="CR103" i="3"/>
  <c r="CR128" i="3"/>
  <c r="CR115" i="3"/>
  <c r="CR98" i="3"/>
  <c r="CR125" i="3"/>
  <c r="CR136" i="3"/>
  <c r="CR122" i="3"/>
  <c r="CR114" i="3"/>
  <c r="CR119" i="3"/>
  <c r="CR121" i="3"/>
  <c r="CR113" i="3"/>
  <c r="CR102" i="3"/>
  <c r="CR117" i="3"/>
  <c r="CR110" i="3"/>
  <c r="CR135" i="3"/>
  <c r="CR116" i="3"/>
  <c r="CR109" i="3"/>
  <c r="CR118" i="3"/>
  <c r="CR112" i="3"/>
  <c r="CR101" i="3"/>
  <c r="CR138" i="3"/>
  <c r="CR127" i="3"/>
  <c r="CR111" i="3"/>
  <c r="CR106" i="3"/>
  <c r="CR107" i="3"/>
  <c r="CR126" i="3"/>
  <c r="CR99" i="3"/>
  <c r="CR124" i="3"/>
  <c r="CR104" i="3"/>
  <c r="CR133" i="3"/>
  <c r="CR108" i="3"/>
  <c r="CR123" i="3"/>
  <c r="CR132" i="3"/>
  <c r="R98" i="3" a="1"/>
  <c r="E118" i="3"/>
  <c r="E102" i="3"/>
  <c r="E137" i="3"/>
  <c r="E124" i="3"/>
  <c r="E134" i="3"/>
  <c r="E99" i="3"/>
  <c r="E110" i="3"/>
  <c r="E131" i="3"/>
  <c r="E129" i="3"/>
  <c r="E120" i="3"/>
  <c r="E113" i="3"/>
  <c r="E98" i="3"/>
  <c r="E119" i="3"/>
  <c r="E126" i="3"/>
  <c r="E111" i="3"/>
  <c r="E100" i="3"/>
  <c r="E121" i="3"/>
  <c r="E115" i="3"/>
  <c r="E130" i="3"/>
  <c r="E105" i="3"/>
  <c r="E106" i="3"/>
  <c r="E138" i="3"/>
  <c r="F98" i="3" a="1"/>
  <c r="E114" i="3"/>
  <c r="E136" i="3"/>
  <c r="E122" i="3"/>
  <c r="E116" i="3"/>
  <c r="E104" i="3"/>
  <c r="I56" i="6" l="1"/>
  <c r="J55" i="6"/>
  <c r="DF132" i="3"/>
  <c r="DG132" i="3" s="1"/>
  <c r="DF103" i="3"/>
  <c r="DF130" i="3"/>
  <c r="DG130" i="3" s="1"/>
  <c r="DF115" i="3"/>
  <c r="DG115" i="3" s="1"/>
  <c r="DF102" i="3"/>
  <c r="DG102" i="3" s="1"/>
  <c r="DF110" i="3"/>
  <c r="DG110" i="3" s="1"/>
  <c r="DF121" i="3"/>
  <c r="DG121" i="3" s="1"/>
  <c r="DF107" i="3"/>
  <c r="DG107" i="3" s="1"/>
  <c r="DF127" i="3"/>
  <c r="DG127" i="3" s="1"/>
  <c r="DF99" i="3"/>
  <c r="DG99" i="3" s="1"/>
  <c r="DF108" i="3"/>
  <c r="DG108" i="3" s="1"/>
  <c r="DF138" i="3"/>
  <c r="DF104" i="3"/>
  <c r="DG104" i="3" s="1"/>
  <c r="DF112" i="3"/>
  <c r="DG112" i="3" s="1"/>
  <c r="DF134" i="3"/>
  <c r="DG134" i="3" s="1"/>
  <c r="DF122" i="3"/>
  <c r="DG122" i="3" s="1"/>
  <c r="CF131" i="3"/>
  <c r="DF114" i="3"/>
  <c r="DF137" i="3"/>
  <c r="DG137" i="3" s="1"/>
  <c r="DF136" i="3"/>
  <c r="DG136" i="3" s="1"/>
  <c r="CF110" i="3"/>
  <c r="CG110" i="3" s="1"/>
  <c r="DF131" i="3"/>
  <c r="DG131" i="3" s="1"/>
  <c r="DF135" i="3"/>
  <c r="DG135" i="3" s="1"/>
  <c r="DF133" i="3"/>
  <c r="DG133" i="3" s="1"/>
  <c r="CF106" i="3"/>
  <c r="CG106" i="3" s="1"/>
  <c r="DF123" i="3"/>
  <c r="DG123" i="3" s="1"/>
  <c r="DF109" i="3"/>
  <c r="DG109" i="3" s="1"/>
  <c r="DF124" i="3"/>
  <c r="DG124" i="3" s="1"/>
  <c r="DF126" i="3"/>
  <c r="DG126" i="3" s="1"/>
  <c r="DF106" i="3"/>
  <c r="DG106" i="3" s="1"/>
  <c r="CF127" i="3"/>
  <c r="CG127" i="3" s="1"/>
  <c r="AF134" i="3"/>
  <c r="AG134" i="3" s="1"/>
  <c r="CF113" i="3"/>
  <c r="CG113" i="3" s="1"/>
  <c r="CF114" i="3"/>
  <c r="CG114" i="3" s="1"/>
  <c r="AF117" i="3"/>
  <c r="AG117" i="3" s="1"/>
  <c r="CF128" i="3"/>
  <c r="CG128" i="3" s="1"/>
  <c r="AF119" i="3"/>
  <c r="AG119" i="3" s="1"/>
  <c r="AF106" i="3"/>
  <c r="AG106" i="3" s="1"/>
  <c r="AF112" i="3"/>
  <c r="AG112" i="3" s="1"/>
  <c r="CF109" i="3"/>
  <c r="CG109" i="3" s="1"/>
  <c r="CF134" i="3"/>
  <c r="CG134" i="3" s="1"/>
  <c r="CF125" i="3"/>
  <c r="CG125" i="3" s="1"/>
  <c r="DF128" i="3"/>
  <c r="DG128" i="3" s="1"/>
  <c r="DF116" i="3"/>
  <c r="DG116" i="3" s="1"/>
  <c r="CF102" i="3"/>
  <c r="CG102" i="3" s="1"/>
  <c r="CF115" i="3"/>
  <c r="CG115" i="3" s="1"/>
  <c r="DF119" i="3"/>
  <c r="DG119" i="3" s="1"/>
  <c r="DF100" i="3"/>
  <c r="DG100" i="3" s="1"/>
  <c r="DF125" i="3"/>
  <c r="CF105" i="3"/>
  <c r="CF135" i="3"/>
  <c r="DF101" i="3"/>
  <c r="DG101" i="3" s="1"/>
  <c r="DF105" i="3"/>
  <c r="DG105" i="3" s="1"/>
  <c r="DF117" i="3"/>
  <c r="DG117" i="3" s="1"/>
  <c r="CF104" i="3"/>
  <c r="CG104" i="3" s="1"/>
  <c r="DF113" i="3"/>
  <c r="DG113" i="3" s="1"/>
  <c r="DF98" i="3"/>
  <c r="DG98" i="3" s="1"/>
  <c r="DF111" i="3"/>
  <c r="DG111" i="3" s="1"/>
  <c r="CF101" i="3"/>
  <c r="CG101" i="3" s="1"/>
  <c r="CF126" i="3"/>
  <c r="CG126" i="3" s="1"/>
  <c r="CF108" i="3"/>
  <c r="CG108" i="3" s="1"/>
  <c r="CF117" i="3"/>
  <c r="CG117" i="3" s="1"/>
  <c r="AF109" i="3"/>
  <c r="AG109" i="3" s="1"/>
  <c r="CF98" i="3"/>
  <c r="CG98" i="3" s="1"/>
  <c r="AF136" i="3"/>
  <c r="AG136" i="3" s="1"/>
  <c r="AF102" i="3"/>
  <c r="AG102" i="3" s="1"/>
  <c r="CF120" i="3"/>
  <c r="CG120" i="3" s="1"/>
  <c r="CF123" i="3"/>
  <c r="CG123" i="3" s="1"/>
  <c r="AF120" i="3"/>
  <c r="AG120" i="3" s="1"/>
  <c r="CF100" i="3"/>
  <c r="CF111" i="3"/>
  <c r="CG111" i="3" s="1"/>
  <c r="CF112" i="3"/>
  <c r="CG112" i="3" s="1"/>
  <c r="CF137" i="3"/>
  <c r="CG137" i="3" s="1"/>
  <c r="CF107" i="3"/>
  <c r="CG107" i="3" s="1"/>
  <c r="AF137" i="3"/>
  <c r="AG137" i="3" s="1"/>
  <c r="CF116" i="3"/>
  <c r="CG116" i="3" s="1"/>
  <c r="CF133" i="3"/>
  <c r="CG133" i="3" s="1"/>
  <c r="CF122" i="3"/>
  <c r="CG122" i="3" s="1"/>
  <c r="CF121" i="3"/>
  <c r="CG121" i="3" s="1"/>
  <c r="CF119" i="3"/>
  <c r="CG119" i="3" s="1"/>
  <c r="AF133" i="3"/>
  <c r="AG133" i="3" s="1"/>
  <c r="AF128" i="3"/>
  <c r="AG128" i="3" s="1"/>
  <c r="CF103" i="3"/>
  <c r="CF124" i="3"/>
  <c r="CF138" i="3"/>
  <c r="CF118" i="3"/>
  <c r="CG118" i="3" s="1"/>
  <c r="CF130" i="3"/>
  <c r="CG130" i="3" s="1"/>
  <c r="AF116" i="3"/>
  <c r="AG116" i="3" s="1"/>
  <c r="CF132" i="3"/>
  <c r="CG132" i="3" s="1"/>
  <c r="CF136" i="3"/>
  <c r="CG136" i="3" s="1"/>
  <c r="AF111" i="3"/>
  <c r="AG111" i="3" s="1"/>
  <c r="DF120" i="3"/>
  <c r="DG120" i="3" s="1"/>
  <c r="DF129" i="3"/>
  <c r="DG129" i="3" s="1"/>
  <c r="CF99" i="3"/>
  <c r="CG99" i="3" s="1"/>
  <c r="AF104" i="3"/>
  <c r="AG104" i="3" s="1"/>
  <c r="AF123" i="3"/>
  <c r="AG123" i="3" s="1"/>
  <c r="AF129" i="3"/>
  <c r="AF125" i="3"/>
  <c r="AG125" i="3" s="1"/>
  <c r="AF131" i="3"/>
  <c r="AG131" i="3" s="1"/>
  <c r="AF99" i="3"/>
  <c r="AG99" i="3" s="1"/>
  <c r="AF121" i="3"/>
  <c r="AG121" i="3" s="1"/>
  <c r="AF101" i="3"/>
  <c r="AG101" i="3" s="1"/>
  <c r="AF115" i="3"/>
  <c r="AG115" i="3" s="1"/>
  <c r="AF107" i="3"/>
  <c r="AG107" i="3" s="1"/>
  <c r="AF114" i="3"/>
  <c r="AG114" i="3" s="1"/>
  <c r="AF138" i="3"/>
  <c r="AF110" i="3"/>
  <c r="AG110" i="3" s="1"/>
  <c r="AF127" i="3"/>
  <c r="AG127" i="3" s="1"/>
  <c r="AF105" i="3"/>
  <c r="AG105" i="3" s="1"/>
  <c r="AF122" i="3"/>
  <c r="AG122" i="3" s="1"/>
  <c r="AF103" i="3"/>
  <c r="AG103" i="3" s="1"/>
  <c r="AF132" i="3"/>
  <c r="AG132" i="3" s="1"/>
  <c r="AF126" i="3"/>
  <c r="AG126" i="3" s="1"/>
  <c r="AF98" i="3"/>
  <c r="AG98" i="3" s="1"/>
  <c r="AF118" i="3"/>
  <c r="AG118" i="3" s="1"/>
  <c r="AF100" i="3"/>
  <c r="AG100" i="3" s="1"/>
  <c r="AF124" i="3"/>
  <c r="AG124" i="3" s="1"/>
  <c r="AF130" i="3"/>
  <c r="AG130" i="3" s="1"/>
  <c r="AF113" i="3"/>
  <c r="AG113" i="3" s="1"/>
  <c r="AF108" i="3"/>
  <c r="AG108" i="3" s="1"/>
  <c r="S135" i="3"/>
  <c r="S99" i="3"/>
  <c r="S113" i="3"/>
  <c r="S123" i="3"/>
  <c r="S126" i="3"/>
  <c r="S136" i="3"/>
  <c r="S114" i="3"/>
  <c r="S128" i="3"/>
  <c r="S130" i="3"/>
  <c r="S117" i="3"/>
  <c r="S120" i="3"/>
  <c r="S107" i="3"/>
  <c r="S98" i="3"/>
  <c r="S103" i="3"/>
  <c r="CG131" i="3"/>
  <c r="S115" i="3"/>
  <c r="S121" i="3"/>
  <c r="S111" i="3"/>
  <c r="S110" i="3"/>
  <c r="S102" i="3"/>
  <c r="S101" i="3"/>
  <c r="S129" i="3"/>
  <c r="S137" i="3"/>
  <c r="S109" i="3"/>
  <c r="S104" i="3"/>
  <c r="S118" i="3"/>
  <c r="S116" i="3"/>
  <c r="S106" i="3"/>
  <c r="S134" i="3"/>
  <c r="S100" i="3"/>
  <c r="S124" i="3"/>
  <c r="S108" i="3"/>
  <c r="S112" i="3"/>
  <c r="S132" i="3"/>
  <c r="S119" i="3"/>
  <c r="S133" i="3"/>
  <c r="S127" i="3"/>
  <c r="S138" i="3"/>
  <c r="S122" i="3"/>
  <c r="S125" i="3"/>
  <c r="S131" i="3"/>
  <c r="AT121" i="3"/>
  <c r="BG119" i="3"/>
  <c r="AT105" i="3"/>
  <c r="BG123" i="3"/>
  <c r="BG100" i="3"/>
  <c r="BG137" i="3"/>
  <c r="CG129" i="3"/>
  <c r="BG127" i="3"/>
  <c r="AG129" i="3"/>
  <c r="CG100" i="3"/>
  <c r="DG118" i="3"/>
  <c r="BG124" i="3"/>
  <c r="BG99" i="3"/>
  <c r="AT117" i="3"/>
  <c r="AT107" i="3"/>
  <c r="AT126" i="3"/>
  <c r="AT135" i="3"/>
  <c r="BG113" i="3"/>
  <c r="BG101" i="3"/>
  <c r="AT102" i="3"/>
  <c r="BG114" i="3"/>
  <c r="BG103" i="3"/>
  <c r="AT112" i="3"/>
  <c r="AT137" i="3"/>
  <c r="AT111" i="3"/>
  <c r="BG116" i="3"/>
  <c r="AT120" i="3"/>
  <c r="BG135" i="3"/>
  <c r="DG103" i="3"/>
  <c r="BG122" i="3"/>
  <c r="AT125" i="3"/>
  <c r="AT99" i="3"/>
  <c r="DG114" i="3"/>
  <c r="AG135" i="3"/>
  <c r="DG125" i="3"/>
  <c r="BG131" i="3"/>
  <c r="BG128" i="3"/>
  <c r="AT103" i="3"/>
  <c r="AT124" i="3"/>
  <c r="BG118" i="3"/>
  <c r="BG110" i="3"/>
  <c r="BG106" i="3"/>
  <c r="BG115" i="3"/>
  <c r="BG129" i="3"/>
  <c r="BG133" i="3"/>
  <c r="AT128" i="3"/>
  <c r="AT100" i="3"/>
  <c r="AT113" i="3"/>
  <c r="BG130" i="3"/>
  <c r="BG126" i="3"/>
  <c r="BG107" i="3"/>
  <c r="BG105" i="3"/>
  <c r="AT129" i="3"/>
  <c r="CG103" i="3"/>
  <c r="AT104" i="3"/>
  <c r="AT116" i="3"/>
  <c r="AT123" i="3"/>
  <c r="BG98" i="3"/>
  <c r="BG104" i="3"/>
  <c r="AT115" i="3"/>
  <c r="CG135" i="3"/>
  <c r="AT133" i="3"/>
  <c r="AT122" i="3"/>
  <c r="AT136" i="3"/>
  <c r="BG111" i="3"/>
  <c r="BG102" i="3"/>
  <c r="R133" i="3"/>
  <c r="R125" i="3"/>
  <c r="R114" i="3"/>
  <c r="R113" i="3"/>
  <c r="R101" i="3"/>
  <c r="R127" i="3"/>
  <c r="R132" i="3"/>
  <c r="R120" i="3"/>
  <c r="R106" i="3"/>
  <c r="R112" i="3"/>
  <c r="R100" i="3"/>
  <c r="R131" i="3"/>
  <c r="R119" i="3"/>
  <c r="R137" i="3"/>
  <c r="R111" i="3"/>
  <c r="R99" i="3"/>
  <c r="R115" i="3"/>
  <c r="R124" i="3"/>
  <c r="R130" i="3"/>
  <c r="R118" i="3"/>
  <c r="R108" i="3"/>
  <c r="R110" i="3"/>
  <c r="R98" i="3"/>
  <c r="R123" i="3"/>
  <c r="R129" i="3"/>
  <c r="R117" i="3"/>
  <c r="T117" i="3" s="1"/>
  <c r="R103" i="3"/>
  <c r="R107" i="3"/>
  <c r="R109" i="3"/>
  <c r="R135" i="3"/>
  <c r="R138" i="3"/>
  <c r="R128" i="3"/>
  <c r="R134" i="3"/>
  <c r="R122" i="3"/>
  <c r="R104" i="3"/>
  <c r="R116" i="3"/>
  <c r="R121" i="3"/>
  <c r="R126" i="3"/>
  <c r="R136" i="3"/>
  <c r="R105" i="3"/>
  <c r="T105" i="3" s="1"/>
  <c r="R102" i="3"/>
  <c r="AT106" i="3"/>
  <c r="AT108" i="3"/>
  <c r="AT118" i="3"/>
  <c r="AT114" i="3"/>
  <c r="BG121" i="3"/>
  <c r="BG136" i="3"/>
  <c r="AT130" i="3"/>
  <c r="AT101" i="3"/>
  <c r="AT127" i="3"/>
  <c r="BG120" i="3"/>
  <c r="AT98" i="3"/>
  <c r="AT109" i="3"/>
  <c r="BS136" i="3"/>
  <c r="BT136" i="3" s="1"/>
  <c r="BS128" i="3"/>
  <c r="BT128" i="3" s="1"/>
  <c r="BS110" i="3"/>
  <c r="BT110" i="3" s="1"/>
  <c r="BS132" i="3"/>
  <c r="BT132" i="3" s="1"/>
  <c r="BS106" i="3"/>
  <c r="BT106" i="3" s="1"/>
  <c r="BS118" i="3"/>
  <c r="BT118" i="3" s="1"/>
  <c r="BS127" i="3"/>
  <c r="BT127" i="3" s="1"/>
  <c r="BS109" i="3"/>
  <c r="BT109" i="3" s="1"/>
  <c r="BS102" i="3"/>
  <c r="BT102" i="3" s="1"/>
  <c r="BS101" i="3"/>
  <c r="BT101" i="3" s="1"/>
  <c r="BS126" i="3"/>
  <c r="BT126" i="3" s="1"/>
  <c r="BS122" i="3"/>
  <c r="BT122" i="3" s="1"/>
  <c r="BS138" i="3"/>
  <c r="BS124" i="3"/>
  <c r="BT124" i="3" s="1"/>
  <c r="BS125" i="3"/>
  <c r="BT125" i="3" s="1"/>
  <c r="BS105" i="3"/>
  <c r="BT105" i="3" s="1"/>
  <c r="BS133" i="3"/>
  <c r="BT133" i="3" s="1"/>
  <c r="BS130" i="3"/>
  <c r="BT130" i="3" s="1"/>
  <c r="BS98" i="3"/>
  <c r="BT98" i="3" s="1"/>
  <c r="BS114" i="3"/>
  <c r="BT114" i="3" s="1"/>
  <c r="BS134" i="3"/>
  <c r="BT134" i="3" s="1"/>
  <c r="BS120" i="3"/>
  <c r="BT120" i="3" s="1"/>
  <c r="BS135" i="3"/>
  <c r="BT135" i="3" s="1"/>
  <c r="BS123" i="3"/>
  <c r="BT123" i="3" s="1"/>
  <c r="BS113" i="3"/>
  <c r="BT113" i="3" s="1"/>
  <c r="BS115" i="3"/>
  <c r="BT115" i="3" s="1"/>
  <c r="BS131" i="3"/>
  <c r="BT131" i="3" s="1"/>
  <c r="BS119" i="3"/>
  <c r="BT119" i="3" s="1"/>
  <c r="BS117" i="3"/>
  <c r="BT117" i="3" s="1"/>
  <c r="BS112" i="3"/>
  <c r="BT112" i="3" s="1"/>
  <c r="BS137" i="3"/>
  <c r="BT137" i="3" s="1"/>
  <c r="BS103" i="3"/>
  <c r="BT103" i="3" s="1"/>
  <c r="BS116" i="3"/>
  <c r="BT116" i="3" s="1"/>
  <c r="BS111" i="3"/>
  <c r="BT111" i="3" s="1"/>
  <c r="BS99" i="3"/>
  <c r="BT99" i="3" s="1"/>
  <c r="BS121" i="3"/>
  <c r="BT121" i="3" s="1"/>
  <c r="BS129" i="3"/>
  <c r="BT129" i="3" s="1"/>
  <c r="BS108" i="3"/>
  <c r="BT108" i="3" s="1"/>
  <c r="BS104" i="3"/>
  <c r="BT104" i="3" s="1"/>
  <c r="BS107" i="3"/>
  <c r="BT107" i="3" s="1"/>
  <c r="BS100" i="3"/>
  <c r="BT100" i="3" s="1"/>
  <c r="BG112" i="3"/>
  <c r="BG134" i="3"/>
  <c r="BG109" i="3"/>
  <c r="CG124" i="3"/>
  <c r="AT134" i="3"/>
  <c r="BG108" i="3"/>
  <c r="AT119" i="3"/>
  <c r="AT110" i="3"/>
  <c r="AT132" i="3"/>
  <c r="BG117" i="3"/>
  <c r="CS124" i="3"/>
  <c r="CT124" i="3" s="1"/>
  <c r="CS106" i="3"/>
  <c r="CT106" i="3" s="1"/>
  <c r="CS104" i="3"/>
  <c r="CT104" i="3" s="1"/>
  <c r="CS126" i="3"/>
  <c r="CT126" i="3" s="1"/>
  <c r="CS127" i="3"/>
  <c r="CT127" i="3" s="1"/>
  <c r="CS108" i="3"/>
  <c r="CT108" i="3" s="1"/>
  <c r="CS123" i="3"/>
  <c r="CT123" i="3" s="1"/>
  <c r="CS121" i="3"/>
  <c r="CT121" i="3" s="1"/>
  <c r="CS103" i="3"/>
  <c r="CT103" i="3" s="1"/>
  <c r="CS118" i="3"/>
  <c r="CT118" i="3" s="1"/>
  <c r="CS137" i="3"/>
  <c r="CT137" i="3" s="1"/>
  <c r="CS122" i="3"/>
  <c r="CT122" i="3" s="1"/>
  <c r="CS117" i="3"/>
  <c r="CT117" i="3" s="1"/>
  <c r="CS130" i="3"/>
  <c r="CT130" i="3" s="1"/>
  <c r="CS102" i="3"/>
  <c r="CT102" i="3" s="1"/>
  <c r="CS116" i="3"/>
  <c r="CT116" i="3" s="1"/>
  <c r="CS133" i="3"/>
  <c r="CT133" i="3" s="1"/>
  <c r="CS114" i="3"/>
  <c r="CT114" i="3" s="1"/>
  <c r="CS115" i="3"/>
  <c r="CT115" i="3" s="1"/>
  <c r="CS101" i="3"/>
  <c r="CT101" i="3" s="1"/>
  <c r="CS112" i="3"/>
  <c r="CT112" i="3" s="1"/>
  <c r="CS110" i="3"/>
  <c r="CT110" i="3" s="1"/>
  <c r="CS98" i="3"/>
  <c r="CT98" i="3" s="1"/>
  <c r="CS138" i="3"/>
  <c r="CS100" i="3"/>
  <c r="CT100" i="3" s="1"/>
  <c r="CS129" i="3"/>
  <c r="CT129" i="3" s="1"/>
  <c r="CS113" i="3"/>
  <c r="CT113" i="3" s="1"/>
  <c r="CS99" i="3"/>
  <c r="CT99" i="3" s="1"/>
  <c r="CS120" i="3"/>
  <c r="CT120" i="3" s="1"/>
  <c r="CS119" i="3"/>
  <c r="CT119" i="3" s="1"/>
  <c r="CS128" i="3"/>
  <c r="CT128" i="3" s="1"/>
  <c r="CS109" i="3"/>
  <c r="CT109" i="3" s="1"/>
  <c r="CS132" i="3"/>
  <c r="CT132" i="3" s="1"/>
  <c r="CS135" i="3"/>
  <c r="CT135" i="3" s="1"/>
  <c r="CS111" i="3"/>
  <c r="CT111" i="3" s="1"/>
  <c r="CS136" i="3"/>
  <c r="CT136" i="3" s="1"/>
  <c r="CS131" i="3"/>
  <c r="CT131" i="3" s="1"/>
  <c r="CS125" i="3"/>
  <c r="CT125" i="3" s="1"/>
  <c r="CS107" i="3"/>
  <c r="CT107" i="3" s="1"/>
  <c r="CS105" i="3"/>
  <c r="CT105" i="3" s="1"/>
  <c r="CS134" i="3"/>
  <c r="CT134" i="3" s="1"/>
  <c r="CG105" i="3"/>
  <c r="AT131" i="3"/>
  <c r="BG132" i="3"/>
  <c r="BG125" i="3"/>
  <c r="F101" i="3"/>
  <c r="G101" i="3" s="1"/>
  <c r="F126" i="3"/>
  <c r="G126" i="3" s="1"/>
  <c r="F138" i="3"/>
  <c r="F118" i="3"/>
  <c r="G118" i="3" s="1"/>
  <c r="F134" i="3"/>
  <c r="G134" i="3" s="1"/>
  <c r="F110" i="3"/>
  <c r="G110" i="3" s="1"/>
  <c r="F120" i="3"/>
  <c r="G120" i="3" s="1"/>
  <c r="F133" i="3"/>
  <c r="G133" i="3" s="1"/>
  <c r="F104" i="3"/>
  <c r="G104" i="3" s="1"/>
  <c r="F112" i="3"/>
  <c r="G112" i="3" s="1"/>
  <c r="F136" i="3"/>
  <c r="G136" i="3" s="1"/>
  <c r="F132" i="3"/>
  <c r="G132" i="3" s="1"/>
  <c r="F109" i="3"/>
  <c r="G109" i="3" s="1"/>
  <c r="F106" i="3"/>
  <c r="G106" i="3" s="1"/>
  <c r="F100" i="3"/>
  <c r="G100" i="3" s="1"/>
  <c r="F113" i="3"/>
  <c r="G113" i="3" s="1"/>
  <c r="F115" i="3"/>
  <c r="G115" i="3" s="1"/>
  <c r="F135" i="3"/>
  <c r="G135" i="3" s="1"/>
  <c r="F122" i="3"/>
  <c r="G122" i="3" s="1"/>
  <c r="F103" i="3"/>
  <c r="G103" i="3" s="1"/>
  <c r="F105" i="3"/>
  <c r="G105" i="3" s="1"/>
  <c r="F123" i="3"/>
  <c r="G123" i="3" s="1"/>
  <c r="F119" i="3"/>
  <c r="G119" i="3" s="1"/>
  <c r="F131" i="3"/>
  <c r="G131" i="3" s="1"/>
  <c r="F130" i="3"/>
  <c r="G130" i="3" s="1"/>
  <c r="F107" i="3"/>
  <c r="G107" i="3" s="1"/>
  <c r="F111" i="3"/>
  <c r="G111" i="3" s="1"/>
  <c r="F116" i="3"/>
  <c r="G116" i="3" s="1"/>
  <c r="F98" i="3"/>
  <c r="G98" i="3" s="1"/>
  <c r="F108" i="3"/>
  <c r="G108" i="3" s="1"/>
  <c r="F117" i="3"/>
  <c r="G117" i="3" s="1"/>
  <c r="F114" i="3"/>
  <c r="G114" i="3" s="1"/>
  <c r="F124" i="3"/>
  <c r="G124" i="3" s="1"/>
  <c r="F125" i="3"/>
  <c r="G125" i="3" s="1"/>
  <c r="F129" i="3"/>
  <c r="G129" i="3" s="1"/>
  <c r="F99" i="3"/>
  <c r="G99" i="3" s="1"/>
  <c r="F128" i="3"/>
  <c r="G128" i="3" s="1"/>
  <c r="F102" i="3"/>
  <c r="G102" i="3" s="1"/>
  <c r="F121" i="3"/>
  <c r="G121" i="3" s="1"/>
  <c r="F127" i="3"/>
  <c r="G127" i="3" s="1"/>
  <c r="F137" i="3"/>
  <c r="G137" i="3" s="1"/>
  <c r="I57" i="6" l="1"/>
  <c r="J56" i="6"/>
  <c r="T137" i="3"/>
  <c r="T129" i="3"/>
  <c r="T128" i="3"/>
  <c r="AH99" i="3"/>
  <c r="T113" i="3"/>
  <c r="T114" i="3"/>
  <c r="T102" i="3"/>
  <c r="T121" i="3"/>
  <c r="T108" i="3"/>
  <c r="T136" i="3"/>
  <c r="T110" i="3"/>
  <c r="T132" i="3"/>
  <c r="T111" i="3"/>
  <c r="T119" i="3"/>
  <c r="T112" i="3"/>
  <c r="T99" i="3"/>
  <c r="T98" i="3"/>
  <c r="T116" i="3"/>
  <c r="T134" i="3"/>
  <c r="T135" i="3"/>
  <c r="T115" i="3"/>
  <c r="T103" i="3"/>
  <c r="T123" i="3"/>
  <c r="T126" i="3"/>
  <c r="T109" i="3"/>
  <c r="T107" i="3"/>
  <c r="T120" i="3"/>
  <c r="T127" i="3"/>
  <c r="T101" i="3"/>
  <c r="T118" i="3"/>
  <c r="T131" i="3"/>
  <c r="T104" i="3"/>
  <c r="T130" i="3"/>
  <c r="T122" i="3"/>
  <c r="T125" i="3"/>
  <c r="T133" i="3"/>
  <c r="T124" i="3"/>
  <c r="T100" i="3"/>
  <c r="T106" i="3"/>
  <c r="AA95" i="3"/>
  <c r="CU99" i="3"/>
  <c r="CN95" i="3"/>
  <c r="AU99" i="3"/>
  <c r="AN95" i="3"/>
  <c r="BA95" i="3"/>
  <c r="BH99" i="3"/>
  <c r="DH99" i="3"/>
  <c r="DA95" i="3"/>
  <c r="BU99" i="3"/>
  <c r="BN95" i="3"/>
  <c r="CH99" i="3"/>
  <c r="CA95" i="3"/>
  <c r="H99" i="3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I99" i="3" s="1" a="1"/>
  <c r="I109" i="3" s="1"/>
  <c r="A95" i="3"/>
  <c r="J57" i="6" l="1"/>
  <c r="I58" i="6"/>
  <c r="J99" i="3" a="1"/>
  <c r="J124" i="3" s="1"/>
  <c r="AH100" i="3"/>
  <c r="U99" i="3"/>
  <c r="N95" i="3"/>
  <c r="AU100" i="3"/>
  <c r="BH100" i="3"/>
  <c r="BU100" i="3"/>
  <c r="CU100" i="3"/>
  <c r="DH100" i="3"/>
  <c r="CH100" i="3"/>
  <c r="U100" i="3"/>
  <c r="AH101" i="3"/>
  <c r="I118" i="3"/>
  <c r="I121" i="3"/>
  <c r="I100" i="3"/>
  <c r="I125" i="3"/>
  <c r="I133" i="3"/>
  <c r="I115" i="3"/>
  <c r="I138" i="3"/>
  <c r="I112" i="3"/>
  <c r="I110" i="3"/>
  <c r="I131" i="3"/>
  <c r="I135" i="3"/>
  <c r="I117" i="3"/>
  <c r="I106" i="3"/>
  <c r="I103" i="3"/>
  <c r="I122" i="3"/>
  <c r="I119" i="3"/>
  <c r="I104" i="3"/>
  <c r="I116" i="3"/>
  <c r="I105" i="3"/>
  <c r="I107" i="3"/>
  <c r="I126" i="3"/>
  <c r="I127" i="3"/>
  <c r="I120" i="3"/>
  <c r="I130" i="3"/>
  <c r="I102" i="3"/>
  <c r="I123" i="3"/>
  <c r="I101" i="3"/>
  <c r="I124" i="3"/>
  <c r="I136" i="3"/>
  <c r="I129" i="3"/>
  <c r="I99" i="3"/>
  <c r="I113" i="3"/>
  <c r="I111" i="3"/>
  <c r="I132" i="3"/>
  <c r="I114" i="3"/>
  <c r="I108" i="3"/>
  <c r="I134" i="3"/>
  <c r="I128" i="3"/>
  <c r="I137" i="3"/>
  <c r="J58" i="6" l="1"/>
  <c r="I59" i="6"/>
  <c r="J133" i="3"/>
  <c r="J109" i="3"/>
  <c r="J121" i="3"/>
  <c r="J103" i="3"/>
  <c r="J138" i="3"/>
  <c r="J128" i="3"/>
  <c r="J107" i="3"/>
  <c r="J119" i="3"/>
  <c r="J100" i="3"/>
  <c r="J108" i="3"/>
  <c r="J113" i="3"/>
  <c r="J111" i="3"/>
  <c r="J99" i="3"/>
  <c r="J115" i="3"/>
  <c r="J137" i="3"/>
  <c r="J132" i="3"/>
  <c r="J104" i="3"/>
  <c r="J117" i="3"/>
  <c r="J101" i="3"/>
  <c r="J127" i="3"/>
  <c r="J136" i="3"/>
  <c r="J118" i="3"/>
  <c r="J122" i="3"/>
  <c r="J114" i="3"/>
  <c r="J120" i="3"/>
  <c r="J105" i="3"/>
  <c r="J123" i="3"/>
  <c r="J129" i="3"/>
  <c r="J135" i="3"/>
  <c r="J134" i="3"/>
  <c r="J106" i="3"/>
  <c r="J125" i="3"/>
  <c r="J116" i="3"/>
  <c r="J112" i="3"/>
  <c r="J131" i="3"/>
  <c r="J126" i="3"/>
  <c r="J110" i="3"/>
  <c r="J102" i="3"/>
  <c r="J130" i="3"/>
  <c r="CU101" i="3"/>
  <c r="BU101" i="3"/>
  <c r="AH102" i="3"/>
  <c r="BH101" i="3"/>
  <c r="U101" i="3"/>
  <c r="AU101" i="3"/>
  <c r="CH101" i="3"/>
  <c r="DH101" i="3"/>
  <c r="J59" i="6" l="1"/>
  <c r="I60" i="6"/>
  <c r="C95" i="3"/>
  <c r="E95" i="3"/>
  <c r="H95" i="3"/>
  <c r="F95" i="3"/>
  <c r="D95" i="3"/>
  <c r="G95" i="3"/>
  <c r="B95" i="3"/>
  <c r="BU102" i="3"/>
  <c r="CH102" i="3"/>
  <c r="AH103" i="3"/>
  <c r="AU102" i="3"/>
  <c r="DH102" i="3"/>
  <c r="U102" i="3"/>
  <c r="BH102" i="3"/>
  <c r="CU102" i="3"/>
  <c r="J60" i="6" l="1"/>
  <c r="I61" i="6"/>
  <c r="D144" i="3" a="1"/>
  <c r="D150" i="3" s="1"/>
  <c r="BU103" i="3"/>
  <c r="AH104" i="3"/>
  <c r="CU103" i="3"/>
  <c r="DH103" i="3"/>
  <c r="BH103" i="3"/>
  <c r="U103" i="3"/>
  <c r="AU103" i="3"/>
  <c r="CH103" i="3"/>
  <c r="I62" i="6" l="1"/>
  <c r="J61" i="6"/>
  <c r="D148" i="3"/>
  <c r="D145" i="3"/>
  <c r="D144" i="3"/>
  <c r="D149" i="3"/>
  <c r="D146" i="3"/>
  <c r="D151" i="3"/>
  <c r="D147" i="3"/>
  <c r="CU104" i="3"/>
  <c r="AU104" i="3"/>
  <c r="BU104" i="3"/>
  <c r="DH104" i="3"/>
  <c r="AH105" i="3"/>
  <c r="CH104" i="3"/>
  <c r="U104" i="3"/>
  <c r="BH104" i="3"/>
  <c r="J62" i="6" l="1"/>
  <c r="I63" i="6"/>
  <c r="BU105" i="3"/>
  <c r="BH105" i="3"/>
  <c r="AU105" i="3"/>
  <c r="CH105" i="3"/>
  <c r="CU105" i="3"/>
  <c r="U105" i="3"/>
  <c r="AH106" i="3"/>
  <c r="DH105" i="3"/>
  <c r="I64" i="6" l="1"/>
  <c r="J63" i="6"/>
  <c r="AH107" i="3"/>
  <c r="BH106" i="3"/>
  <c r="DH106" i="3"/>
  <c r="CH106" i="3"/>
  <c r="U106" i="3"/>
  <c r="BU106" i="3"/>
  <c r="CU106" i="3"/>
  <c r="AU106" i="3"/>
  <c r="I65" i="6" l="1"/>
  <c r="J64" i="6"/>
  <c r="DH107" i="3"/>
  <c r="CH107" i="3"/>
  <c r="BH107" i="3"/>
  <c r="CU107" i="3"/>
  <c r="AH108" i="3"/>
  <c r="BU107" i="3"/>
  <c r="AU107" i="3"/>
  <c r="U107" i="3"/>
  <c r="I66" i="6" l="1"/>
  <c r="J65" i="6"/>
  <c r="AU108" i="3"/>
  <c r="BH108" i="3"/>
  <c r="BU108" i="3"/>
  <c r="AH109" i="3"/>
  <c r="U108" i="3"/>
  <c r="CH108" i="3"/>
  <c r="CU108" i="3"/>
  <c r="DH108" i="3"/>
  <c r="I67" i="6" l="1"/>
  <c r="J66" i="6"/>
  <c r="DH109" i="3"/>
  <c r="BU109" i="3"/>
  <c r="AH110" i="3"/>
  <c r="BH109" i="3"/>
  <c r="CH109" i="3"/>
  <c r="CU109" i="3"/>
  <c r="U109" i="3"/>
  <c r="AU109" i="3"/>
  <c r="J67" i="6" l="1"/>
  <c r="I68" i="6"/>
  <c r="AH111" i="3"/>
  <c r="AU110" i="3"/>
  <c r="CU110" i="3"/>
  <c r="BU110" i="3"/>
  <c r="CH110" i="3"/>
  <c r="BH110" i="3"/>
  <c r="U110" i="3"/>
  <c r="DH110" i="3"/>
  <c r="I69" i="6" l="1"/>
  <c r="J68" i="6"/>
  <c r="BH111" i="3"/>
  <c r="BU111" i="3"/>
  <c r="CU111" i="3"/>
  <c r="AU111" i="3"/>
  <c r="CH111" i="3"/>
  <c r="DH111" i="3"/>
  <c r="U111" i="3"/>
  <c r="AH112" i="3"/>
  <c r="I70" i="6" l="1"/>
  <c r="J69" i="6"/>
  <c r="DH112" i="3"/>
  <c r="CH112" i="3"/>
  <c r="AU112" i="3"/>
  <c r="AH113" i="3"/>
  <c r="CU112" i="3"/>
  <c r="BU112" i="3"/>
  <c r="U112" i="3"/>
  <c r="BH112" i="3"/>
  <c r="I71" i="6" l="1"/>
  <c r="J70" i="6"/>
  <c r="BU113" i="3"/>
  <c r="CU113" i="3"/>
  <c r="AH114" i="3"/>
  <c r="AU113" i="3"/>
  <c r="BH113" i="3"/>
  <c r="CH113" i="3"/>
  <c r="U113" i="3"/>
  <c r="DH113" i="3"/>
  <c r="I72" i="6" l="1"/>
  <c r="J71" i="6"/>
  <c r="CH114" i="3"/>
  <c r="AH115" i="3"/>
  <c r="DH114" i="3"/>
  <c r="BH114" i="3"/>
  <c r="CU114" i="3"/>
  <c r="U114" i="3"/>
  <c r="AU114" i="3"/>
  <c r="BU114" i="3"/>
  <c r="I73" i="6" l="1"/>
  <c r="J72" i="6"/>
  <c r="CU115" i="3"/>
  <c r="BH115" i="3"/>
  <c r="DH115" i="3"/>
  <c r="U115" i="3"/>
  <c r="BU115" i="3"/>
  <c r="AH116" i="3"/>
  <c r="AU115" i="3"/>
  <c r="CH115" i="3"/>
  <c r="I74" i="6" l="1"/>
  <c r="J73" i="6"/>
  <c r="U116" i="3"/>
  <c r="DH116" i="3"/>
  <c r="AU116" i="3"/>
  <c r="BH116" i="3"/>
  <c r="BU116" i="3"/>
  <c r="CH116" i="3"/>
  <c r="AH117" i="3"/>
  <c r="CU116" i="3"/>
  <c r="I75" i="6" l="1"/>
  <c r="J74" i="6"/>
  <c r="BU117" i="3"/>
  <c r="BH117" i="3"/>
  <c r="AU117" i="3"/>
  <c r="CU117" i="3"/>
  <c r="CH117" i="3"/>
  <c r="DH117" i="3"/>
  <c r="AH118" i="3"/>
  <c r="U117" i="3"/>
  <c r="I76" i="6" l="1"/>
  <c r="J75" i="6"/>
  <c r="DH118" i="3"/>
  <c r="U118" i="3"/>
  <c r="BU118" i="3"/>
  <c r="CH118" i="3"/>
  <c r="CU118" i="3"/>
  <c r="AU118" i="3"/>
  <c r="BH118" i="3"/>
  <c r="AH119" i="3"/>
  <c r="I77" i="6" l="1"/>
  <c r="J76" i="6"/>
  <c r="BU119" i="3"/>
  <c r="AU119" i="3"/>
  <c r="CU119" i="3"/>
  <c r="CH119" i="3"/>
  <c r="AH120" i="3"/>
  <c r="U119" i="3"/>
  <c r="BH119" i="3"/>
  <c r="DH119" i="3"/>
  <c r="I78" i="6" l="1"/>
  <c r="J77" i="6"/>
  <c r="U120" i="3"/>
  <c r="AH121" i="3"/>
  <c r="DH120" i="3"/>
  <c r="AU120" i="3"/>
  <c r="BH120" i="3"/>
  <c r="CH120" i="3"/>
  <c r="CU120" i="3"/>
  <c r="BU120" i="3"/>
  <c r="I79" i="6" l="1"/>
  <c r="J78" i="6"/>
  <c r="BH121" i="3"/>
  <c r="AU121" i="3"/>
  <c r="BU121" i="3"/>
  <c r="DH121" i="3"/>
  <c r="CU121" i="3"/>
  <c r="AH122" i="3"/>
  <c r="CH121" i="3"/>
  <c r="U121" i="3"/>
  <c r="I80" i="6" l="1"/>
  <c r="J79" i="6"/>
  <c r="CU122" i="3"/>
  <c r="DH122" i="3"/>
  <c r="BU122" i="3"/>
  <c r="U122" i="3"/>
  <c r="AU122" i="3"/>
  <c r="CH122" i="3"/>
  <c r="AH123" i="3"/>
  <c r="BH122" i="3"/>
  <c r="I81" i="6" l="1"/>
  <c r="J80" i="6"/>
  <c r="AU123" i="3"/>
  <c r="AH124" i="3"/>
  <c r="BU123" i="3"/>
  <c r="CH123" i="3"/>
  <c r="U123" i="3"/>
  <c r="DH123" i="3"/>
  <c r="BH123" i="3"/>
  <c r="CU123" i="3"/>
  <c r="I82" i="6" l="1"/>
  <c r="J81" i="6"/>
  <c r="BU124" i="3"/>
  <c r="U124" i="3"/>
  <c r="CH124" i="3"/>
  <c r="CU124" i="3"/>
  <c r="DH124" i="3"/>
  <c r="AH125" i="3"/>
  <c r="BH124" i="3"/>
  <c r="AU124" i="3"/>
  <c r="I83" i="6" l="1"/>
  <c r="J82" i="6"/>
  <c r="AH126" i="3"/>
  <c r="DH125" i="3"/>
  <c r="CU125" i="3"/>
  <c r="AU125" i="3"/>
  <c r="CH125" i="3"/>
  <c r="U125" i="3"/>
  <c r="BH125" i="3"/>
  <c r="BU125" i="3"/>
  <c r="I84" i="6" l="1"/>
  <c r="J83" i="6"/>
  <c r="CH126" i="3"/>
  <c r="AU126" i="3"/>
  <c r="U126" i="3"/>
  <c r="BU126" i="3"/>
  <c r="CU126" i="3"/>
  <c r="DH126" i="3"/>
  <c r="BH126" i="3"/>
  <c r="AH127" i="3"/>
  <c r="J84" i="6" l="1"/>
  <c r="I85" i="6"/>
  <c r="CU127" i="3"/>
  <c r="DH127" i="3"/>
  <c r="BU127" i="3"/>
  <c r="U127" i="3"/>
  <c r="AH128" i="3"/>
  <c r="AU127" i="3"/>
  <c r="BH127" i="3"/>
  <c r="CH127" i="3"/>
  <c r="I86" i="6" l="1"/>
  <c r="J85" i="6"/>
  <c r="AH129" i="3"/>
  <c r="U128" i="3"/>
  <c r="CH128" i="3"/>
  <c r="BU128" i="3"/>
  <c r="BH128" i="3"/>
  <c r="DH128" i="3"/>
  <c r="AU128" i="3"/>
  <c r="CU128" i="3"/>
  <c r="J86" i="6" l="1"/>
  <c r="I87" i="6"/>
  <c r="AU129" i="3"/>
  <c r="BU129" i="3"/>
  <c r="CH129" i="3"/>
  <c r="DH129" i="3"/>
  <c r="U129" i="3"/>
  <c r="CU129" i="3"/>
  <c r="BH129" i="3"/>
  <c r="AH130" i="3"/>
  <c r="I88" i="6" l="1"/>
  <c r="J87" i="6"/>
  <c r="AU130" i="3"/>
  <c r="CU130" i="3"/>
  <c r="DH130" i="3"/>
  <c r="U130" i="3"/>
  <c r="CH130" i="3"/>
  <c r="AH131" i="3"/>
  <c r="BU130" i="3"/>
  <c r="BH130" i="3"/>
  <c r="I89" i="6" l="1"/>
  <c r="J88" i="6"/>
  <c r="DH131" i="3"/>
  <c r="CU131" i="3"/>
  <c r="AH132" i="3"/>
  <c r="CH131" i="3"/>
  <c r="U131" i="3"/>
  <c r="BH131" i="3"/>
  <c r="BU131" i="3"/>
  <c r="AU131" i="3"/>
  <c r="I90" i="6" l="1"/>
  <c r="J89" i="6"/>
  <c r="BH132" i="3"/>
  <c r="U132" i="3"/>
  <c r="CH132" i="3"/>
  <c r="AH133" i="3"/>
  <c r="AU132" i="3"/>
  <c r="CU132" i="3"/>
  <c r="BU132" i="3"/>
  <c r="DH132" i="3"/>
  <c r="I91" i="6" l="1"/>
  <c r="J90" i="6"/>
  <c r="AU133" i="3"/>
  <c r="AH134" i="3"/>
  <c r="CH133" i="3"/>
  <c r="CU133" i="3"/>
  <c r="DH133" i="3"/>
  <c r="U133" i="3"/>
  <c r="BU133" i="3"/>
  <c r="BH133" i="3"/>
  <c r="I92" i="6" l="1"/>
  <c r="J91" i="6"/>
  <c r="DH134" i="3"/>
  <c r="CU134" i="3"/>
  <c r="CH134" i="3"/>
  <c r="U134" i="3"/>
  <c r="BH134" i="3"/>
  <c r="AH135" i="3"/>
  <c r="BU134" i="3"/>
  <c r="AU134" i="3"/>
  <c r="I93" i="6" l="1"/>
  <c r="J92" i="6"/>
  <c r="U135" i="3"/>
  <c r="BH135" i="3"/>
  <c r="CH135" i="3"/>
  <c r="AH136" i="3"/>
  <c r="AU135" i="3"/>
  <c r="CU135" i="3"/>
  <c r="BU135" i="3"/>
  <c r="DH135" i="3"/>
  <c r="I94" i="6" l="1"/>
  <c r="J93" i="6"/>
  <c r="AH137" i="3"/>
  <c r="BU136" i="3"/>
  <c r="CU136" i="3"/>
  <c r="AU136" i="3"/>
  <c r="CH136" i="3"/>
  <c r="DH136" i="3"/>
  <c r="BH136" i="3"/>
  <c r="U136" i="3"/>
  <c r="I95" i="6" l="1"/>
  <c r="J94" i="6"/>
  <c r="AU137" i="3"/>
  <c r="CU137" i="3"/>
  <c r="BU137" i="3"/>
  <c r="DH137" i="3"/>
  <c r="CH137" i="3"/>
  <c r="U137" i="3"/>
  <c r="BH137" i="3"/>
  <c r="AH138" i="3"/>
  <c r="I96" i="6" l="1"/>
  <c r="J95" i="6"/>
  <c r="AI99" i="3" a="1"/>
  <c r="AI138" i="3" s="1"/>
  <c r="AJ99" i="3" a="1"/>
  <c r="DH138" i="3"/>
  <c r="CU138" i="3"/>
  <c r="U138" i="3"/>
  <c r="CH138" i="3"/>
  <c r="CJ99" i="3" s="1" a="1"/>
  <c r="BU138" i="3"/>
  <c r="BW99" i="3" s="1" a="1"/>
  <c r="BW137" i="3" s="1"/>
  <c r="BH138" i="3"/>
  <c r="AU138" i="3"/>
  <c r="AW99" i="3" s="1" a="1"/>
  <c r="AW137" i="3" s="1"/>
  <c r="I97" i="6" l="1"/>
  <c r="J96" i="6"/>
  <c r="CJ99" i="3"/>
  <c r="CJ100" i="3"/>
  <c r="CJ101" i="3"/>
  <c r="CJ102" i="3"/>
  <c r="CJ103" i="3"/>
  <c r="CJ104" i="3"/>
  <c r="CJ105" i="3"/>
  <c r="CJ106" i="3"/>
  <c r="CJ107" i="3"/>
  <c r="CJ108" i="3"/>
  <c r="CJ109" i="3"/>
  <c r="CJ110" i="3"/>
  <c r="CJ111" i="3"/>
  <c r="CJ112" i="3"/>
  <c r="CJ113" i="3"/>
  <c r="CJ114" i="3"/>
  <c r="CJ115" i="3"/>
  <c r="CJ116" i="3"/>
  <c r="CJ117" i="3"/>
  <c r="CJ118" i="3"/>
  <c r="CJ119" i="3"/>
  <c r="CJ120" i="3"/>
  <c r="CJ121" i="3"/>
  <c r="CJ122" i="3"/>
  <c r="CJ123" i="3"/>
  <c r="CJ124" i="3"/>
  <c r="CJ125" i="3"/>
  <c r="CJ126" i="3"/>
  <c r="CJ127" i="3"/>
  <c r="CJ128" i="3"/>
  <c r="CJ129" i="3"/>
  <c r="CJ130" i="3"/>
  <c r="CJ131" i="3"/>
  <c r="CJ132" i="3"/>
  <c r="CJ133" i="3"/>
  <c r="CJ134" i="3"/>
  <c r="CJ135" i="3"/>
  <c r="CJ136" i="3"/>
  <c r="V99" i="3" a="1"/>
  <c r="W99" i="3" a="1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CV99" i="3" a="1"/>
  <c r="CV138" i="3" s="1"/>
  <c r="CW99" i="3" a="1"/>
  <c r="CW138" i="3" s="1"/>
  <c r="BI99" i="3" a="1"/>
  <c r="BJ99" i="3" a="1"/>
  <c r="BJ138" i="3" s="1"/>
  <c r="DI99" i="3" a="1"/>
  <c r="DI138" i="3" s="1"/>
  <c r="DJ99" i="3" a="1"/>
  <c r="DJ138" i="3" s="1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BW99" i="3"/>
  <c r="BW100" i="3"/>
  <c r="BW101" i="3"/>
  <c r="BW102" i="3"/>
  <c r="BW103" i="3"/>
  <c r="BW104" i="3"/>
  <c r="BW105" i="3"/>
  <c r="BW106" i="3"/>
  <c r="BW107" i="3"/>
  <c r="BW108" i="3"/>
  <c r="BW109" i="3"/>
  <c r="BW110" i="3"/>
  <c r="BW111" i="3"/>
  <c r="BW112" i="3"/>
  <c r="BW113" i="3"/>
  <c r="BW114" i="3"/>
  <c r="BW115" i="3"/>
  <c r="BW116" i="3"/>
  <c r="BW117" i="3"/>
  <c r="BW118" i="3"/>
  <c r="BW119" i="3"/>
  <c r="BW120" i="3"/>
  <c r="BW121" i="3"/>
  <c r="BW122" i="3"/>
  <c r="BW123" i="3"/>
  <c r="BW124" i="3"/>
  <c r="BW125" i="3"/>
  <c r="BW126" i="3"/>
  <c r="BW127" i="3"/>
  <c r="BW128" i="3"/>
  <c r="BW129" i="3"/>
  <c r="BW130" i="3"/>
  <c r="BW131" i="3"/>
  <c r="BW132" i="3"/>
  <c r="BW133" i="3"/>
  <c r="BW134" i="3"/>
  <c r="BW135" i="3"/>
  <c r="BW136" i="3"/>
  <c r="CJ137" i="3"/>
  <c r="AJ138" i="3"/>
  <c r="AI100" i="3"/>
  <c r="AI99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CI99" i="3" a="1"/>
  <c r="CI138" i="3" s="1"/>
  <c r="CJ138" i="3"/>
  <c r="BV99" i="3" a="1"/>
  <c r="BW138" i="3"/>
  <c r="AV99" i="3" a="1"/>
  <c r="AW138" i="3"/>
  <c r="BI138" i="3"/>
  <c r="I98" i="6" l="1"/>
  <c r="J97" i="6"/>
  <c r="AH95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CI99" i="3"/>
  <c r="CI100" i="3"/>
  <c r="CI101" i="3"/>
  <c r="CI102" i="3"/>
  <c r="CI103" i="3"/>
  <c r="CI104" i="3"/>
  <c r="CI105" i="3"/>
  <c r="CI106" i="3"/>
  <c r="CI107" i="3"/>
  <c r="CI108" i="3"/>
  <c r="CI109" i="3"/>
  <c r="CI110" i="3"/>
  <c r="CI111" i="3"/>
  <c r="CI112" i="3"/>
  <c r="CI113" i="3"/>
  <c r="CI114" i="3"/>
  <c r="CI115" i="3"/>
  <c r="CI116" i="3"/>
  <c r="CI117" i="3"/>
  <c r="CI118" i="3"/>
  <c r="CI119" i="3"/>
  <c r="CI120" i="3"/>
  <c r="CI121" i="3"/>
  <c r="CI122" i="3"/>
  <c r="CI123" i="3"/>
  <c r="CI124" i="3"/>
  <c r="CI125" i="3"/>
  <c r="CI126" i="3"/>
  <c r="CI127" i="3"/>
  <c r="CI128" i="3"/>
  <c r="CI129" i="3"/>
  <c r="CI130" i="3"/>
  <c r="CI131" i="3"/>
  <c r="CI132" i="3"/>
  <c r="CI133" i="3"/>
  <c r="CI134" i="3"/>
  <c r="CI135" i="3"/>
  <c r="CI136" i="3"/>
  <c r="CI137" i="3"/>
  <c r="AV99" i="3"/>
  <c r="AV100" i="3"/>
  <c r="AV101" i="3"/>
  <c r="AV102" i="3"/>
  <c r="AV103" i="3"/>
  <c r="AV104" i="3"/>
  <c r="AV105" i="3"/>
  <c r="AV106" i="3"/>
  <c r="AV107" i="3"/>
  <c r="AV108" i="3"/>
  <c r="AV109" i="3"/>
  <c r="AV110" i="3"/>
  <c r="AV111" i="3"/>
  <c r="AV112" i="3"/>
  <c r="AV113" i="3"/>
  <c r="AV114" i="3"/>
  <c r="AV115" i="3"/>
  <c r="AV116" i="3"/>
  <c r="AV117" i="3"/>
  <c r="AV118" i="3"/>
  <c r="AV119" i="3"/>
  <c r="AV120" i="3"/>
  <c r="AV121" i="3"/>
  <c r="AV122" i="3"/>
  <c r="AV123" i="3"/>
  <c r="AV124" i="3"/>
  <c r="AV125" i="3"/>
  <c r="AV126" i="3"/>
  <c r="AV127" i="3"/>
  <c r="AV128" i="3"/>
  <c r="AV129" i="3"/>
  <c r="AV130" i="3"/>
  <c r="AV131" i="3"/>
  <c r="AV132" i="3"/>
  <c r="AV133" i="3"/>
  <c r="AV134" i="3"/>
  <c r="AV135" i="3"/>
  <c r="AV136" i="3"/>
  <c r="AV137" i="3"/>
  <c r="AB95" i="3"/>
  <c r="AD95" i="3"/>
  <c r="AE95" i="3"/>
  <c r="AF95" i="3"/>
  <c r="AG95" i="3"/>
  <c r="BV99" i="3"/>
  <c r="BV100" i="3"/>
  <c r="BV101" i="3"/>
  <c r="BV102" i="3"/>
  <c r="BV103" i="3"/>
  <c r="BV104" i="3"/>
  <c r="BV105" i="3"/>
  <c r="BV106" i="3"/>
  <c r="BV107" i="3"/>
  <c r="BV108" i="3"/>
  <c r="BV109" i="3"/>
  <c r="BV110" i="3"/>
  <c r="BV111" i="3"/>
  <c r="BV112" i="3"/>
  <c r="BV113" i="3"/>
  <c r="BV114" i="3"/>
  <c r="BV115" i="3"/>
  <c r="BV116" i="3"/>
  <c r="BV117" i="3"/>
  <c r="BV118" i="3"/>
  <c r="BV119" i="3"/>
  <c r="BV120" i="3"/>
  <c r="BV121" i="3"/>
  <c r="BV122" i="3"/>
  <c r="BV123" i="3"/>
  <c r="BV124" i="3"/>
  <c r="BV125" i="3"/>
  <c r="BV126" i="3"/>
  <c r="BV127" i="3"/>
  <c r="BV128" i="3"/>
  <c r="BV129" i="3"/>
  <c r="BV130" i="3"/>
  <c r="BV131" i="3"/>
  <c r="BV132" i="3"/>
  <c r="BV133" i="3"/>
  <c r="BV134" i="3"/>
  <c r="BV135" i="3"/>
  <c r="BV136" i="3"/>
  <c r="BV137" i="3"/>
  <c r="DJ99" i="3"/>
  <c r="DJ100" i="3"/>
  <c r="DJ101" i="3"/>
  <c r="DJ102" i="3"/>
  <c r="DJ103" i="3"/>
  <c r="DJ104" i="3"/>
  <c r="DJ105" i="3"/>
  <c r="DJ106" i="3"/>
  <c r="DJ107" i="3"/>
  <c r="DJ108" i="3"/>
  <c r="DJ109" i="3"/>
  <c r="DJ110" i="3"/>
  <c r="DJ111" i="3"/>
  <c r="DJ112" i="3"/>
  <c r="DJ113" i="3"/>
  <c r="DJ114" i="3"/>
  <c r="DJ115" i="3"/>
  <c r="DJ116" i="3"/>
  <c r="DJ117" i="3"/>
  <c r="DJ118" i="3"/>
  <c r="DJ119" i="3"/>
  <c r="DJ120" i="3"/>
  <c r="DJ121" i="3"/>
  <c r="DJ122" i="3"/>
  <c r="DJ123" i="3"/>
  <c r="DJ124" i="3"/>
  <c r="DJ125" i="3"/>
  <c r="DJ126" i="3"/>
  <c r="DJ127" i="3"/>
  <c r="DJ128" i="3"/>
  <c r="DJ129" i="3"/>
  <c r="DJ130" i="3"/>
  <c r="DJ131" i="3"/>
  <c r="DJ132" i="3"/>
  <c r="DJ133" i="3"/>
  <c r="DJ134" i="3"/>
  <c r="DJ135" i="3"/>
  <c r="DJ136" i="3"/>
  <c r="DJ137" i="3"/>
  <c r="CV99" i="3"/>
  <c r="CV100" i="3"/>
  <c r="CV101" i="3"/>
  <c r="CV102" i="3"/>
  <c r="CV103" i="3"/>
  <c r="CV104" i="3"/>
  <c r="CV105" i="3"/>
  <c r="CV106" i="3"/>
  <c r="CV107" i="3"/>
  <c r="CV108" i="3"/>
  <c r="CV109" i="3"/>
  <c r="CV110" i="3"/>
  <c r="CV111" i="3"/>
  <c r="CV112" i="3"/>
  <c r="CV113" i="3"/>
  <c r="CV114" i="3"/>
  <c r="CV115" i="3"/>
  <c r="CV116" i="3"/>
  <c r="CV117" i="3"/>
  <c r="CV118" i="3"/>
  <c r="CV119" i="3"/>
  <c r="CV120" i="3"/>
  <c r="CV121" i="3"/>
  <c r="CV122" i="3"/>
  <c r="CV123" i="3"/>
  <c r="CV124" i="3"/>
  <c r="CV125" i="3"/>
  <c r="CV126" i="3"/>
  <c r="CV127" i="3"/>
  <c r="CV128" i="3"/>
  <c r="CV129" i="3"/>
  <c r="CV130" i="3"/>
  <c r="CV131" i="3"/>
  <c r="CV132" i="3"/>
  <c r="CV133" i="3"/>
  <c r="CV134" i="3"/>
  <c r="CV135" i="3"/>
  <c r="CV136" i="3"/>
  <c r="CV137" i="3"/>
  <c r="AC95" i="3"/>
  <c r="AV138" i="3"/>
  <c r="DI99" i="3"/>
  <c r="DI100" i="3"/>
  <c r="DI101" i="3"/>
  <c r="DI102" i="3"/>
  <c r="DI103" i="3"/>
  <c r="DI104" i="3"/>
  <c r="DI105" i="3"/>
  <c r="DI106" i="3"/>
  <c r="DI107" i="3"/>
  <c r="DI108" i="3"/>
  <c r="DI109" i="3"/>
  <c r="DI110" i="3"/>
  <c r="DI111" i="3"/>
  <c r="DI112" i="3"/>
  <c r="DI113" i="3"/>
  <c r="DI114" i="3"/>
  <c r="DI115" i="3"/>
  <c r="DI116" i="3"/>
  <c r="DI117" i="3"/>
  <c r="DI118" i="3"/>
  <c r="DI119" i="3"/>
  <c r="DI120" i="3"/>
  <c r="DI121" i="3"/>
  <c r="DI122" i="3"/>
  <c r="DI123" i="3"/>
  <c r="DI124" i="3"/>
  <c r="DI125" i="3"/>
  <c r="DI126" i="3"/>
  <c r="DI127" i="3"/>
  <c r="DI128" i="3"/>
  <c r="DI129" i="3"/>
  <c r="DI130" i="3"/>
  <c r="DI131" i="3"/>
  <c r="DI132" i="3"/>
  <c r="DI133" i="3"/>
  <c r="DI134" i="3"/>
  <c r="DI135" i="3"/>
  <c r="DI136" i="3"/>
  <c r="DI137" i="3"/>
  <c r="CW99" i="3"/>
  <c r="CW100" i="3"/>
  <c r="CW101" i="3"/>
  <c r="CW102" i="3"/>
  <c r="CW103" i="3"/>
  <c r="CW104" i="3"/>
  <c r="CW105" i="3"/>
  <c r="CW106" i="3"/>
  <c r="CW107" i="3"/>
  <c r="CW108" i="3"/>
  <c r="CW109" i="3"/>
  <c r="CW110" i="3"/>
  <c r="CW111" i="3"/>
  <c r="CW112" i="3"/>
  <c r="CW113" i="3"/>
  <c r="CW114" i="3"/>
  <c r="CW115" i="3"/>
  <c r="CW116" i="3"/>
  <c r="CW117" i="3"/>
  <c r="CW118" i="3"/>
  <c r="CW119" i="3"/>
  <c r="CW120" i="3"/>
  <c r="CW121" i="3"/>
  <c r="CW122" i="3"/>
  <c r="CW123" i="3"/>
  <c r="CW124" i="3"/>
  <c r="CW125" i="3"/>
  <c r="CW126" i="3"/>
  <c r="CW127" i="3"/>
  <c r="CW128" i="3"/>
  <c r="CW129" i="3"/>
  <c r="CW130" i="3"/>
  <c r="CW131" i="3"/>
  <c r="CW132" i="3"/>
  <c r="CW133" i="3"/>
  <c r="CW134" i="3"/>
  <c r="CW135" i="3"/>
  <c r="CW136" i="3"/>
  <c r="CW137" i="3"/>
  <c r="BJ99" i="3"/>
  <c r="BJ100" i="3"/>
  <c r="BJ101" i="3"/>
  <c r="BJ102" i="3"/>
  <c r="BJ103" i="3"/>
  <c r="BJ104" i="3"/>
  <c r="BJ105" i="3"/>
  <c r="BJ106" i="3"/>
  <c r="BJ107" i="3"/>
  <c r="BJ108" i="3"/>
  <c r="BJ109" i="3"/>
  <c r="BJ110" i="3"/>
  <c r="BJ111" i="3"/>
  <c r="BJ112" i="3"/>
  <c r="BJ113" i="3"/>
  <c r="BJ114" i="3"/>
  <c r="BJ115" i="3"/>
  <c r="BJ116" i="3"/>
  <c r="BJ117" i="3"/>
  <c r="BJ118" i="3"/>
  <c r="BJ119" i="3"/>
  <c r="BJ120" i="3"/>
  <c r="BJ121" i="3"/>
  <c r="BJ122" i="3"/>
  <c r="BJ123" i="3"/>
  <c r="BJ124" i="3"/>
  <c r="BJ125" i="3"/>
  <c r="BJ126" i="3"/>
  <c r="BJ127" i="3"/>
  <c r="BJ128" i="3"/>
  <c r="BJ129" i="3"/>
  <c r="BJ130" i="3"/>
  <c r="BJ131" i="3"/>
  <c r="BJ132" i="3"/>
  <c r="BJ133" i="3"/>
  <c r="BJ134" i="3"/>
  <c r="BJ135" i="3"/>
  <c r="BJ136" i="3"/>
  <c r="BJ137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V138" i="3"/>
  <c r="W138" i="3"/>
  <c r="BV138" i="3"/>
  <c r="BI99" i="3"/>
  <c r="BI100" i="3"/>
  <c r="BI101" i="3"/>
  <c r="BI102" i="3"/>
  <c r="BI103" i="3"/>
  <c r="BI104" i="3"/>
  <c r="BI105" i="3"/>
  <c r="BI106" i="3"/>
  <c r="BI107" i="3"/>
  <c r="BI108" i="3"/>
  <c r="BI109" i="3"/>
  <c r="BI110" i="3"/>
  <c r="BI111" i="3"/>
  <c r="BI112" i="3"/>
  <c r="BI113" i="3"/>
  <c r="BI114" i="3"/>
  <c r="BI115" i="3"/>
  <c r="BI116" i="3"/>
  <c r="BI117" i="3"/>
  <c r="BI118" i="3"/>
  <c r="BI119" i="3"/>
  <c r="BI120" i="3"/>
  <c r="BI121" i="3"/>
  <c r="BI122" i="3"/>
  <c r="BI123" i="3"/>
  <c r="BI124" i="3"/>
  <c r="BI125" i="3"/>
  <c r="BI126" i="3"/>
  <c r="BI127" i="3"/>
  <c r="BI128" i="3"/>
  <c r="BI129" i="3"/>
  <c r="BI130" i="3"/>
  <c r="BI131" i="3"/>
  <c r="BI132" i="3"/>
  <c r="BI133" i="3"/>
  <c r="BI134" i="3"/>
  <c r="BI135" i="3"/>
  <c r="BI136" i="3"/>
  <c r="BI137" i="3"/>
  <c r="I99" i="6" l="1"/>
  <c r="J98" i="6"/>
  <c r="BC95" i="3"/>
  <c r="U95" i="3"/>
  <c r="AQ95" i="3"/>
  <c r="CS95" i="3"/>
  <c r="G144" i="3" a="1"/>
  <c r="G150" i="3" s="1"/>
  <c r="BH95" i="3"/>
  <c r="Q95" i="3"/>
  <c r="CB95" i="3"/>
  <c r="CC95" i="3"/>
  <c r="CE95" i="3"/>
  <c r="CF95" i="3"/>
  <c r="CG95" i="3"/>
  <c r="BO95" i="3"/>
  <c r="BP95" i="3"/>
  <c r="BR95" i="3"/>
  <c r="BT95" i="3"/>
  <c r="BQ95" i="3"/>
  <c r="AS95" i="3"/>
  <c r="CD95" i="3"/>
  <c r="BF95" i="3"/>
  <c r="CQ95" i="3"/>
  <c r="AU95" i="3"/>
  <c r="BE95" i="3"/>
  <c r="DB95" i="3"/>
  <c r="DC95" i="3"/>
  <c r="DE95" i="3"/>
  <c r="DF95" i="3"/>
  <c r="DG95" i="3"/>
  <c r="O95" i="3"/>
  <c r="P95" i="3"/>
  <c r="R95" i="3"/>
  <c r="T95" i="3"/>
  <c r="BU95" i="3"/>
  <c r="AO95" i="3"/>
  <c r="AP95" i="3"/>
  <c r="AT95" i="3"/>
  <c r="CH95" i="3"/>
  <c r="CO95" i="3"/>
  <c r="CP95" i="3"/>
  <c r="CR95" i="3"/>
  <c r="CT95" i="3"/>
  <c r="BS95" i="3"/>
  <c r="AR95" i="3"/>
  <c r="DH95" i="3"/>
  <c r="S95" i="3"/>
  <c r="BB95" i="3"/>
  <c r="BG95" i="3"/>
  <c r="DD95" i="3"/>
  <c r="BD95" i="3"/>
  <c r="CU95" i="3"/>
  <c r="I100" i="6" l="1"/>
  <c r="J99" i="6"/>
  <c r="G144" i="3"/>
  <c r="G149" i="3"/>
  <c r="G146" i="3"/>
  <c r="G147" i="3"/>
  <c r="G145" i="3"/>
  <c r="G151" i="3"/>
  <c r="G148" i="3"/>
  <c r="I144" i="3" a="1"/>
  <c r="I147" i="3" s="1"/>
  <c r="F144" i="3" a="1"/>
  <c r="F151" i="3" s="1"/>
  <c r="M144" i="3" a="1"/>
  <c r="M144" i="3" s="1"/>
  <c r="H144" i="3" a="1"/>
  <c r="K144" i="3" a="1"/>
  <c r="L144" i="3" a="1"/>
  <c r="P144" i="3" a="1"/>
  <c r="J144" i="3" a="1"/>
  <c r="I101" i="6" l="1"/>
  <c r="J100" i="6"/>
  <c r="I145" i="3"/>
  <c r="I150" i="3"/>
  <c r="I151" i="3"/>
  <c r="I146" i="3"/>
  <c r="P146" i="3"/>
  <c r="I144" i="3"/>
  <c r="I149" i="3"/>
  <c r="F145" i="3"/>
  <c r="I148" i="3"/>
  <c r="M145" i="3"/>
  <c r="M148" i="3"/>
  <c r="M146" i="3"/>
  <c r="M149" i="3"/>
  <c r="F147" i="3"/>
  <c r="M147" i="3"/>
  <c r="M150" i="3"/>
  <c r="M151" i="3"/>
  <c r="F144" i="3"/>
  <c r="F146" i="3"/>
  <c r="F150" i="3"/>
  <c r="F149" i="3"/>
  <c r="F148" i="3"/>
  <c r="P144" i="3"/>
  <c r="P148" i="3"/>
  <c r="K149" i="3"/>
  <c r="K148" i="3"/>
  <c r="K144" i="3"/>
  <c r="K147" i="3"/>
  <c r="K151" i="3"/>
  <c r="K146" i="3"/>
  <c r="K150" i="3"/>
  <c r="K145" i="3"/>
  <c r="P145" i="3"/>
  <c r="P147" i="3"/>
  <c r="L146" i="3"/>
  <c r="L148" i="3"/>
  <c r="L144" i="3"/>
  <c r="L150" i="3"/>
  <c r="L147" i="3"/>
  <c r="L145" i="3"/>
  <c r="L151" i="3"/>
  <c r="L149" i="3"/>
  <c r="P149" i="3"/>
  <c r="J150" i="3"/>
  <c r="J147" i="3"/>
  <c r="J144" i="3"/>
  <c r="J148" i="3"/>
  <c r="J151" i="3"/>
  <c r="J146" i="3"/>
  <c r="J149" i="3"/>
  <c r="J145" i="3"/>
  <c r="P151" i="3"/>
  <c r="P150" i="3"/>
  <c r="H148" i="3"/>
  <c r="H150" i="3"/>
  <c r="H144" i="3"/>
  <c r="H146" i="3"/>
  <c r="H145" i="3"/>
  <c r="H147" i="3"/>
  <c r="H149" i="3"/>
  <c r="H151" i="3"/>
  <c r="I102" i="6" l="1"/>
  <c r="J101" i="6"/>
  <c r="V144" i="3" a="1"/>
  <c r="V150" i="3" s="1"/>
  <c r="O144" i="3" a="1"/>
  <c r="O149" i="3" s="1"/>
  <c r="R144" i="3" a="1"/>
  <c r="Q144" i="3" a="1"/>
  <c r="Q149" i="3" s="1"/>
  <c r="U144" i="3" a="1"/>
  <c r="U148" i="3" s="1"/>
  <c r="S144" i="3" a="1"/>
  <c r="S151" i="3" s="1"/>
  <c r="V149" i="3"/>
  <c r="V146" i="3"/>
  <c r="V148" i="3"/>
  <c r="V144" i="3"/>
  <c r="V151" i="3"/>
  <c r="T144" i="3" a="1"/>
  <c r="T148" i="3" s="1"/>
  <c r="J102" i="6" l="1"/>
  <c r="I103" i="6"/>
  <c r="V145" i="3"/>
  <c r="V147" i="3"/>
  <c r="O146" i="3"/>
  <c r="O150" i="3"/>
  <c r="Q146" i="3"/>
  <c r="R144" i="3"/>
  <c r="R145" i="3"/>
  <c r="R146" i="3"/>
  <c r="R150" i="3"/>
  <c r="R147" i="3"/>
  <c r="R151" i="3"/>
  <c r="R148" i="3"/>
  <c r="R149" i="3"/>
  <c r="U151" i="3"/>
  <c r="O151" i="3"/>
  <c r="O145" i="3"/>
  <c r="O144" i="3"/>
  <c r="O148" i="3"/>
  <c r="O147" i="3"/>
  <c r="U149" i="3"/>
  <c r="S148" i="3"/>
  <c r="T145" i="3"/>
  <c r="T150" i="3"/>
  <c r="S144" i="3"/>
  <c r="Q151" i="3"/>
  <c r="S146" i="3"/>
  <c r="Q150" i="3"/>
  <c r="T147" i="3"/>
  <c r="T144" i="3"/>
  <c r="U144" i="3"/>
  <c r="U150" i="3"/>
  <c r="U147" i="3"/>
  <c r="T149" i="3"/>
  <c r="Q144" i="3"/>
  <c r="S149" i="3"/>
  <c r="Q148" i="3"/>
  <c r="S150" i="3"/>
  <c r="T151" i="3"/>
  <c r="Q145" i="3"/>
  <c r="S147" i="3"/>
  <c r="U145" i="3"/>
  <c r="Q147" i="3"/>
  <c r="U146" i="3"/>
  <c r="S145" i="3"/>
  <c r="T146" i="3"/>
  <c r="I104" i="6" l="1"/>
  <c r="J103" i="6"/>
  <c r="X144" i="3" a="1"/>
  <c r="AB147" i="3" s="1"/>
  <c r="I105" i="6" l="1"/>
  <c r="J104" i="6"/>
  <c r="Y145" i="3"/>
  <c r="AA148" i="3"/>
  <c r="AA145" i="3"/>
  <c r="X144" i="3"/>
  <c r="AE151" i="3"/>
  <c r="AB146" i="3"/>
  <c r="X146" i="3"/>
  <c r="AD149" i="3"/>
  <c r="AC151" i="3"/>
  <c r="AB148" i="3"/>
  <c r="AA147" i="3"/>
  <c r="AB150" i="3"/>
  <c r="AC147" i="3"/>
  <c r="AE150" i="3"/>
  <c r="AE144" i="3"/>
  <c r="Z146" i="3"/>
  <c r="AC144" i="3"/>
  <c r="AC149" i="3"/>
  <c r="AE145" i="3"/>
  <c r="AB145" i="3"/>
  <c r="Z148" i="3"/>
  <c r="Z147" i="3"/>
  <c r="X149" i="3"/>
  <c r="AB151" i="3"/>
  <c r="AC146" i="3"/>
  <c r="AC148" i="3"/>
  <c r="Z151" i="3"/>
  <c r="AC145" i="3"/>
  <c r="Z144" i="3"/>
  <c r="Z145" i="3"/>
  <c r="X151" i="3"/>
  <c r="AD150" i="3"/>
  <c r="AD144" i="3"/>
  <c r="AA146" i="3"/>
  <c r="AB149" i="3"/>
  <c r="Y146" i="3"/>
  <c r="Z149" i="3"/>
  <c r="AD147" i="3"/>
  <c r="X148" i="3"/>
  <c r="Y151" i="3"/>
  <c r="AE148" i="3"/>
  <c r="AE149" i="3"/>
  <c r="Y144" i="3"/>
  <c r="X145" i="3"/>
  <c r="AE147" i="3"/>
  <c r="AA144" i="3"/>
  <c r="Y150" i="3"/>
  <c r="Y147" i="3"/>
  <c r="AC150" i="3"/>
  <c r="X150" i="3"/>
  <c r="AB144" i="3"/>
  <c r="X147" i="3"/>
  <c r="AD148" i="3"/>
  <c r="AA151" i="3"/>
  <c r="AA149" i="3"/>
  <c r="Y148" i="3"/>
  <c r="AD151" i="3"/>
  <c r="Y149" i="3"/>
  <c r="AD145" i="3"/>
  <c r="AE146" i="3"/>
  <c r="Z150" i="3"/>
  <c r="AA150" i="3"/>
  <c r="AD146" i="3"/>
  <c r="J105" i="6" l="1"/>
  <c r="I106" i="6"/>
  <c r="AH144" i="3" a="1"/>
  <c r="AH149" i="3" s="1"/>
  <c r="J106" i="6" l="1"/>
  <c r="I107" i="6"/>
  <c r="B161" i="3"/>
  <c r="AH147" i="3"/>
  <c r="AH146" i="3"/>
  <c r="AH145" i="3"/>
  <c r="AH144" i="3"/>
  <c r="AH148" i="3"/>
  <c r="AH151" i="3"/>
  <c r="AH150" i="3"/>
  <c r="I108" i="6" l="1"/>
  <c r="J107" i="6"/>
  <c r="B162" i="3"/>
  <c r="B163" i="3"/>
  <c r="B160" i="3"/>
  <c r="B156" i="3"/>
  <c r="B157" i="3"/>
  <c r="B158" i="3"/>
  <c r="B159" i="3"/>
  <c r="B220" i="3"/>
  <c r="DB161" i="3"/>
  <c r="BB161" i="3"/>
  <c r="AB161" i="3"/>
  <c r="D160" i="3"/>
  <c r="AO161" i="3"/>
  <c r="CO161" i="3"/>
  <c r="BO161" i="3"/>
  <c r="O161" i="3"/>
  <c r="CB161" i="3"/>
  <c r="I109" i="6" l="1"/>
  <c r="J108" i="6"/>
  <c r="AO159" i="3"/>
  <c r="D158" i="3"/>
  <c r="AB159" i="3"/>
  <c r="CO159" i="3"/>
  <c r="B218" i="3"/>
  <c r="BB159" i="3"/>
  <c r="DB159" i="3"/>
  <c r="CB159" i="3"/>
  <c r="O159" i="3"/>
  <c r="BO159" i="3"/>
  <c r="D157" i="3"/>
  <c r="AO158" i="3"/>
  <c r="BB158" i="3"/>
  <c r="B217" i="3"/>
  <c r="CB158" i="3"/>
  <c r="O158" i="3"/>
  <c r="CO158" i="3"/>
  <c r="BO158" i="3"/>
  <c r="DB158" i="3"/>
  <c r="AB158" i="3"/>
  <c r="DB156" i="3"/>
  <c r="CB156" i="3"/>
  <c r="AO156" i="3"/>
  <c r="BB156" i="3"/>
  <c r="AB156" i="3"/>
  <c r="BO156" i="3"/>
  <c r="CO156" i="3"/>
  <c r="O156" i="3"/>
  <c r="B215" i="3"/>
  <c r="Q160" i="3"/>
  <c r="AO160" i="3"/>
  <c r="DB160" i="3"/>
  <c r="BB160" i="3"/>
  <c r="CO160" i="3"/>
  <c r="CB160" i="3"/>
  <c r="B219" i="3"/>
  <c r="BO160" i="3"/>
  <c r="O160" i="3"/>
  <c r="AB160" i="3"/>
  <c r="D159" i="3"/>
  <c r="AQ160" i="3"/>
  <c r="AB163" i="3"/>
  <c r="CO163" i="3"/>
  <c r="CB163" i="3"/>
  <c r="O163" i="3"/>
  <c r="BB163" i="3"/>
  <c r="DB163" i="3"/>
  <c r="BO163" i="3"/>
  <c r="B222" i="3"/>
  <c r="AO163" i="3"/>
  <c r="D163" i="3"/>
  <c r="D162" i="3"/>
  <c r="AD160" i="3"/>
  <c r="O162" i="3"/>
  <c r="D161" i="3"/>
  <c r="BO162" i="3"/>
  <c r="DB162" i="3"/>
  <c r="BB162" i="3"/>
  <c r="AB162" i="3"/>
  <c r="CB162" i="3"/>
  <c r="B221" i="3"/>
  <c r="AO162" i="3"/>
  <c r="CO162" i="3"/>
  <c r="DD160" i="3"/>
  <c r="B216" i="3"/>
  <c r="CO157" i="3"/>
  <c r="BB157" i="3"/>
  <c r="O157" i="3"/>
  <c r="D156" i="3"/>
  <c r="CB157" i="3"/>
  <c r="BO157" i="3"/>
  <c r="DB157" i="3"/>
  <c r="AB157" i="3"/>
  <c r="AO157" i="3"/>
  <c r="CD160" i="3"/>
  <c r="BQ160" i="3"/>
  <c r="CQ160" i="3"/>
  <c r="E160" i="3"/>
  <c r="BD160" i="3"/>
  <c r="I110" i="6" l="1"/>
  <c r="J109" i="6"/>
  <c r="BQ161" i="3"/>
  <c r="BD157" i="3"/>
  <c r="BE157" i="3" s="1"/>
  <c r="CD157" i="3"/>
  <c r="E156" i="3"/>
  <c r="Q156" i="3"/>
  <c r="AR160" i="3"/>
  <c r="AQ157" i="3"/>
  <c r="AE160" i="3"/>
  <c r="E162" i="3"/>
  <c r="BQ158" i="3"/>
  <c r="AQ161" i="3"/>
  <c r="AR161" i="3" s="1"/>
  <c r="DD157" i="3"/>
  <c r="CD156" i="3"/>
  <c r="BE160" i="3"/>
  <c r="CQ156" i="3"/>
  <c r="E159" i="3"/>
  <c r="G159" i="3" s="1"/>
  <c r="F160" i="3" s="1"/>
  <c r="CD161" i="3"/>
  <c r="DD159" i="3"/>
  <c r="AD156" i="3"/>
  <c r="BQ157" i="3"/>
  <c r="AD158" i="3"/>
  <c r="AD162" i="3"/>
  <c r="AD163" i="3"/>
  <c r="AE163" i="3" s="1"/>
  <c r="E161" i="3"/>
  <c r="Q161" i="3"/>
  <c r="R161" i="3" s="1"/>
  <c r="E157" i="3"/>
  <c r="CR160" i="3"/>
  <c r="DE160" i="3"/>
  <c r="BQ159" i="3"/>
  <c r="Q158" i="3"/>
  <c r="BR160" i="3"/>
  <c r="AQ163" i="3"/>
  <c r="AQ162" i="3"/>
  <c r="CD158" i="3"/>
  <c r="CD159" i="3"/>
  <c r="BD159" i="3"/>
  <c r="AD157" i="3"/>
  <c r="AE157" i="3" s="1"/>
  <c r="AQ156" i="3"/>
  <c r="BD163" i="3"/>
  <c r="BE163" i="3" s="1"/>
  <c r="BD162" i="3"/>
  <c r="CQ158" i="3"/>
  <c r="CD162" i="3"/>
  <c r="CD163" i="3"/>
  <c r="CQ157" i="3"/>
  <c r="CR157" i="3" s="1"/>
  <c r="E158" i="3"/>
  <c r="BD156" i="3"/>
  <c r="AD159" i="3"/>
  <c r="Q159" i="3"/>
  <c r="E163" i="3"/>
  <c r="CQ161" i="3"/>
  <c r="DD158" i="3"/>
  <c r="CE160" i="3"/>
  <c r="BQ163" i="3"/>
  <c r="BQ162" i="3"/>
  <c r="CQ159" i="3"/>
  <c r="BD158" i="3"/>
  <c r="DD163" i="3"/>
  <c r="DD162" i="3"/>
  <c r="AD161" i="3"/>
  <c r="Q162" i="3"/>
  <c r="Q163" i="3"/>
  <c r="AQ159" i="3"/>
  <c r="AR159" i="3" s="1"/>
  <c r="AT159" i="3" s="1"/>
  <c r="AS160" i="3" s="1"/>
  <c r="DD156" i="3"/>
  <c r="BD161" i="3"/>
  <c r="BQ156" i="3"/>
  <c r="DD161" i="3"/>
  <c r="CQ162" i="3"/>
  <c r="CQ163" i="3"/>
  <c r="R160" i="3"/>
  <c r="Q157" i="3"/>
  <c r="AQ158" i="3"/>
  <c r="J110" i="6" l="1"/>
  <c r="I111" i="6"/>
  <c r="G158" i="3"/>
  <c r="F159" i="3" s="1"/>
  <c r="H159" i="3" s="1"/>
  <c r="I159" i="3" s="1"/>
  <c r="J159" i="3" s="1"/>
  <c r="G161" i="3"/>
  <c r="F162" i="3" s="1"/>
  <c r="AT160" i="3"/>
  <c r="AS161" i="3" s="1"/>
  <c r="T160" i="3"/>
  <c r="S161" i="3" s="1"/>
  <c r="G160" i="3"/>
  <c r="F161" i="3" s="1"/>
  <c r="BE161" i="3"/>
  <c r="BG160" i="3" s="1"/>
  <c r="BF161" i="3" s="1"/>
  <c r="CR159" i="3"/>
  <c r="CT159" i="3" s="1"/>
  <c r="CS160" i="3" s="1"/>
  <c r="AR156" i="3"/>
  <c r="BE156" i="3"/>
  <c r="BG156" i="3" s="1"/>
  <c r="AE158" i="3"/>
  <c r="DE156" i="3"/>
  <c r="BR162" i="3"/>
  <c r="BR159" i="3"/>
  <c r="BT159" i="3" s="1"/>
  <c r="BS160" i="3" s="1"/>
  <c r="AR157" i="3"/>
  <c r="AR158" i="3"/>
  <c r="AT158" i="3" s="1"/>
  <c r="AS159" i="3" s="1"/>
  <c r="AU159" i="3" s="1"/>
  <c r="BR163" i="3"/>
  <c r="BR157" i="3"/>
  <c r="BE159" i="3"/>
  <c r="BG159" i="3" s="1"/>
  <c r="BF160" i="3" s="1"/>
  <c r="CE156" i="3"/>
  <c r="R157" i="3"/>
  <c r="AE156" i="3"/>
  <c r="AG156" i="3" s="1"/>
  <c r="R163" i="3"/>
  <c r="DE158" i="3"/>
  <c r="CE159" i="3"/>
  <c r="CG159" i="3" s="1"/>
  <c r="CF160" i="3" s="1"/>
  <c r="DE157" i="3"/>
  <c r="R156" i="3"/>
  <c r="R162" i="3"/>
  <c r="T162" i="3" s="1"/>
  <c r="S163" i="3" s="1"/>
  <c r="U163" i="3" s="1"/>
  <c r="DE159" i="3"/>
  <c r="DG159" i="3" s="1"/>
  <c r="DF160" i="3" s="1"/>
  <c r="CR161" i="3"/>
  <c r="CE163" i="3"/>
  <c r="CG162" i="3" s="1"/>
  <c r="CF163" i="3" s="1"/>
  <c r="CH163" i="3" s="1"/>
  <c r="CE158" i="3"/>
  <c r="G157" i="3"/>
  <c r="F158" i="3" s="1"/>
  <c r="CR163" i="3"/>
  <c r="AE161" i="3"/>
  <c r="CE162" i="3"/>
  <c r="CE161" i="3"/>
  <c r="CG160" i="3" s="1"/>
  <c r="CF161" i="3" s="1"/>
  <c r="G156" i="3"/>
  <c r="CR162" i="3"/>
  <c r="AR162" i="3"/>
  <c r="DE162" i="3"/>
  <c r="CR158" i="3"/>
  <c r="AR163" i="3"/>
  <c r="BR158" i="3"/>
  <c r="CE157" i="3"/>
  <c r="DE161" i="3"/>
  <c r="DE163" i="3"/>
  <c r="R159" i="3"/>
  <c r="T159" i="3" s="1"/>
  <c r="S160" i="3" s="1"/>
  <c r="BE162" i="3"/>
  <c r="BG162" i="3" s="1"/>
  <c r="BF163" i="3" s="1"/>
  <c r="BH163" i="3" s="1"/>
  <c r="G162" i="3"/>
  <c r="F163" i="3" s="1"/>
  <c r="BR156" i="3"/>
  <c r="BE158" i="3"/>
  <c r="AE159" i="3"/>
  <c r="AG159" i="3" s="1"/>
  <c r="AF160" i="3" s="1"/>
  <c r="R158" i="3"/>
  <c r="AE162" i="3"/>
  <c r="AG162" i="3" s="1"/>
  <c r="AF163" i="3" s="1"/>
  <c r="AH163" i="3" s="1"/>
  <c r="CR156" i="3"/>
  <c r="CT156" i="3" s="1"/>
  <c r="BR161" i="3"/>
  <c r="I112" i="6" l="1"/>
  <c r="J111" i="6"/>
  <c r="H161" i="3"/>
  <c r="I161" i="3" s="1"/>
  <c r="J161" i="3" s="1"/>
  <c r="BT158" i="3"/>
  <c r="BS159" i="3" s="1"/>
  <c r="BU159" i="3" s="1"/>
  <c r="T158" i="3"/>
  <c r="S159" i="3" s="1"/>
  <c r="U159" i="3" s="1"/>
  <c r="H160" i="3"/>
  <c r="I160" i="3" s="1"/>
  <c r="J160" i="3" s="1"/>
  <c r="K159" i="3"/>
  <c r="CG158" i="3"/>
  <c r="CF159" i="3" s="1"/>
  <c r="CH159" i="3" s="1"/>
  <c r="CI159" i="3" s="1"/>
  <c r="CJ159" i="3" s="1"/>
  <c r="DG161" i="3"/>
  <c r="DF162" i="3" s="1"/>
  <c r="CI163" i="3"/>
  <c r="CJ163" i="3" s="1"/>
  <c r="K161" i="3"/>
  <c r="CT158" i="3"/>
  <c r="CS159" i="3" s="1"/>
  <c r="BT157" i="3"/>
  <c r="BS158" i="3" s="1"/>
  <c r="AT162" i="3"/>
  <c r="AS163" i="3" s="1"/>
  <c r="AU163" i="3" s="1"/>
  <c r="AV163" i="3" s="1"/>
  <c r="AW163" i="3" s="1"/>
  <c r="BT156" i="3"/>
  <c r="BS157" i="3" s="1"/>
  <c r="CH160" i="3"/>
  <c r="AT157" i="3"/>
  <c r="AS158" i="3" s="1"/>
  <c r="CT157" i="3"/>
  <c r="CS158" i="3" s="1"/>
  <c r="DG158" i="3"/>
  <c r="DF159" i="3" s="1"/>
  <c r="DH159" i="3" s="1"/>
  <c r="BT162" i="3"/>
  <c r="BS163" i="3" s="1"/>
  <c r="BU163" i="3" s="1"/>
  <c r="V163" i="3"/>
  <c r="W163" i="3" s="1"/>
  <c r="DG156" i="3"/>
  <c r="DF157" i="3" s="1"/>
  <c r="AG161" i="3"/>
  <c r="AF162" i="3" s="1"/>
  <c r="AG160" i="3"/>
  <c r="AF161" i="3" s="1"/>
  <c r="AU160" i="3"/>
  <c r="AV160" i="3" s="1"/>
  <c r="AW160" i="3" s="1"/>
  <c r="BG158" i="3"/>
  <c r="BF159" i="3" s="1"/>
  <c r="H156" i="3"/>
  <c r="F157" i="3"/>
  <c r="CT161" i="3"/>
  <c r="CS162" i="3" s="1"/>
  <c r="BG157" i="3"/>
  <c r="BF158" i="3" s="1"/>
  <c r="CG157" i="3"/>
  <c r="CF158" i="3" s="1"/>
  <c r="AG158" i="3"/>
  <c r="AF159" i="3" s="1"/>
  <c r="H163" i="3"/>
  <c r="I163" i="3" s="1"/>
  <c r="J163" i="3" s="1"/>
  <c r="CG161" i="3"/>
  <c r="CF162" i="3" s="1"/>
  <c r="BH156" i="3"/>
  <c r="BF157" i="3"/>
  <c r="BT161" i="3"/>
  <c r="BS162" i="3" s="1"/>
  <c r="BT160" i="3"/>
  <c r="BS161" i="3" s="1"/>
  <c r="AH156" i="3"/>
  <c r="AF157" i="3"/>
  <c r="AV159" i="3"/>
  <c r="AW159" i="3" s="1"/>
  <c r="AH160" i="3"/>
  <c r="AI160" i="3" s="1"/>
  <c r="AJ160" i="3" s="1"/>
  <c r="CS157" i="3"/>
  <c r="CU156" i="3"/>
  <c r="BI163" i="3"/>
  <c r="BJ163" i="3" s="1"/>
  <c r="T157" i="3"/>
  <c r="S158" i="3" s="1"/>
  <c r="AT156" i="3"/>
  <c r="AI163" i="3"/>
  <c r="AJ163" i="3" s="1"/>
  <c r="AK163" i="3" s="1"/>
  <c r="CT162" i="3"/>
  <c r="CS163" i="3" s="1"/>
  <c r="T156" i="3"/>
  <c r="H162" i="3"/>
  <c r="AT161" i="3"/>
  <c r="CG156" i="3"/>
  <c r="BH160" i="3"/>
  <c r="BI160" i="3" s="1"/>
  <c r="BJ160" i="3" s="1"/>
  <c r="V159" i="3"/>
  <c r="W159" i="3" s="1"/>
  <c r="DG162" i="3"/>
  <c r="DF163" i="3" s="1"/>
  <c r="H158" i="3"/>
  <c r="DG157" i="3"/>
  <c r="DF158" i="3" s="1"/>
  <c r="DG160" i="3"/>
  <c r="DF161" i="3" s="1"/>
  <c r="BG161" i="3"/>
  <c r="BF162" i="3" s="1"/>
  <c r="U160" i="3"/>
  <c r="V160" i="3" s="1"/>
  <c r="W160" i="3" s="1"/>
  <c r="T161" i="3"/>
  <c r="CT160" i="3"/>
  <c r="CS161" i="3" s="1"/>
  <c r="AG157" i="3"/>
  <c r="AF158" i="3" s="1"/>
  <c r="J27" i="4" a="1"/>
  <c r="I113" i="6" l="1"/>
  <c r="J112" i="6"/>
  <c r="CU158" i="3"/>
  <c r="CV158" i="3" s="1"/>
  <c r="CW158" i="3" s="1"/>
  <c r="BU158" i="3"/>
  <c r="BV158" i="3" s="1"/>
  <c r="BW158" i="3" s="1"/>
  <c r="BV159" i="3"/>
  <c r="BW159" i="3" s="1"/>
  <c r="CK163" i="3"/>
  <c r="AX160" i="3"/>
  <c r="BU156" i="3"/>
  <c r="BV156" i="3" s="1"/>
  <c r="DI159" i="3"/>
  <c r="DJ159" i="3" s="1"/>
  <c r="CI160" i="3"/>
  <c r="CJ160" i="3" s="1"/>
  <c r="CU157" i="3"/>
  <c r="CP169" i="3" s="1" a="1"/>
  <c r="DH156" i="3"/>
  <c r="DI156" i="3" s="1"/>
  <c r="X163" i="3"/>
  <c r="AH161" i="3"/>
  <c r="AI161" i="3" s="1"/>
  <c r="AJ161" i="3" s="1"/>
  <c r="AH162" i="3"/>
  <c r="AI162" i="3" s="1"/>
  <c r="AJ162" i="3" s="1"/>
  <c r="AU158" i="3"/>
  <c r="AV158" i="3" s="1"/>
  <c r="AW158" i="3" s="1"/>
  <c r="BH157" i="3"/>
  <c r="BI157" i="3" s="1"/>
  <c r="BJ157" i="3" s="1"/>
  <c r="BK163" i="3"/>
  <c r="K160" i="3"/>
  <c r="CU159" i="3"/>
  <c r="CV159" i="3" s="1"/>
  <c r="CW159" i="3" s="1"/>
  <c r="BV163" i="3"/>
  <c r="BU157" i="3"/>
  <c r="BV157" i="3" s="1"/>
  <c r="BW157" i="3" s="1"/>
  <c r="DH163" i="3"/>
  <c r="DI163" i="3" s="1"/>
  <c r="DJ163" i="3" s="1"/>
  <c r="CH162" i="3"/>
  <c r="CI162" i="3" s="1"/>
  <c r="CJ162" i="3" s="1"/>
  <c r="DH157" i="3"/>
  <c r="DI157" i="3" s="1"/>
  <c r="DJ157" i="3" s="1"/>
  <c r="X159" i="3"/>
  <c r="AH158" i="3"/>
  <c r="AI158" i="3" s="1"/>
  <c r="AJ158" i="3" s="1"/>
  <c r="AH157" i="3"/>
  <c r="K163" i="3"/>
  <c r="DH162" i="3"/>
  <c r="CU161" i="3"/>
  <c r="CV161" i="3" s="1"/>
  <c r="CW161" i="3" s="1"/>
  <c r="BK160" i="3"/>
  <c r="AU156" i="3"/>
  <c r="AS157" i="3"/>
  <c r="AI156" i="3"/>
  <c r="AH159" i="3"/>
  <c r="AI159" i="3" s="1"/>
  <c r="AJ159" i="3" s="1"/>
  <c r="CH161" i="3"/>
  <c r="S162" i="3"/>
  <c r="U161" i="3"/>
  <c r="U158" i="3"/>
  <c r="V158" i="3" s="1"/>
  <c r="W158" i="3" s="1"/>
  <c r="BU161" i="3"/>
  <c r="BV161" i="3" s="1"/>
  <c r="BW161" i="3" s="1"/>
  <c r="CX158" i="3"/>
  <c r="CH156" i="3"/>
  <c r="CF157" i="3"/>
  <c r="BU162" i="3"/>
  <c r="BV162" i="3" s="1"/>
  <c r="BW162" i="3" s="1"/>
  <c r="X160" i="3"/>
  <c r="AS162" i="3"/>
  <c r="AU161" i="3"/>
  <c r="CK159" i="3"/>
  <c r="BI156" i="3"/>
  <c r="CH158" i="3"/>
  <c r="CI158" i="3" s="1"/>
  <c r="CJ158" i="3" s="1"/>
  <c r="BH159" i="3"/>
  <c r="BI159" i="3" s="1"/>
  <c r="BJ159" i="3" s="1"/>
  <c r="BH162" i="3"/>
  <c r="BI162" i="3" s="1"/>
  <c r="BJ162" i="3" s="1"/>
  <c r="I162" i="3"/>
  <c r="J162" i="3" s="1"/>
  <c r="CV156" i="3"/>
  <c r="BH158" i="3"/>
  <c r="DH160" i="3"/>
  <c r="BU160" i="3"/>
  <c r="CU160" i="3"/>
  <c r="BX159" i="3"/>
  <c r="DH161" i="3"/>
  <c r="DI161" i="3" s="1"/>
  <c r="DJ161" i="3" s="1"/>
  <c r="S157" i="3"/>
  <c r="U156" i="3"/>
  <c r="CU162" i="3"/>
  <c r="CV162" i="3" s="1"/>
  <c r="CW162" i="3" s="1"/>
  <c r="AX163" i="3"/>
  <c r="DH158" i="3"/>
  <c r="DI158" i="3" s="1"/>
  <c r="DJ158" i="3" s="1"/>
  <c r="CU163" i="3"/>
  <c r="CV163" i="3" s="1"/>
  <c r="CW163" i="3" s="1"/>
  <c r="AK160" i="3"/>
  <c r="H157" i="3"/>
  <c r="I157" i="3" s="1"/>
  <c r="J157" i="3" s="1"/>
  <c r="I158" i="3"/>
  <c r="J158" i="3" s="1"/>
  <c r="AX159" i="3"/>
  <c r="I156" i="3"/>
  <c r="BH161" i="3"/>
  <c r="I27" i="4" a="1"/>
  <c r="I114" i="6" l="1"/>
  <c r="J113" i="6"/>
  <c r="DK159" i="3"/>
  <c r="CV157" i="3"/>
  <c r="CW157" i="3" s="1"/>
  <c r="BX158" i="3"/>
  <c r="CK160" i="3"/>
  <c r="K162" i="3"/>
  <c r="BW163" i="3"/>
  <c r="BX163" i="3" s="1"/>
  <c r="CX159" i="3"/>
  <c r="K158" i="3"/>
  <c r="AX158" i="3"/>
  <c r="AK162" i="3"/>
  <c r="BC169" i="3" a="1"/>
  <c r="BC205" i="3" s="1"/>
  <c r="AK161" i="3"/>
  <c r="U157" i="3"/>
  <c r="V157" i="3" s="1"/>
  <c r="W157" i="3" s="1"/>
  <c r="AV156" i="3"/>
  <c r="CW156" i="3"/>
  <c r="DK157" i="3"/>
  <c r="AU157" i="3"/>
  <c r="AV157" i="3" s="1"/>
  <c r="AW157" i="3" s="1"/>
  <c r="DK161" i="3"/>
  <c r="BX161" i="3"/>
  <c r="CP179" i="3"/>
  <c r="CP206" i="3"/>
  <c r="CP200" i="3"/>
  <c r="CP209" i="3"/>
  <c r="CP184" i="3"/>
  <c r="CP194" i="3"/>
  <c r="CP195" i="3"/>
  <c r="CP193" i="3"/>
  <c r="CP205" i="3"/>
  <c r="CP192" i="3"/>
  <c r="CP177" i="3"/>
  <c r="CP182" i="3"/>
  <c r="CP191" i="3"/>
  <c r="CP201" i="3"/>
  <c r="CP204" i="3"/>
  <c r="CP190" i="3"/>
  <c r="CP178" i="3"/>
  <c r="CP173" i="3"/>
  <c r="CP183" i="3"/>
  <c r="CP176" i="3"/>
  <c r="CP189" i="3"/>
  <c r="CP199" i="3"/>
  <c r="CP203" i="3"/>
  <c r="CP188" i="3"/>
  <c r="CP181" i="3"/>
  <c r="CP175" i="3"/>
  <c r="CP196" i="3"/>
  <c r="CP207" i="3"/>
  <c r="CP170" i="3"/>
  <c r="CP169" i="3"/>
  <c r="CP198" i="3"/>
  <c r="CP202" i="3"/>
  <c r="CP180" i="3"/>
  <c r="CP174" i="3"/>
  <c r="CP197" i="3"/>
  <c r="CP187" i="3"/>
  <c r="CP185" i="3"/>
  <c r="CP208" i="3"/>
  <c r="CP172" i="3"/>
  <c r="CP186" i="3"/>
  <c r="CP171" i="3"/>
  <c r="BK157" i="3"/>
  <c r="CX161" i="3"/>
  <c r="BW156" i="3"/>
  <c r="BX156" i="3" s="1"/>
  <c r="K157" i="3"/>
  <c r="AV161" i="3"/>
  <c r="AW161" i="3" s="1"/>
  <c r="AX161" i="3" s="1"/>
  <c r="X158" i="3"/>
  <c r="DI162" i="3"/>
  <c r="DJ162" i="3" s="1"/>
  <c r="BP169" i="3" a="1"/>
  <c r="V156" i="3"/>
  <c r="AU162" i="3"/>
  <c r="AV162" i="3" s="1"/>
  <c r="AW162" i="3" s="1"/>
  <c r="V161" i="3"/>
  <c r="W161" i="3" s="1"/>
  <c r="X161" i="3" s="1"/>
  <c r="CX163" i="3"/>
  <c r="CV160" i="3"/>
  <c r="CW160" i="3" s="1"/>
  <c r="BK162" i="3"/>
  <c r="U162" i="3"/>
  <c r="V162" i="3" s="1"/>
  <c r="W162" i="3" s="1"/>
  <c r="AI157" i="3"/>
  <c r="AJ157" i="3" s="1"/>
  <c r="CK162" i="3"/>
  <c r="BV160" i="3"/>
  <c r="BW160" i="3" s="1"/>
  <c r="DK158" i="3"/>
  <c r="CI161" i="3"/>
  <c r="CJ161" i="3" s="1"/>
  <c r="AK158" i="3"/>
  <c r="DK163" i="3"/>
  <c r="DI160" i="3"/>
  <c r="DJ160" i="3" s="1"/>
  <c r="BI161" i="3"/>
  <c r="BJ161" i="3" s="1"/>
  <c r="BK159" i="3"/>
  <c r="BX162" i="3"/>
  <c r="AK159" i="3"/>
  <c r="DJ156" i="3"/>
  <c r="J156" i="3"/>
  <c r="D169" i="3" a="1"/>
  <c r="CH157" i="3"/>
  <c r="CI157" i="3" s="1"/>
  <c r="CJ157" i="3" s="1"/>
  <c r="AJ156" i="3"/>
  <c r="CK158" i="3"/>
  <c r="CI156" i="3"/>
  <c r="DC169" i="3" a="1"/>
  <c r="C169" i="3" a="1"/>
  <c r="CX162" i="3"/>
  <c r="BI158" i="3"/>
  <c r="BJ158" i="3" s="1"/>
  <c r="BJ156" i="3"/>
  <c r="AC169" i="3" a="1"/>
  <c r="BX157" i="3"/>
  <c r="I115" i="6" l="1"/>
  <c r="J114" i="6"/>
  <c r="AK157" i="3"/>
  <c r="AD169" i="3" a="1"/>
  <c r="AD176" i="3" s="1"/>
  <c r="CX157" i="3"/>
  <c r="BC196" i="3"/>
  <c r="BC187" i="3"/>
  <c r="BC194" i="3"/>
  <c r="BC199" i="3"/>
  <c r="BC207" i="3"/>
  <c r="P169" i="3" a="1"/>
  <c r="P181" i="3" s="1"/>
  <c r="DD169" i="3" a="1"/>
  <c r="DD195" i="3" s="1"/>
  <c r="BC192" i="3"/>
  <c r="BC198" i="3"/>
  <c r="BC182" i="3"/>
  <c r="BC209" i="3"/>
  <c r="BC178" i="3"/>
  <c r="BC174" i="3"/>
  <c r="BX160" i="3"/>
  <c r="BS169" i="3" s="1" a="1"/>
  <c r="BC172" i="3"/>
  <c r="BC201" i="3"/>
  <c r="BC206" i="3"/>
  <c r="BC189" i="3"/>
  <c r="BC170" i="3"/>
  <c r="BC191" i="3"/>
  <c r="BC176" i="3"/>
  <c r="BC195" i="3"/>
  <c r="BC185" i="3"/>
  <c r="DE169" i="3" a="1"/>
  <c r="DE199" i="3" s="1"/>
  <c r="BC188" i="3"/>
  <c r="BC183" i="3"/>
  <c r="BC208" i="3"/>
  <c r="BC179" i="3"/>
  <c r="BC202" i="3"/>
  <c r="BC193" i="3"/>
  <c r="BC184" i="3"/>
  <c r="CQ169" i="3" a="1"/>
  <c r="CQ204" i="3" s="1"/>
  <c r="BC180" i="3"/>
  <c r="BC203" i="3"/>
  <c r="CR169" i="3" a="1"/>
  <c r="CR177" i="3" s="1"/>
  <c r="BC197" i="3"/>
  <c r="BC173" i="3"/>
  <c r="BC177" i="3"/>
  <c r="BC200" i="3"/>
  <c r="BC171" i="3"/>
  <c r="BC204" i="3"/>
  <c r="BC186" i="3"/>
  <c r="BC181" i="3"/>
  <c r="BC190" i="3"/>
  <c r="CK161" i="3"/>
  <c r="BC175" i="3"/>
  <c r="BC169" i="3"/>
  <c r="BE169" i="3" a="1"/>
  <c r="BK156" i="3"/>
  <c r="D181" i="3"/>
  <c r="D187" i="3"/>
  <c r="D205" i="3"/>
  <c r="D197" i="3"/>
  <c r="D170" i="3"/>
  <c r="D171" i="3"/>
  <c r="D180" i="3"/>
  <c r="D200" i="3"/>
  <c r="D203" i="3"/>
  <c r="D196" i="3"/>
  <c r="D199" i="3"/>
  <c r="D169" i="3"/>
  <c r="D178" i="3"/>
  <c r="D191" i="3"/>
  <c r="D202" i="3"/>
  <c r="D175" i="3"/>
  <c r="D194" i="3"/>
  <c r="D190" i="3"/>
  <c r="D201" i="3"/>
  <c r="D177" i="3"/>
  <c r="D188" i="3"/>
  <c r="D193" i="3"/>
  <c r="D186" i="3"/>
  <c r="D179" i="3"/>
  <c r="D172" i="3"/>
  <c r="D207" i="3"/>
  <c r="D204" i="3"/>
  <c r="D176" i="3"/>
  <c r="D185" i="3"/>
  <c r="D182" i="3"/>
  <c r="D209" i="3"/>
  <c r="D184" i="3"/>
  <c r="D173" i="3"/>
  <c r="D192" i="3"/>
  <c r="D183" i="3"/>
  <c r="D198" i="3"/>
  <c r="D206" i="3"/>
  <c r="D208" i="3"/>
  <c r="D195" i="3"/>
  <c r="D189" i="3"/>
  <c r="D174" i="3"/>
  <c r="BD169" i="3" a="1"/>
  <c r="E169" i="3" a="1"/>
  <c r="K156" i="3"/>
  <c r="F169" i="3" s="1" a="1"/>
  <c r="BK158" i="3"/>
  <c r="AX162" i="3"/>
  <c r="W156" i="3"/>
  <c r="R169" i="3" s="1" a="1"/>
  <c r="Q169" i="3" a="1"/>
  <c r="AW156" i="3"/>
  <c r="AQ169" i="3" a="1"/>
  <c r="C186" i="3"/>
  <c r="C199" i="3"/>
  <c r="C169" i="3"/>
  <c r="C198" i="3"/>
  <c r="C202" i="3"/>
  <c r="C196" i="3"/>
  <c r="C203" i="3"/>
  <c r="C185" i="3"/>
  <c r="C194" i="3"/>
  <c r="C201" i="3"/>
  <c r="C193" i="3"/>
  <c r="C184" i="3"/>
  <c r="C192" i="3"/>
  <c r="C206" i="3"/>
  <c r="C181" i="3"/>
  <c r="C178" i="3"/>
  <c r="C205" i="3"/>
  <c r="C200" i="3"/>
  <c r="C191" i="3"/>
  <c r="C180" i="3"/>
  <c r="C195" i="3"/>
  <c r="C189" i="3"/>
  <c r="C183" i="3"/>
  <c r="C190" i="3"/>
  <c r="C197" i="3"/>
  <c r="C182" i="3"/>
  <c r="C188" i="3"/>
  <c r="C179" i="3"/>
  <c r="C177" i="3"/>
  <c r="C207" i="3"/>
  <c r="C175" i="3"/>
  <c r="C172" i="3"/>
  <c r="C173" i="3"/>
  <c r="C171" i="3"/>
  <c r="C170" i="3"/>
  <c r="C204" i="3"/>
  <c r="C208" i="3"/>
  <c r="C176" i="3"/>
  <c r="C187" i="3"/>
  <c r="C174" i="3"/>
  <c r="C209" i="3"/>
  <c r="AP169" i="3" a="1"/>
  <c r="DC169" i="3"/>
  <c r="DC175" i="3"/>
  <c r="DC209" i="3"/>
  <c r="DC173" i="3"/>
  <c r="DC188" i="3"/>
  <c r="DC205" i="3"/>
  <c r="DC208" i="3"/>
  <c r="DC204" i="3"/>
  <c r="DC187" i="3"/>
  <c r="DC206" i="3"/>
  <c r="DC203" i="3"/>
  <c r="DC190" i="3"/>
  <c r="DC207" i="3"/>
  <c r="DC202" i="3"/>
  <c r="DC174" i="3"/>
  <c r="DC186" i="3"/>
  <c r="DC184" i="3"/>
  <c r="DC180" i="3"/>
  <c r="DC172" i="3"/>
  <c r="DC182" i="3"/>
  <c r="DC197" i="3"/>
  <c r="DC201" i="3"/>
  <c r="DC183" i="3"/>
  <c r="DC196" i="3"/>
  <c r="DC200" i="3"/>
  <c r="DC185" i="3"/>
  <c r="DC191" i="3"/>
  <c r="DC179" i="3"/>
  <c r="DC171" i="3"/>
  <c r="DC181" i="3"/>
  <c r="DC195" i="3"/>
  <c r="DC199" i="3"/>
  <c r="DC177" i="3"/>
  <c r="DC178" i="3"/>
  <c r="DC198" i="3"/>
  <c r="DC176" i="3"/>
  <c r="DC194" i="3"/>
  <c r="DC170" i="3"/>
  <c r="DC193" i="3"/>
  <c r="DC189" i="3"/>
  <c r="DC192" i="3"/>
  <c r="BP181" i="3"/>
  <c r="BP208" i="3"/>
  <c r="BP201" i="3"/>
  <c r="BP195" i="3"/>
  <c r="BP189" i="3"/>
  <c r="BP199" i="3"/>
  <c r="BP169" i="3"/>
  <c r="BP179" i="3"/>
  <c r="BP170" i="3"/>
  <c r="BP200" i="3"/>
  <c r="BP194" i="3"/>
  <c r="BP184" i="3"/>
  <c r="BP198" i="3"/>
  <c r="BP178" i="3"/>
  <c r="BP183" i="3"/>
  <c r="BP188" i="3"/>
  <c r="BP192" i="3"/>
  <c r="BP177" i="3"/>
  <c r="BP196" i="3"/>
  <c r="BP207" i="3"/>
  <c r="BP187" i="3"/>
  <c r="BP175" i="3"/>
  <c r="BP182" i="3"/>
  <c r="BP186" i="3"/>
  <c r="BP205" i="3"/>
  <c r="BP173" i="3"/>
  <c r="BP193" i="3"/>
  <c r="BP206" i="3"/>
  <c r="BP185" i="3"/>
  <c r="BP174" i="3"/>
  <c r="BP204" i="3"/>
  <c r="BP197" i="3"/>
  <c r="BP202" i="3"/>
  <c r="BP180" i="3"/>
  <c r="BP191" i="3"/>
  <c r="BP190" i="3"/>
  <c r="BP171" i="3"/>
  <c r="BP172" i="3"/>
  <c r="BP176" i="3"/>
  <c r="BP209" i="3"/>
  <c r="BP203" i="3"/>
  <c r="CJ156" i="3"/>
  <c r="CE169" i="3" s="1" a="1"/>
  <c r="CD169" i="3" a="1"/>
  <c r="X157" i="3"/>
  <c r="DK162" i="3"/>
  <c r="CC169" i="3" a="1"/>
  <c r="BK161" i="3"/>
  <c r="X162" i="3"/>
  <c r="DK156" i="3"/>
  <c r="DK160" i="3"/>
  <c r="AD175" i="3"/>
  <c r="CX156" i="3"/>
  <c r="AE169" i="3" a="1"/>
  <c r="AK156" i="3"/>
  <c r="AF169" i="3" s="1" a="1"/>
  <c r="CX160" i="3"/>
  <c r="BQ169" i="3" a="1"/>
  <c r="CK157" i="3"/>
  <c r="BR169" i="3" a="1"/>
  <c r="AX157" i="3"/>
  <c r="AC188" i="3"/>
  <c r="AC176" i="3"/>
  <c r="AC207" i="3"/>
  <c r="AC194" i="3"/>
  <c r="AC200" i="3"/>
  <c r="AC187" i="3"/>
  <c r="AC174" i="3"/>
  <c r="AC206" i="3"/>
  <c r="AC191" i="3"/>
  <c r="AC186" i="3"/>
  <c r="AC190" i="3"/>
  <c r="AC205" i="3"/>
  <c r="AC189" i="3"/>
  <c r="AC172" i="3"/>
  <c r="AC197" i="3"/>
  <c r="AC171" i="3"/>
  <c r="AC202" i="3"/>
  <c r="AC169" i="3"/>
  <c r="AC195" i="3"/>
  <c r="AC201" i="3"/>
  <c r="AC198" i="3"/>
  <c r="AC193" i="3"/>
  <c r="AC185" i="3"/>
  <c r="AC175" i="3"/>
  <c r="AC203" i="3"/>
  <c r="AC181" i="3"/>
  <c r="AC199" i="3"/>
  <c r="AC204" i="3"/>
  <c r="AC173" i="3"/>
  <c r="AC184" i="3"/>
  <c r="AC182" i="3"/>
  <c r="AC196" i="3"/>
  <c r="AC177" i="3"/>
  <c r="AC208" i="3"/>
  <c r="AC192" i="3"/>
  <c r="AC183" i="3"/>
  <c r="AC170" i="3"/>
  <c r="AC179" i="3"/>
  <c r="AC180" i="3"/>
  <c r="AC178" i="3"/>
  <c r="AC209" i="3"/>
  <c r="J115" i="6" l="1"/>
  <c r="I116" i="6"/>
  <c r="AD206" i="3"/>
  <c r="AD190" i="3"/>
  <c r="AD198" i="3"/>
  <c r="AD169" i="3"/>
  <c r="AD179" i="3"/>
  <c r="AD185" i="3"/>
  <c r="AD173" i="3"/>
  <c r="AD170" i="3"/>
  <c r="AD174" i="3"/>
  <c r="AD202" i="3"/>
  <c r="AD195" i="3"/>
  <c r="AD191" i="3"/>
  <c r="AD192" i="3"/>
  <c r="AD188" i="3"/>
  <c r="AD182" i="3"/>
  <c r="AD203" i="3"/>
  <c r="AD172" i="3"/>
  <c r="AD196" i="3"/>
  <c r="AD199" i="3"/>
  <c r="AD171" i="3"/>
  <c r="AD186" i="3"/>
  <c r="AD209" i="3"/>
  <c r="AD194" i="3"/>
  <c r="AD207" i="3"/>
  <c r="AD200" i="3"/>
  <c r="AD189" i="3"/>
  <c r="AD181" i="3"/>
  <c r="AD205" i="3"/>
  <c r="AD178" i="3"/>
  <c r="AD201" i="3"/>
  <c r="AD197" i="3"/>
  <c r="AD180" i="3"/>
  <c r="AD184" i="3"/>
  <c r="AD187" i="3"/>
  <c r="AD208" i="3"/>
  <c r="AD177" i="3"/>
  <c r="CR200" i="3"/>
  <c r="P172" i="3"/>
  <c r="DE207" i="3"/>
  <c r="P169" i="3"/>
  <c r="P196" i="3"/>
  <c r="DD202" i="3"/>
  <c r="DE186" i="3"/>
  <c r="DE209" i="3"/>
  <c r="P178" i="3"/>
  <c r="DD170" i="3"/>
  <c r="P185" i="3"/>
  <c r="DE197" i="3"/>
  <c r="P202" i="3"/>
  <c r="DE204" i="3"/>
  <c r="P170" i="3"/>
  <c r="DE198" i="3"/>
  <c r="P177" i="3"/>
  <c r="DE208" i="3"/>
  <c r="P180" i="3"/>
  <c r="DD176" i="3"/>
  <c r="AD193" i="3"/>
  <c r="AD204" i="3"/>
  <c r="DD181" i="3"/>
  <c r="AD183" i="3"/>
  <c r="DD184" i="3"/>
  <c r="DD175" i="3"/>
  <c r="DD191" i="3"/>
  <c r="P207" i="3"/>
  <c r="DD171" i="3"/>
  <c r="DD197" i="3"/>
  <c r="DD198" i="3"/>
  <c r="CR182" i="3"/>
  <c r="P171" i="3"/>
  <c r="DD193" i="3"/>
  <c r="CR192" i="3"/>
  <c r="P193" i="3"/>
  <c r="DD199" i="3"/>
  <c r="CR195" i="3"/>
  <c r="P183" i="3"/>
  <c r="DE169" i="3"/>
  <c r="P184" i="3"/>
  <c r="DD186" i="3"/>
  <c r="CR188" i="3"/>
  <c r="P203" i="3"/>
  <c r="DD203" i="3"/>
  <c r="CR175" i="3"/>
  <c r="DE205" i="3"/>
  <c r="P200" i="3"/>
  <c r="DD190" i="3"/>
  <c r="CR199" i="3"/>
  <c r="CQ190" i="3"/>
  <c r="CQ188" i="3"/>
  <c r="DE185" i="3"/>
  <c r="CQ170" i="3"/>
  <c r="DE170" i="3"/>
  <c r="DD182" i="3"/>
  <c r="P205" i="3"/>
  <c r="P189" i="3"/>
  <c r="P199" i="3"/>
  <c r="DD189" i="3"/>
  <c r="DD177" i="3"/>
  <c r="DD188" i="3"/>
  <c r="CQ175" i="3"/>
  <c r="DE201" i="3"/>
  <c r="DE194" i="3"/>
  <c r="DE175" i="3"/>
  <c r="DE187" i="3"/>
  <c r="DE180" i="3"/>
  <c r="DE196" i="3"/>
  <c r="DE172" i="3"/>
  <c r="CQ172" i="3"/>
  <c r="DE191" i="3"/>
  <c r="DE206" i="3"/>
  <c r="DE189" i="3"/>
  <c r="DE182" i="3"/>
  <c r="DE192" i="3"/>
  <c r="P186" i="3"/>
  <c r="P179" i="3"/>
  <c r="DD200" i="3"/>
  <c r="DD192" i="3"/>
  <c r="DD201" i="3"/>
  <c r="CQ174" i="3"/>
  <c r="P173" i="3"/>
  <c r="P208" i="3"/>
  <c r="DD185" i="3"/>
  <c r="DD169" i="3"/>
  <c r="DD183" i="3"/>
  <c r="P187" i="3"/>
  <c r="P198" i="3"/>
  <c r="DD206" i="3"/>
  <c r="DD178" i="3"/>
  <c r="DD205" i="3"/>
  <c r="DE178" i="3"/>
  <c r="DE193" i="3"/>
  <c r="P206" i="3"/>
  <c r="P191" i="3"/>
  <c r="DD180" i="3"/>
  <c r="DD187" i="3"/>
  <c r="CR180" i="3"/>
  <c r="CQ182" i="3"/>
  <c r="DE177" i="3"/>
  <c r="DE202" i="3"/>
  <c r="DE200" i="3"/>
  <c r="DE181" i="3"/>
  <c r="DE190" i="3"/>
  <c r="P194" i="3"/>
  <c r="P197" i="3"/>
  <c r="P201" i="3"/>
  <c r="DD173" i="3"/>
  <c r="DD194" i="3"/>
  <c r="CR205" i="3"/>
  <c r="CQ179" i="3"/>
  <c r="DE183" i="3"/>
  <c r="DE188" i="3"/>
  <c r="P174" i="3"/>
  <c r="P190" i="3"/>
  <c r="DD196" i="3"/>
  <c r="DD207" i="3"/>
  <c r="DD172" i="3"/>
  <c r="DD179" i="3"/>
  <c r="CQ198" i="3"/>
  <c r="DD208" i="3"/>
  <c r="DD204" i="3"/>
  <c r="CR174" i="3"/>
  <c r="CQ202" i="3"/>
  <c r="DE171" i="3"/>
  <c r="DE173" i="3"/>
  <c r="DE174" i="3"/>
  <c r="P182" i="3"/>
  <c r="P175" i="3"/>
  <c r="P209" i="3"/>
  <c r="DD209" i="3"/>
  <c r="DE203" i="3"/>
  <c r="DE176" i="3"/>
  <c r="DE195" i="3"/>
  <c r="P195" i="3"/>
  <c r="P188" i="3"/>
  <c r="P192" i="3"/>
  <c r="DE179" i="3"/>
  <c r="DE184" i="3"/>
  <c r="P204" i="3"/>
  <c r="P176" i="3"/>
  <c r="DD174" i="3"/>
  <c r="CR185" i="3"/>
  <c r="CQ205" i="3"/>
  <c r="CR202" i="3"/>
  <c r="CR191" i="3"/>
  <c r="CR172" i="3"/>
  <c r="CQ171" i="3"/>
  <c r="CQ200" i="3"/>
  <c r="CQ173" i="3"/>
  <c r="CR209" i="3"/>
  <c r="CR169" i="3"/>
  <c r="CR178" i="3"/>
  <c r="CQ178" i="3"/>
  <c r="CQ206" i="3"/>
  <c r="CQ194" i="3"/>
  <c r="CR181" i="3"/>
  <c r="CR179" i="3"/>
  <c r="CR194" i="3"/>
  <c r="CQ186" i="3"/>
  <c r="CQ185" i="3"/>
  <c r="CQ177" i="3"/>
  <c r="CR190" i="3"/>
  <c r="CR197" i="3"/>
  <c r="CQ183" i="3"/>
  <c r="CQ169" i="3"/>
  <c r="CQ176" i="3"/>
  <c r="CR173" i="3"/>
  <c r="CR170" i="3"/>
  <c r="CQ209" i="3"/>
  <c r="CQ191" i="3"/>
  <c r="CR183" i="3"/>
  <c r="CR186" i="3"/>
  <c r="CQ199" i="3"/>
  <c r="CQ201" i="3"/>
  <c r="CR208" i="3"/>
  <c r="CR171" i="3"/>
  <c r="CQ181" i="3"/>
  <c r="CQ189" i="3"/>
  <c r="CR206" i="3"/>
  <c r="CR207" i="3"/>
  <c r="CQ203" i="3"/>
  <c r="CQ207" i="3"/>
  <c r="CR196" i="3"/>
  <c r="CR203" i="3"/>
  <c r="CQ187" i="3"/>
  <c r="CQ192" i="3"/>
  <c r="CR189" i="3"/>
  <c r="CR176" i="3"/>
  <c r="CR187" i="3"/>
  <c r="CQ184" i="3"/>
  <c r="CQ208" i="3"/>
  <c r="CR201" i="3"/>
  <c r="CR204" i="3"/>
  <c r="CR193" i="3"/>
  <c r="CQ180" i="3"/>
  <c r="CQ196" i="3"/>
  <c r="CQ193" i="3"/>
  <c r="X156" i="3"/>
  <c r="S169" i="3" s="1" a="1"/>
  <c r="S171" i="3" s="1"/>
  <c r="CR198" i="3"/>
  <c r="CR184" i="3"/>
  <c r="CQ195" i="3"/>
  <c r="CQ197" i="3"/>
  <c r="BS203" i="3"/>
  <c r="BS198" i="3"/>
  <c r="BS199" i="3"/>
  <c r="BS184" i="3"/>
  <c r="BS171" i="3"/>
  <c r="BS179" i="3"/>
  <c r="BS183" i="3"/>
  <c r="BS202" i="3"/>
  <c r="BS194" i="3"/>
  <c r="BS181" i="3"/>
  <c r="BS197" i="3"/>
  <c r="BS182" i="3"/>
  <c r="BS193" i="3"/>
  <c r="BS192" i="3"/>
  <c r="BS196" i="3"/>
  <c r="BS178" i="3"/>
  <c r="BS191" i="3"/>
  <c r="BS180" i="3"/>
  <c r="BS177" i="3"/>
  <c r="BS190" i="3"/>
  <c r="BS188" i="3"/>
  <c r="BS209" i="3"/>
  <c r="BS170" i="3"/>
  <c r="BS207" i="3"/>
  <c r="BS176" i="3"/>
  <c r="BS189" i="3"/>
  <c r="BS169" i="3"/>
  <c r="BS175" i="3"/>
  <c r="BS195" i="3"/>
  <c r="BS186" i="3"/>
  <c r="BS206" i="3"/>
  <c r="BS208" i="3"/>
  <c r="BS173" i="3"/>
  <c r="BS187" i="3"/>
  <c r="BS174" i="3"/>
  <c r="BS205" i="3"/>
  <c r="BS201" i="3"/>
  <c r="BS200" i="3"/>
  <c r="BS172" i="3"/>
  <c r="BS204" i="3"/>
  <c r="BS185" i="3"/>
  <c r="AP199" i="3"/>
  <c r="AP195" i="3"/>
  <c r="AP186" i="3"/>
  <c r="AP205" i="3"/>
  <c r="AP182" i="3"/>
  <c r="AP173" i="3"/>
  <c r="AP185" i="3"/>
  <c r="AP197" i="3"/>
  <c r="AP198" i="3"/>
  <c r="AP194" i="3"/>
  <c r="AP183" i="3"/>
  <c r="AP193" i="3"/>
  <c r="AP181" i="3"/>
  <c r="AP172" i="3"/>
  <c r="AP178" i="3"/>
  <c r="AP180" i="3"/>
  <c r="AP170" i="3"/>
  <c r="AP196" i="3"/>
  <c r="AP192" i="3"/>
  <c r="AP179" i="3"/>
  <c r="AP169" i="3"/>
  <c r="AP191" i="3"/>
  <c r="AP177" i="3"/>
  <c r="AP189" i="3"/>
  <c r="AP206" i="3"/>
  <c r="AP204" i="3"/>
  <c r="AP209" i="3"/>
  <c r="AP203" i="3"/>
  <c r="AP176" i="3"/>
  <c r="AP208" i="3"/>
  <c r="AP187" i="3"/>
  <c r="AP202" i="3"/>
  <c r="AP207" i="3"/>
  <c r="AP171" i="3"/>
  <c r="AP175" i="3"/>
  <c r="AP201" i="3"/>
  <c r="AP184" i="3"/>
  <c r="AP200" i="3"/>
  <c r="AP190" i="3"/>
  <c r="AP174" i="3"/>
  <c r="AP188" i="3"/>
  <c r="BR190" i="3"/>
  <c r="BR194" i="3"/>
  <c r="BR172" i="3"/>
  <c r="BR174" i="3"/>
  <c r="BR192" i="3"/>
  <c r="BR171" i="3"/>
  <c r="BR189" i="3"/>
  <c r="BR183" i="3"/>
  <c r="BR181" i="3"/>
  <c r="BR170" i="3"/>
  <c r="BR182" i="3"/>
  <c r="BR188" i="3"/>
  <c r="BR169" i="3"/>
  <c r="BR180" i="3"/>
  <c r="BR205" i="3"/>
  <c r="BR208" i="3"/>
  <c r="BR179" i="3"/>
  <c r="BR176" i="3"/>
  <c r="BR187" i="3"/>
  <c r="BR202" i="3"/>
  <c r="BR209" i="3"/>
  <c r="BR186" i="3"/>
  <c r="BR201" i="3"/>
  <c r="BR184" i="3"/>
  <c r="BR193" i="3"/>
  <c r="BR204" i="3"/>
  <c r="BR200" i="3"/>
  <c r="BR191" i="3"/>
  <c r="BR177" i="3"/>
  <c r="BR185" i="3"/>
  <c r="BR199" i="3"/>
  <c r="BR207" i="3"/>
  <c r="BR203" i="3"/>
  <c r="BR198" i="3"/>
  <c r="BR197" i="3"/>
  <c r="BR175" i="3"/>
  <c r="BR206" i="3"/>
  <c r="BR196" i="3"/>
  <c r="BR195" i="3"/>
  <c r="BR178" i="3"/>
  <c r="BR173" i="3"/>
  <c r="AE186" i="3"/>
  <c r="AE199" i="3"/>
  <c r="AE182" i="3"/>
  <c r="AE205" i="3"/>
  <c r="AE197" i="3"/>
  <c r="AE209" i="3"/>
  <c r="AE195" i="3"/>
  <c r="AE185" i="3"/>
  <c r="AE196" i="3"/>
  <c r="AE184" i="3"/>
  <c r="AE192" i="3"/>
  <c r="AE179" i="3"/>
  <c r="AE204" i="3"/>
  <c r="AE194" i="3"/>
  <c r="AE190" i="3"/>
  <c r="AE193" i="3"/>
  <c r="AE203" i="3"/>
  <c r="AE189" i="3"/>
  <c r="AE177" i="3"/>
  <c r="AE183" i="3"/>
  <c r="AE178" i="3"/>
  <c r="AE172" i="3"/>
  <c r="AE208" i="3"/>
  <c r="AE202" i="3"/>
  <c r="AE173" i="3"/>
  <c r="AE176" i="3"/>
  <c r="AE201" i="3"/>
  <c r="AE171" i="3"/>
  <c r="AE188" i="3"/>
  <c r="AE207" i="3"/>
  <c r="AE181" i="3"/>
  <c r="AE170" i="3"/>
  <c r="AE198" i="3"/>
  <c r="AE191" i="3"/>
  <c r="AE200" i="3"/>
  <c r="AE175" i="3"/>
  <c r="AE180" i="3"/>
  <c r="AE174" i="3"/>
  <c r="AE187" i="3"/>
  <c r="AE206" i="3"/>
  <c r="AE169" i="3"/>
  <c r="DF169" i="3" a="1"/>
  <c r="CC205" i="3"/>
  <c r="CC189" i="3"/>
  <c r="CC208" i="3"/>
  <c r="CC185" i="3"/>
  <c r="CC188" i="3"/>
  <c r="CC204" i="3"/>
  <c r="CC187" i="3"/>
  <c r="CC184" i="3"/>
  <c r="CC186" i="3"/>
  <c r="CC203" i="3"/>
  <c r="CC175" i="3"/>
  <c r="CC179" i="3"/>
  <c r="CC180" i="3"/>
  <c r="CC172" i="3"/>
  <c r="CC183" i="3"/>
  <c r="CC209" i="3"/>
  <c r="CC190" i="3"/>
  <c r="CC202" i="3"/>
  <c r="CC173" i="3"/>
  <c r="CC196" i="3"/>
  <c r="CC181" i="3"/>
  <c r="CC206" i="3"/>
  <c r="CC199" i="3"/>
  <c r="CC182" i="3"/>
  <c r="CC200" i="3"/>
  <c r="CC174" i="3"/>
  <c r="CC194" i="3"/>
  <c r="CC191" i="3"/>
  <c r="CC169" i="3"/>
  <c r="CC207" i="3"/>
  <c r="CC198" i="3"/>
  <c r="CC201" i="3"/>
  <c r="CC197" i="3"/>
  <c r="CC176" i="3"/>
  <c r="CC177" i="3"/>
  <c r="CC195" i="3"/>
  <c r="CC193" i="3"/>
  <c r="CC171" i="3"/>
  <c r="CC178" i="3"/>
  <c r="CC192" i="3"/>
  <c r="CC170" i="3"/>
  <c r="AF181" i="3"/>
  <c r="AF203" i="3"/>
  <c r="AF196" i="3"/>
  <c r="AF178" i="3"/>
  <c r="AF175" i="3"/>
  <c r="AF190" i="3"/>
  <c r="AF200" i="3"/>
  <c r="AF170" i="3"/>
  <c r="AF176" i="3"/>
  <c r="AF189" i="3"/>
  <c r="AF188" i="3"/>
  <c r="AF174" i="3"/>
  <c r="AF171" i="3"/>
  <c r="AF209" i="3"/>
  <c r="AF173" i="3"/>
  <c r="AF201" i="3"/>
  <c r="AF207" i="3"/>
  <c r="AF208" i="3"/>
  <c r="AF187" i="3"/>
  <c r="AF172" i="3"/>
  <c r="AF185" i="3"/>
  <c r="AF186" i="3"/>
  <c r="AF202" i="3"/>
  <c r="AF198" i="3"/>
  <c r="AF169" i="3"/>
  <c r="AF206" i="3"/>
  <c r="AF195" i="3"/>
  <c r="AF192" i="3"/>
  <c r="AF199" i="3"/>
  <c r="AF184" i="3"/>
  <c r="AF194" i="3"/>
  <c r="AF183" i="3"/>
  <c r="AF205" i="3"/>
  <c r="AF193" i="3"/>
  <c r="AF180" i="3"/>
  <c r="AF182" i="3"/>
  <c r="AF197" i="3"/>
  <c r="AF177" i="3"/>
  <c r="AF179" i="3"/>
  <c r="AF204" i="3"/>
  <c r="AF191" i="3"/>
  <c r="CD184" i="3"/>
  <c r="CD177" i="3"/>
  <c r="CD209" i="3"/>
  <c r="CD176" i="3"/>
  <c r="CD204" i="3"/>
  <c r="CD183" i="3"/>
  <c r="CD175" i="3"/>
  <c r="CD188" i="3"/>
  <c r="CD208" i="3"/>
  <c r="CD174" i="3"/>
  <c r="CD172" i="3"/>
  <c r="CD182" i="3"/>
  <c r="CD199" i="3"/>
  <c r="CD207" i="3"/>
  <c r="CD206" i="3"/>
  <c r="CD198" i="3"/>
  <c r="CD190" i="3"/>
  <c r="CD181" i="3"/>
  <c r="CD197" i="3"/>
  <c r="CD205" i="3"/>
  <c r="CD180" i="3"/>
  <c r="CD195" i="3"/>
  <c r="CD173" i="3"/>
  <c r="CD201" i="3"/>
  <c r="CD196" i="3"/>
  <c r="CD187" i="3"/>
  <c r="CD200" i="3"/>
  <c r="CD194" i="3"/>
  <c r="CD170" i="3"/>
  <c r="CD179" i="3"/>
  <c r="CD171" i="3"/>
  <c r="CD203" i="3"/>
  <c r="CD193" i="3"/>
  <c r="CD191" i="3"/>
  <c r="CD186" i="3"/>
  <c r="CD192" i="3"/>
  <c r="CD169" i="3"/>
  <c r="CD202" i="3"/>
  <c r="CD189" i="3"/>
  <c r="CD185" i="3"/>
  <c r="CD178" i="3"/>
  <c r="F195" i="3"/>
  <c r="F205" i="3"/>
  <c r="F178" i="3"/>
  <c r="F170" i="3"/>
  <c r="F202" i="3"/>
  <c r="F192" i="3"/>
  <c r="F194" i="3"/>
  <c r="F203" i="3"/>
  <c r="F207" i="3"/>
  <c r="F177" i="3"/>
  <c r="F169" i="3"/>
  <c r="F209" i="3"/>
  <c r="F191" i="3"/>
  <c r="F190" i="3"/>
  <c r="F201" i="3"/>
  <c r="F175" i="3"/>
  <c r="F173" i="3"/>
  <c r="F200" i="3"/>
  <c r="F199" i="3"/>
  <c r="F204" i="3"/>
  <c r="F206" i="3"/>
  <c r="F193" i="3"/>
  <c r="F188" i="3"/>
  <c r="F182" i="3"/>
  <c r="F171" i="3"/>
  <c r="F189" i="3"/>
  <c r="F180" i="3"/>
  <c r="F198" i="3"/>
  <c r="F184" i="3"/>
  <c r="F187" i="3"/>
  <c r="F174" i="3"/>
  <c r="F181" i="3"/>
  <c r="F183" i="3"/>
  <c r="F185" i="3"/>
  <c r="F197" i="3"/>
  <c r="F176" i="3"/>
  <c r="F186" i="3"/>
  <c r="F196" i="3"/>
  <c r="F179" i="3"/>
  <c r="F208" i="3"/>
  <c r="F172" i="3"/>
  <c r="CE182" i="3"/>
  <c r="CE183" i="3"/>
  <c r="CE193" i="3"/>
  <c r="CE198" i="3"/>
  <c r="CE181" i="3"/>
  <c r="CE191" i="3"/>
  <c r="CE174" i="3"/>
  <c r="CE180" i="3"/>
  <c r="CE176" i="3"/>
  <c r="CE190" i="3"/>
  <c r="CE197" i="3"/>
  <c r="CE175" i="3"/>
  <c r="CE169" i="3"/>
  <c r="CE179" i="3"/>
  <c r="CE196" i="3"/>
  <c r="CE173" i="3"/>
  <c r="CE177" i="3"/>
  <c r="CE205" i="3"/>
  <c r="CE188" i="3"/>
  <c r="CE204" i="3"/>
  <c r="CE189" i="3"/>
  <c r="CE172" i="3"/>
  <c r="CE187" i="3"/>
  <c r="CE171" i="3"/>
  <c r="CE208" i="3"/>
  <c r="CE209" i="3"/>
  <c r="CE203" i="3"/>
  <c r="CE194" i="3"/>
  <c r="CE186" i="3"/>
  <c r="CE170" i="3"/>
  <c r="CE202" i="3"/>
  <c r="CE178" i="3"/>
  <c r="CE207" i="3"/>
  <c r="CE201" i="3"/>
  <c r="CE185" i="3"/>
  <c r="CE192" i="3"/>
  <c r="CE206" i="3"/>
  <c r="CE199" i="3"/>
  <c r="CE195" i="3"/>
  <c r="CE184" i="3"/>
  <c r="CE200" i="3"/>
  <c r="E170" i="3"/>
  <c r="E176" i="3"/>
  <c r="E203" i="3"/>
  <c r="E209" i="3"/>
  <c r="E201" i="3"/>
  <c r="E186" i="3"/>
  <c r="E175" i="3"/>
  <c r="E185" i="3"/>
  <c r="E202" i="3"/>
  <c r="E208" i="3"/>
  <c r="E169" i="3"/>
  <c r="E184" i="3"/>
  <c r="E174" i="3"/>
  <c r="E207" i="3"/>
  <c r="E198" i="3"/>
  <c r="E200" i="3"/>
  <c r="E192" i="3"/>
  <c r="E191" i="3"/>
  <c r="E183" i="3"/>
  <c r="E190" i="3"/>
  <c r="E181" i="3"/>
  <c r="E199" i="3"/>
  <c r="E206" i="3"/>
  <c r="E189" i="3"/>
  <c r="E194" i="3"/>
  <c r="E173" i="3"/>
  <c r="E196" i="3"/>
  <c r="E197" i="3"/>
  <c r="E179" i="3"/>
  <c r="E195" i="3"/>
  <c r="E193" i="3"/>
  <c r="E204" i="3"/>
  <c r="E172" i="3"/>
  <c r="E205" i="3"/>
  <c r="E187" i="3"/>
  <c r="E178" i="3"/>
  <c r="E177" i="3"/>
  <c r="E188" i="3"/>
  <c r="E182" i="3"/>
  <c r="E171" i="3"/>
  <c r="E180" i="3"/>
  <c r="BD206" i="3"/>
  <c r="BD182" i="3"/>
  <c r="BD172" i="3"/>
  <c r="BD179" i="3"/>
  <c r="BD190" i="3"/>
  <c r="BD181" i="3"/>
  <c r="BD194" i="3"/>
  <c r="BD195" i="3"/>
  <c r="BD174" i="3"/>
  <c r="BD180" i="3"/>
  <c r="BD188" i="3"/>
  <c r="BD187" i="3"/>
  <c r="BD204" i="3"/>
  <c r="BD209" i="3"/>
  <c r="BD171" i="3"/>
  <c r="BD170" i="3"/>
  <c r="BD208" i="3"/>
  <c r="BD193" i="3"/>
  <c r="BD203" i="3"/>
  <c r="BD178" i="3"/>
  <c r="BD192" i="3"/>
  <c r="BD169" i="3"/>
  <c r="BD189" i="3"/>
  <c r="BD186" i="3"/>
  <c r="BD207" i="3"/>
  <c r="BD191" i="3"/>
  <c r="BD177" i="3"/>
  <c r="BD202" i="3"/>
  <c r="BD205" i="3"/>
  <c r="BD200" i="3"/>
  <c r="BD185" i="3"/>
  <c r="BD176" i="3"/>
  <c r="BD201" i="3"/>
  <c r="BD198" i="3"/>
  <c r="BD184" i="3"/>
  <c r="BD175" i="3"/>
  <c r="BD197" i="3"/>
  <c r="BD173" i="3"/>
  <c r="BD196" i="3"/>
  <c r="BD183" i="3"/>
  <c r="BD199" i="3"/>
  <c r="AQ193" i="3"/>
  <c r="AQ185" i="3"/>
  <c r="AQ169" i="3"/>
  <c r="AQ196" i="3"/>
  <c r="AQ177" i="3"/>
  <c r="AQ184" i="3"/>
  <c r="AQ186" i="3"/>
  <c r="AQ194" i="3"/>
  <c r="AQ183" i="3"/>
  <c r="AQ170" i="3"/>
  <c r="AQ176" i="3"/>
  <c r="AQ204" i="3"/>
  <c r="AQ198" i="3"/>
  <c r="AQ182" i="3"/>
  <c r="AQ180" i="3"/>
  <c r="AQ208" i="3"/>
  <c r="AQ191" i="3"/>
  <c r="AQ203" i="3"/>
  <c r="AQ195" i="3"/>
  <c r="AQ174" i="3"/>
  <c r="AQ181" i="3"/>
  <c r="AQ187" i="3"/>
  <c r="AQ190" i="3"/>
  <c r="AQ207" i="3"/>
  <c r="AQ202" i="3"/>
  <c r="AQ192" i="3"/>
  <c r="AQ173" i="3"/>
  <c r="AQ201" i="3"/>
  <c r="AQ205" i="3"/>
  <c r="AQ206" i="3"/>
  <c r="AQ179" i="3"/>
  <c r="AQ199" i="3"/>
  <c r="AQ189" i="3"/>
  <c r="AQ200" i="3"/>
  <c r="AQ172" i="3"/>
  <c r="AQ178" i="3"/>
  <c r="AQ175" i="3"/>
  <c r="AQ209" i="3"/>
  <c r="AQ197" i="3"/>
  <c r="AQ188" i="3"/>
  <c r="AQ171" i="3"/>
  <c r="BQ191" i="3"/>
  <c r="BQ196" i="3"/>
  <c r="BQ172" i="3"/>
  <c r="BQ195" i="3"/>
  <c r="BQ203" i="3"/>
  <c r="BQ182" i="3"/>
  <c r="BQ209" i="3"/>
  <c r="BQ194" i="3"/>
  <c r="BQ170" i="3"/>
  <c r="BQ180" i="3"/>
  <c r="BQ190" i="3"/>
  <c r="BQ186" i="3"/>
  <c r="BQ187" i="3"/>
  <c r="BQ208" i="3"/>
  <c r="BQ205" i="3"/>
  <c r="BQ185" i="3"/>
  <c r="BQ171" i="3"/>
  <c r="BQ189" i="3"/>
  <c r="BQ183" i="3"/>
  <c r="BQ188" i="3"/>
  <c r="BQ201" i="3"/>
  <c r="BQ207" i="3"/>
  <c r="BQ181" i="3"/>
  <c r="BQ169" i="3"/>
  <c r="BQ204" i="3"/>
  <c r="BQ179" i="3"/>
  <c r="BQ200" i="3"/>
  <c r="BQ176" i="3"/>
  <c r="BQ178" i="3"/>
  <c r="BQ199" i="3"/>
  <c r="BQ184" i="3"/>
  <c r="BQ202" i="3"/>
  <c r="BQ177" i="3"/>
  <c r="BQ193" i="3"/>
  <c r="BQ175" i="3"/>
  <c r="BQ206" i="3"/>
  <c r="BQ174" i="3"/>
  <c r="BQ173" i="3"/>
  <c r="BQ198" i="3"/>
  <c r="BQ192" i="3"/>
  <c r="BQ197" i="3"/>
  <c r="AR169" i="3" a="1"/>
  <c r="AX156" i="3"/>
  <c r="AS169" i="3" s="1" a="1"/>
  <c r="CK156" i="3"/>
  <c r="CF169" i="3" s="1" a="1"/>
  <c r="Q207" i="3"/>
  <c r="Q195" i="3"/>
  <c r="Q190" i="3"/>
  <c r="Q194" i="3"/>
  <c r="Q185" i="3"/>
  <c r="Q175" i="3"/>
  <c r="Q199" i="3"/>
  <c r="Q203" i="3"/>
  <c r="Q191" i="3"/>
  <c r="Q173" i="3"/>
  <c r="Q184" i="3"/>
  <c r="Q188" i="3"/>
  <c r="Q200" i="3"/>
  <c r="Q180" i="3"/>
  <c r="Q208" i="3"/>
  <c r="Q202" i="3"/>
  <c r="Q187" i="3"/>
  <c r="Q196" i="3"/>
  <c r="Q204" i="3"/>
  <c r="Q192" i="3"/>
  <c r="Q183" i="3"/>
  <c r="Q177" i="3"/>
  <c r="Q176" i="3"/>
  <c r="Q201" i="3"/>
  <c r="Q172" i="3"/>
  <c r="Q178" i="3"/>
  <c r="Q206" i="3"/>
  <c r="Q182" i="3"/>
  <c r="Q171" i="3"/>
  <c r="Q189" i="3"/>
  <c r="Q170" i="3"/>
  <c r="Q174" i="3"/>
  <c r="Q181" i="3"/>
  <c r="Q169" i="3"/>
  <c r="Q193" i="3"/>
  <c r="Q197" i="3"/>
  <c r="Q205" i="3"/>
  <c r="Q198" i="3"/>
  <c r="Q179" i="3"/>
  <c r="Q209" i="3"/>
  <c r="Q186" i="3"/>
  <c r="R184" i="3"/>
  <c r="R191" i="3"/>
  <c r="R205" i="3"/>
  <c r="R185" i="3"/>
  <c r="R198" i="3"/>
  <c r="R203" i="3"/>
  <c r="R190" i="3"/>
  <c r="R182" i="3"/>
  <c r="R183" i="3"/>
  <c r="R189" i="3"/>
  <c r="R208" i="3"/>
  <c r="R204" i="3"/>
  <c r="R196" i="3"/>
  <c r="R202" i="3"/>
  <c r="R188" i="3"/>
  <c r="R195" i="3"/>
  <c r="R173" i="3"/>
  <c r="R197" i="3"/>
  <c r="R192" i="3"/>
  <c r="R180" i="3"/>
  <c r="R181" i="3"/>
  <c r="R174" i="3"/>
  <c r="R172" i="3"/>
  <c r="R169" i="3"/>
  <c r="R201" i="3"/>
  <c r="R175" i="3"/>
  <c r="R179" i="3"/>
  <c r="R177" i="3"/>
  <c r="R171" i="3"/>
  <c r="R178" i="3"/>
  <c r="R206" i="3"/>
  <c r="R186" i="3"/>
  <c r="R194" i="3"/>
  <c r="R200" i="3"/>
  <c r="R170" i="3"/>
  <c r="R176" i="3"/>
  <c r="R207" i="3"/>
  <c r="R199" i="3"/>
  <c r="R209" i="3"/>
  <c r="R193" i="3"/>
  <c r="R187" i="3"/>
  <c r="BF169" i="3" a="1"/>
  <c r="CS169" i="3" a="1"/>
  <c r="BE178" i="3"/>
  <c r="BE188" i="3"/>
  <c r="BE172" i="3"/>
  <c r="BE176" i="3"/>
  <c r="BE194" i="3"/>
  <c r="BE187" i="3"/>
  <c r="BE171" i="3"/>
  <c r="BE207" i="3"/>
  <c r="BE177" i="3"/>
  <c r="BE186" i="3"/>
  <c r="BE170" i="3"/>
  <c r="BE193" i="3"/>
  <c r="BE185" i="3"/>
  <c r="BE206" i="3"/>
  <c r="BE204" i="3"/>
  <c r="BE209" i="3"/>
  <c r="BE184" i="3"/>
  <c r="BE208" i="3"/>
  <c r="BE192" i="3"/>
  <c r="BE205" i="3"/>
  <c r="BE175" i="3"/>
  <c r="BE182" i="3"/>
  <c r="BE191" i="3"/>
  <c r="BE203" i="3"/>
  <c r="BE197" i="3"/>
  <c r="BE174" i="3"/>
  <c r="BE202" i="3"/>
  <c r="BE183" i="3"/>
  <c r="BE196" i="3"/>
  <c r="BE199" i="3"/>
  <c r="BE201" i="3"/>
  <c r="BE180" i="3"/>
  <c r="BE169" i="3"/>
  <c r="BE200" i="3"/>
  <c r="BE198" i="3"/>
  <c r="BE181" i="3"/>
  <c r="BE173" i="3"/>
  <c r="BE190" i="3"/>
  <c r="BE189" i="3"/>
  <c r="BE179" i="3"/>
  <c r="BE195" i="3"/>
  <c r="I117" i="6" l="1"/>
  <c r="J116" i="6"/>
  <c r="G174" i="3"/>
  <c r="G200" i="3"/>
  <c r="G177" i="3"/>
  <c r="AG191" i="3"/>
  <c r="AG189" i="3"/>
  <c r="AG171" i="3"/>
  <c r="G188" i="3"/>
  <c r="AG197" i="3"/>
  <c r="AG172" i="3"/>
  <c r="G204" i="3"/>
  <c r="AG183" i="3"/>
  <c r="AG175" i="3"/>
  <c r="S185" i="3"/>
  <c r="T185" i="3" s="1"/>
  <c r="S188" i="3"/>
  <c r="T188" i="3" s="1"/>
  <c r="AG204" i="3"/>
  <c r="AG176" i="3"/>
  <c r="AG169" i="3"/>
  <c r="AH170" i="3" s="1"/>
  <c r="AG173" i="3"/>
  <c r="S207" i="3"/>
  <c r="T207" i="3" s="1"/>
  <c r="S169" i="3"/>
  <c r="T169" i="3" s="1"/>
  <c r="U170" i="3" s="1"/>
  <c r="G172" i="3"/>
  <c r="AG206" i="3"/>
  <c r="AG174" i="3"/>
  <c r="BT206" i="3"/>
  <c r="BT183" i="3"/>
  <c r="G181" i="3"/>
  <c r="BT201" i="3"/>
  <c r="BT193" i="3"/>
  <c r="G201" i="3"/>
  <c r="AG181" i="3"/>
  <c r="BT196" i="3"/>
  <c r="S174" i="3"/>
  <c r="T174" i="3" s="1"/>
  <c r="BT172" i="3"/>
  <c r="AG187" i="3"/>
  <c r="BT173" i="3"/>
  <c r="BT174" i="3"/>
  <c r="G193" i="3"/>
  <c r="BT175" i="3"/>
  <c r="S205" i="3"/>
  <c r="T205" i="3" s="1"/>
  <c r="BT177" i="3"/>
  <c r="S197" i="3"/>
  <c r="T197" i="3" s="1"/>
  <c r="BT202" i="3"/>
  <c r="BT185" i="3"/>
  <c r="AG182" i="3"/>
  <c r="G191" i="3"/>
  <c r="S201" i="3"/>
  <c r="T201" i="3" s="1"/>
  <c r="S178" i="3"/>
  <c r="T178" i="3" s="1"/>
  <c r="G169" i="3"/>
  <c r="H170" i="3" s="1"/>
  <c r="BT176" i="3"/>
  <c r="G185" i="3"/>
  <c r="S203" i="3"/>
  <c r="T203" i="3" s="1"/>
  <c r="G206" i="3"/>
  <c r="S192" i="3"/>
  <c r="T192" i="3" s="1"/>
  <c r="S184" i="3"/>
  <c r="T184" i="3" s="1"/>
  <c r="S173" i="3"/>
  <c r="T173" i="3" s="1"/>
  <c r="BT178" i="3"/>
  <c r="S176" i="3"/>
  <c r="T176" i="3" s="1"/>
  <c r="BT186" i="3"/>
  <c r="S175" i="3"/>
  <c r="T175" i="3" s="1"/>
  <c r="S187" i="3"/>
  <c r="T187" i="3" s="1"/>
  <c r="S179" i="3"/>
  <c r="T179" i="3" s="1"/>
  <c r="AG185" i="3"/>
  <c r="BT188" i="3"/>
  <c r="S190" i="3"/>
  <c r="T190" i="3" s="1"/>
  <c r="S181" i="3"/>
  <c r="T181" i="3" s="1"/>
  <c r="S206" i="3"/>
  <c r="T206" i="3" s="1"/>
  <c r="S191" i="3"/>
  <c r="T191" i="3" s="1"/>
  <c r="S186" i="3"/>
  <c r="T186" i="3" s="1"/>
  <c r="S183" i="3"/>
  <c r="T183" i="3" s="1"/>
  <c r="BT208" i="3"/>
  <c r="G173" i="3"/>
  <c r="G184" i="3"/>
  <c r="BT187" i="3"/>
  <c r="G198" i="3"/>
  <c r="G180" i="3"/>
  <c r="BT200" i="3"/>
  <c r="G175" i="3"/>
  <c r="G189" i="3"/>
  <c r="G171" i="3"/>
  <c r="G207" i="3"/>
  <c r="S199" i="3"/>
  <c r="T199" i="3" s="1"/>
  <c r="S204" i="3"/>
  <c r="T204" i="3" s="1"/>
  <c r="S209" i="3"/>
  <c r="BT204" i="3"/>
  <c r="BT170" i="3"/>
  <c r="G208" i="3"/>
  <c r="AG207" i="3"/>
  <c r="S196" i="3"/>
  <c r="T196" i="3" s="1"/>
  <c r="BT192" i="3"/>
  <c r="BT169" i="3"/>
  <c r="BU170" i="3" s="1"/>
  <c r="BT194" i="3"/>
  <c r="G178" i="3"/>
  <c r="G179" i="3"/>
  <c r="G194" i="3"/>
  <c r="S194" i="3"/>
  <c r="T194" i="3" s="1"/>
  <c r="S182" i="3"/>
  <c r="T182" i="3" s="1"/>
  <c r="S177" i="3"/>
  <c r="T177" i="3" s="1"/>
  <c r="S200" i="3"/>
  <c r="T200" i="3" s="1"/>
  <c r="BT198" i="3"/>
  <c r="BT181" i="3"/>
  <c r="G196" i="3"/>
  <c r="S170" i="3"/>
  <c r="T170" i="3" s="1"/>
  <c r="S172" i="3"/>
  <c r="T172" i="3" s="1"/>
  <c r="S195" i="3"/>
  <c r="T195" i="3" s="1"/>
  <c r="S202" i="3"/>
  <c r="T202" i="3" s="1"/>
  <c r="S208" i="3"/>
  <c r="T208" i="3" s="1"/>
  <c r="S180" i="3"/>
  <c r="T180" i="3" s="1"/>
  <c r="S198" i="3"/>
  <c r="T198" i="3" s="1"/>
  <c r="S193" i="3"/>
  <c r="T193" i="3" s="1"/>
  <c r="S189" i="3"/>
  <c r="T189" i="3" s="1"/>
  <c r="BT207" i="3"/>
  <c r="BT182" i="3"/>
  <c r="G176" i="3"/>
  <c r="AR198" i="3"/>
  <c r="AR207" i="3"/>
  <c r="AR181" i="3"/>
  <c r="AR179" i="3"/>
  <c r="AR193" i="3"/>
  <c r="AR197" i="3"/>
  <c r="AR205" i="3"/>
  <c r="AR180" i="3"/>
  <c r="AR177" i="3"/>
  <c r="AR204" i="3"/>
  <c r="AR171" i="3"/>
  <c r="AR202" i="3"/>
  <c r="AR191" i="3"/>
  <c r="AR192" i="3"/>
  <c r="AR196" i="3"/>
  <c r="AR183" i="3"/>
  <c r="AR194" i="3"/>
  <c r="AR199" i="3"/>
  <c r="AR170" i="3"/>
  <c r="AR195" i="3"/>
  <c r="AR203" i="3"/>
  <c r="AR190" i="3"/>
  <c r="AR178" i="3"/>
  <c r="AR186" i="3"/>
  <c r="AR189" i="3"/>
  <c r="AR176" i="3"/>
  <c r="AR169" i="3"/>
  <c r="AR188" i="3"/>
  <c r="AR175" i="3"/>
  <c r="AR201" i="3"/>
  <c r="AR209" i="3"/>
  <c r="AR174" i="3"/>
  <c r="AR184" i="3"/>
  <c r="AR187" i="3"/>
  <c r="AR173" i="3"/>
  <c r="AR200" i="3"/>
  <c r="AR185" i="3"/>
  <c r="AR182" i="3"/>
  <c r="AR208" i="3"/>
  <c r="AR172" i="3"/>
  <c r="AR206" i="3"/>
  <c r="AG195" i="3"/>
  <c r="BT190" i="3"/>
  <c r="G182" i="3"/>
  <c r="G203" i="3"/>
  <c r="BT199" i="3"/>
  <c r="AS190" i="3"/>
  <c r="AS185" i="3"/>
  <c r="AS172" i="3"/>
  <c r="AS206" i="3"/>
  <c r="AS205" i="3"/>
  <c r="AS201" i="3"/>
  <c r="AS204" i="3"/>
  <c r="AS173" i="3"/>
  <c r="AS189" i="3"/>
  <c r="AS179" i="3"/>
  <c r="AS203" i="3"/>
  <c r="AS200" i="3"/>
  <c r="AS202" i="3"/>
  <c r="AS195" i="3"/>
  <c r="AS177" i="3"/>
  <c r="AS186" i="3"/>
  <c r="AS178" i="3"/>
  <c r="AS199" i="3"/>
  <c r="AS184" i="3"/>
  <c r="AS176" i="3"/>
  <c r="AS198" i="3"/>
  <c r="AS182" i="3"/>
  <c r="AS193" i="3"/>
  <c r="AS171" i="3"/>
  <c r="AS183" i="3"/>
  <c r="AS209" i="3"/>
  <c r="AS170" i="3"/>
  <c r="AS181" i="3"/>
  <c r="AS194" i="3"/>
  <c r="AS192" i="3"/>
  <c r="AS197" i="3"/>
  <c r="AS180" i="3"/>
  <c r="AS175" i="3"/>
  <c r="AS169" i="3"/>
  <c r="AS208" i="3"/>
  <c r="AS196" i="3"/>
  <c r="AS191" i="3"/>
  <c r="AS188" i="3"/>
  <c r="AS187" i="3"/>
  <c r="AS174" i="3"/>
  <c r="AS207" i="3"/>
  <c r="BT179" i="3"/>
  <c r="AG208" i="3"/>
  <c r="AG180" i="3"/>
  <c r="AG178" i="3"/>
  <c r="BT180" i="3"/>
  <c r="CS172" i="3"/>
  <c r="CT172" i="3" s="1"/>
  <c r="CS184" i="3"/>
  <c r="CT184" i="3" s="1"/>
  <c r="CS177" i="3"/>
  <c r="CT177" i="3" s="1"/>
  <c r="CS180" i="3"/>
  <c r="CT180" i="3" s="1"/>
  <c r="CS206" i="3"/>
  <c r="CT206" i="3" s="1"/>
  <c r="CS209" i="3"/>
  <c r="CS202" i="3"/>
  <c r="CT202" i="3" s="1"/>
  <c r="CS174" i="3"/>
  <c r="CT174" i="3" s="1"/>
  <c r="CS190" i="3"/>
  <c r="CT190" i="3" s="1"/>
  <c r="CS201" i="3"/>
  <c r="CT201" i="3" s="1"/>
  <c r="CS193" i="3"/>
  <c r="CT193" i="3" s="1"/>
  <c r="CS192" i="3"/>
  <c r="CT192" i="3" s="1"/>
  <c r="CS185" i="3"/>
  <c r="CT185" i="3" s="1"/>
  <c r="CS171" i="3"/>
  <c r="CT171" i="3" s="1"/>
  <c r="CS200" i="3"/>
  <c r="CT200" i="3" s="1"/>
  <c r="CS189" i="3"/>
  <c r="CT189" i="3" s="1"/>
  <c r="CS181" i="3"/>
  <c r="CT181" i="3" s="1"/>
  <c r="CS208" i="3"/>
  <c r="CT208" i="3" s="1"/>
  <c r="CS199" i="3"/>
  <c r="CT199" i="3" s="1"/>
  <c r="CS183" i="3"/>
  <c r="CT183" i="3" s="1"/>
  <c r="CS188" i="3"/>
  <c r="CT188" i="3" s="1"/>
  <c r="CS198" i="3"/>
  <c r="CT198" i="3" s="1"/>
  <c r="CS194" i="3"/>
  <c r="CT194" i="3" s="1"/>
  <c r="CS175" i="3"/>
  <c r="CT175" i="3" s="1"/>
  <c r="CS170" i="3"/>
  <c r="CT170" i="3" s="1"/>
  <c r="CS182" i="3"/>
  <c r="CT182" i="3" s="1"/>
  <c r="CS205" i="3"/>
  <c r="CT205" i="3" s="1"/>
  <c r="CS191" i="3"/>
  <c r="CT191" i="3" s="1"/>
  <c r="CS197" i="3"/>
  <c r="CT197" i="3" s="1"/>
  <c r="CS207" i="3"/>
  <c r="CT207" i="3" s="1"/>
  <c r="CS178" i="3"/>
  <c r="CT178" i="3" s="1"/>
  <c r="CS196" i="3"/>
  <c r="CT196" i="3" s="1"/>
  <c r="CS169" i="3"/>
  <c r="CT169" i="3" s="1"/>
  <c r="CS176" i="3"/>
  <c r="CT176" i="3" s="1"/>
  <c r="CS186" i="3"/>
  <c r="CT186" i="3" s="1"/>
  <c r="CS179" i="3"/>
  <c r="CT179" i="3" s="1"/>
  <c r="CS187" i="3"/>
  <c r="CT187" i="3" s="1"/>
  <c r="CS203" i="3"/>
  <c r="CT203" i="3" s="1"/>
  <c r="CS195" i="3"/>
  <c r="CT195" i="3" s="1"/>
  <c r="CS204" i="3"/>
  <c r="CT204" i="3" s="1"/>
  <c r="CS173" i="3"/>
  <c r="CT173" i="3" s="1"/>
  <c r="G192" i="3"/>
  <c r="AG205" i="3"/>
  <c r="G186" i="3"/>
  <c r="G202" i="3"/>
  <c r="AG201" i="3"/>
  <c r="AG200" i="3"/>
  <c r="AG177" i="3"/>
  <c r="BT191" i="3"/>
  <c r="BF189" i="3"/>
  <c r="BG189" i="3" s="1"/>
  <c r="BF179" i="3"/>
  <c r="BG179" i="3" s="1"/>
  <c r="BF192" i="3"/>
  <c r="BG192" i="3" s="1"/>
  <c r="BF172" i="3"/>
  <c r="BG172" i="3" s="1"/>
  <c r="BF208" i="3"/>
  <c r="BG208" i="3" s="1"/>
  <c r="BF191" i="3"/>
  <c r="BG191" i="3" s="1"/>
  <c r="BF177" i="3"/>
  <c r="BG177" i="3" s="1"/>
  <c r="BF205" i="3"/>
  <c r="BG205" i="3" s="1"/>
  <c r="BF178" i="3"/>
  <c r="BG178" i="3" s="1"/>
  <c r="BF190" i="3"/>
  <c r="BG190" i="3" s="1"/>
  <c r="BF171" i="3"/>
  <c r="BG171" i="3" s="1"/>
  <c r="BF181" i="3"/>
  <c r="BG181" i="3" s="1"/>
  <c r="BF188" i="3"/>
  <c r="BG188" i="3" s="1"/>
  <c r="BF207" i="3"/>
  <c r="BG207" i="3" s="1"/>
  <c r="BF182" i="3"/>
  <c r="BG182" i="3" s="1"/>
  <c r="BF204" i="3"/>
  <c r="BG204" i="3" s="1"/>
  <c r="BF199" i="3"/>
  <c r="BG199" i="3" s="1"/>
  <c r="BF203" i="3"/>
  <c r="BG203" i="3" s="1"/>
  <c r="BF187" i="3"/>
  <c r="BG187" i="3" s="1"/>
  <c r="BF176" i="3"/>
  <c r="BG176" i="3" s="1"/>
  <c r="BF175" i="3"/>
  <c r="BG175" i="3" s="1"/>
  <c r="BF169" i="3"/>
  <c r="BG169" i="3" s="1"/>
  <c r="BF198" i="3"/>
  <c r="BG198" i="3" s="1"/>
  <c r="BF185" i="3"/>
  <c r="BG185" i="3" s="1"/>
  <c r="BF197" i="3"/>
  <c r="BG197" i="3" s="1"/>
  <c r="BF186" i="3"/>
  <c r="BG186" i="3" s="1"/>
  <c r="BF201" i="3"/>
  <c r="BG201" i="3" s="1"/>
  <c r="BF174" i="3"/>
  <c r="BG174" i="3" s="1"/>
  <c r="BF195" i="3"/>
  <c r="BG195" i="3" s="1"/>
  <c r="BF184" i="3"/>
  <c r="BG184" i="3" s="1"/>
  <c r="BF196" i="3"/>
  <c r="BG196" i="3" s="1"/>
  <c r="BF202" i="3"/>
  <c r="BG202" i="3" s="1"/>
  <c r="BF200" i="3"/>
  <c r="BG200" i="3" s="1"/>
  <c r="BF173" i="3"/>
  <c r="BG173" i="3" s="1"/>
  <c r="BF183" i="3"/>
  <c r="BG183" i="3" s="1"/>
  <c r="BF206" i="3"/>
  <c r="BG206" i="3" s="1"/>
  <c r="BF180" i="3"/>
  <c r="BG180" i="3" s="1"/>
  <c r="BF193" i="3"/>
  <c r="BG193" i="3" s="1"/>
  <c r="BF209" i="3"/>
  <c r="BF170" i="3"/>
  <c r="BG170" i="3" s="1"/>
  <c r="BF194" i="3"/>
  <c r="BG194" i="3" s="1"/>
  <c r="G170" i="3"/>
  <c r="AG199" i="3"/>
  <c r="G197" i="3"/>
  <c r="G199" i="3"/>
  <c r="AG198" i="3"/>
  <c r="AG203" i="3"/>
  <c r="AG186" i="3"/>
  <c r="BT203" i="3"/>
  <c r="G205" i="3"/>
  <c r="AG170" i="3"/>
  <c r="AG193" i="3"/>
  <c r="BT195" i="3"/>
  <c r="G183" i="3"/>
  <c r="G195" i="3"/>
  <c r="AG192" i="3"/>
  <c r="AG190" i="3"/>
  <c r="AG194" i="3"/>
  <c r="BT189" i="3"/>
  <c r="AG188" i="3"/>
  <c r="BT171" i="3"/>
  <c r="G187" i="3"/>
  <c r="G190" i="3"/>
  <c r="AG179" i="3"/>
  <c r="DF171" i="3"/>
  <c r="DG171" i="3" s="1"/>
  <c r="DF201" i="3"/>
  <c r="DG201" i="3" s="1"/>
  <c r="DF196" i="3"/>
  <c r="DG196" i="3" s="1"/>
  <c r="DF173" i="3"/>
  <c r="DG173" i="3" s="1"/>
  <c r="DF207" i="3"/>
  <c r="DG207" i="3" s="1"/>
  <c r="DF206" i="3"/>
  <c r="DG206" i="3" s="1"/>
  <c r="DF193" i="3"/>
  <c r="DG193" i="3" s="1"/>
  <c r="DF200" i="3"/>
  <c r="DG200" i="3" s="1"/>
  <c r="DF175" i="3"/>
  <c r="DG175" i="3" s="1"/>
  <c r="DF203" i="3"/>
  <c r="DG203" i="3" s="1"/>
  <c r="DF169" i="3"/>
  <c r="DG169" i="3" s="1"/>
  <c r="DF199" i="3"/>
  <c r="DG199" i="3" s="1"/>
  <c r="DF209" i="3"/>
  <c r="DF178" i="3"/>
  <c r="DG178" i="3" s="1"/>
  <c r="DF183" i="3"/>
  <c r="DG183" i="3" s="1"/>
  <c r="DF191" i="3"/>
  <c r="DG191" i="3" s="1"/>
  <c r="DF182" i="3"/>
  <c r="DG182" i="3" s="1"/>
  <c r="DF192" i="3"/>
  <c r="DG192" i="3" s="1"/>
  <c r="DF180" i="3"/>
  <c r="DG180" i="3" s="1"/>
  <c r="DF197" i="3"/>
  <c r="DG197" i="3" s="1"/>
  <c r="DF170" i="3"/>
  <c r="DG170" i="3" s="1"/>
  <c r="DF208" i="3"/>
  <c r="DG208" i="3" s="1"/>
  <c r="DF187" i="3"/>
  <c r="DG187" i="3" s="1"/>
  <c r="DF181" i="3"/>
  <c r="DG181" i="3" s="1"/>
  <c r="DF186" i="3"/>
  <c r="DG186" i="3" s="1"/>
  <c r="DF174" i="3"/>
  <c r="DG174" i="3" s="1"/>
  <c r="DF205" i="3"/>
  <c r="DG205" i="3" s="1"/>
  <c r="DF189" i="3"/>
  <c r="DG189" i="3" s="1"/>
  <c r="DF176" i="3"/>
  <c r="DG176" i="3" s="1"/>
  <c r="DF185" i="3"/>
  <c r="DG185" i="3" s="1"/>
  <c r="DF179" i="3"/>
  <c r="DG179" i="3" s="1"/>
  <c r="DF195" i="3"/>
  <c r="DG195" i="3" s="1"/>
  <c r="DF204" i="3"/>
  <c r="DG204" i="3" s="1"/>
  <c r="DF198" i="3"/>
  <c r="DG198" i="3" s="1"/>
  <c r="DF177" i="3"/>
  <c r="DG177" i="3" s="1"/>
  <c r="DF172" i="3"/>
  <c r="DG172" i="3" s="1"/>
  <c r="DF190" i="3"/>
  <c r="DG190" i="3" s="1"/>
  <c r="DF194" i="3"/>
  <c r="DG194" i="3" s="1"/>
  <c r="DF184" i="3"/>
  <c r="DG184" i="3" s="1"/>
  <c r="DF188" i="3"/>
  <c r="DG188" i="3" s="1"/>
  <c r="DF202" i="3"/>
  <c r="DG202" i="3" s="1"/>
  <c r="T171" i="3"/>
  <c r="BT184" i="3"/>
  <c r="BT205" i="3"/>
  <c r="AG202" i="3"/>
  <c r="AG184" i="3"/>
  <c r="BT197" i="3"/>
  <c r="CF194" i="3"/>
  <c r="CG194" i="3" s="1"/>
  <c r="CF193" i="3"/>
  <c r="CG193" i="3" s="1"/>
  <c r="CF202" i="3"/>
  <c r="CG202" i="3" s="1"/>
  <c r="CF190" i="3"/>
  <c r="CG190" i="3" s="1"/>
  <c r="CF176" i="3"/>
  <c r="CG176" i="3" s="1"/>
  <c r="CF189" i="3"/>
  <c r="CG189" i="3" s="1"/>
  <c r="CF199" i="3"/>
  <c r="CG199" i="3" s="1"/>
  <c r="CF170" i="3"/>
  <c r="CG170" i="3" s="1"/>
  <c r="CF182" i="3"/>
  <c r="CG182" i="3" s="1"/>
  <c r="CF192" i="3"/>
  <c r="CG192" i="3" s="1"/>
  <c r="CF188" i="3"/>
  <c r="CG188" i="3" s="1"/>
  <c r="CF187" i="3"/>
  <c r="CG187" i="3" s="1"/>
  <c r="CF171" i="3"/>
  <c r="CG171" i="3" s="1"/>
  <c r="CF174" i="3"/>
  <c r="CG174" i="3" s="1"/>
  <c r="CF181" i="3"/>
  <c r="CG181" i="3" s="1"/>
  <c r="CF186" i="3"/>
  <c r="CG186" i="3" s="1"/>
  <c r="CF191" i="3"/>
  <c r="CG191" i="3" s="1"/>
  <c r="CF179" i="3"/>
  <c r="CG179" i="3" s="1"/>
  <c r="CF209" i="3"/>
  <c r="CF180" i="3"/>
  <c r="CG180" i="3" s="1"/>
  <c r="CF185" i="3"/>
  <c r="CG185" i="3" s="1"/>
  <c r="CF177" i="3"/>
  <c r="CG177" i="3" s="1"/>
  <c r="CF204" i="3"/>
  <c r="CG204" i="3" s="1"/>
  <c r="CF173" i="3"/>
  <c r="CG173" i="3" s="1"/>
  <c r="CF178" i="3"/>
  <c r="CG178" i="3" s="1"/>
  <c r="CF197" i="3"/>
  <c r="CG197" i="3" s="1"/>
  <c r="CF198" i="3"/>
  <c r="CG198" i="3" s="1"/>
  <c r="CF208" i="3"/>
  <c r="CG208" i="3" s="1"/>
  <c r="CF207" i="3"/>
  <c r="CG207" i="3" s="1"/>
  <c r="CF196" i="3"/>
  <c r="CG196" i="3" s="1"/>
  <c r="CF172" i="3"/>
  <c r="CG172" i="3" s="1"/>
  <c r="CF206" i="3"/>
  <c r="CG206" i="3" s="1"/>
  <c r="CF195" i="3"/>
  <c r="CG195" i="3" s="1"/>
  <c r="CF183" i="3"/>
  <c r="CG183" i="3" s="1"/>
  <c r="CF175" i="3"/>
  <c r="CG175" i="3" s="1"/>
  <c r="CF205" i="3"/>
  <c r="CG205" i="3" s="1"/>
  <c r="CF203" i="3"/>
  <c r="CG203" i="3" s="1"/>
  <c r="CF200" i="3"/>
  <c r="CG200" i="3" s="1"/>
  <c r="CF169" i="3"/>
  <c r="CG169" i="3" s="1"/>
  <c r="CF184" i="3"/>
  <c r="CG184" i="3" s="1"/>
  <c r="CF201" i="3"/>
  <c r="CG201" i="3" s="1"/>
  <c r="AG196" i="3"/>
  <c r="I118" i="6" l="1"/>
  <c r="J117" i="6"/>
  <c r="AA166" i="3"/>
  <c r="A166" i="3"/>
  <c r="AT170" i="3"/>
  <c r="AT181" i="3"/>
  <c r="AT171" i="3"/>
  <c r="AT187" i="3"/>
  <c r="AT182" i="3"/>
  <c r="AT202" i="3"/>
  <c r="AT207" i="3"/>
  <c r="AT208" i="3"/>
  <c r="AT178" i="3"/>
  <c r="AT172" i="3"/>
  <c r="AT203" i="3"/>
  <c r="AT206" i="3"/>
  <c r="N166" i="3"/>
  <c r="AT193" i="3"/>
  <c r="AT179" i="3"/>
  <c r="AT199" i="3"/>
  <c r="AT183" i="3"/>
  <c r="AT180" i="3"/>
  <c r="AT186" i="3"/>
  <c r="AT204" i="3"/>
  <c r="AT205" i="3"/>
  <c r="AT173" i="3"/>
  <c r="BN166" i="3"/>
  <c r="AT185" i="3"/>
  <c r="AT194" i="3"/>
  <c r="AT174" i="3"/>
  <c r="AT197" i="3"/>
  <c r="AT201" i="3"/>
  <c r="AT195" i="3"/>
  <c r="AT175" i="3"/>
  <c r="AT191" i="3"/>
  <c r="AT188" i="3"/>
  <c r="AT200" i="3"/>
  <c r="AT189" i="3"/>
  <c r="AT192" i="3"/>
  <c r="AT169" i="3"/>
  <c r="AN166" i="3" s="1"/>
  <c r="AT177" i="3"/>
  <c r="AT198" i="3"/>
  <c r="AT196" i="3"/>
  <c r="AT176" i="3"/>
  <c r="AT184" i="3"/>
  <c r="AT190" i="3"/>
  <c r="DA166" i="3"/>
  <c r="DH170" i="3"/>
  <c r="BU171" i="3"/>
  <c r="BU172" i="3" s="1"/>
  <c r="BU173" i="3" s="1"/>
  <c r="BU174" i="3" s="1"/>
  <c r="BU175" i="3" s="1"/>
  <c r="BU176" i="3" s="1"/>
  <c r="BU177" i="3" s="1"/>
  <c r="BU178" i="3" s="1"/>
  <c r="BU179" i="3" s="1"/>
  <c r="BU180" i="3" s="1"/>
  <c r="BU181" i="3" s="1"/>
  <c r="BU182" i="3" s="1"/>
  <c r="BU183" i="3" s="1"/>
  <c r="BU184" i="3" s="1"/>
  <c r="BU185" i="3" s="1"/>
  <c r="BU186" i="3" s="1"/>
  <c r="BU187" i="3" s="1"/>
  <c r="BU188" i="3" s="1"/>
  <c r="BU189" i="3" s="1"/>
  <c r="BU190" i="3" s="1"/>
  <c r="BU191" i="3" s="1"/>
  <c r="BU192" i="3" s="1"/>
  <c r="BU193" i="3" s="1"/>
  <c r="BU194" i="3" s="1"/>
  <c r="BU195" i="3" s="1"/>
  <c r="BU196" i="3" s="1"/>
  <c r="BU197" i="3" s="1"/>
  <c r="BU198" i="3" s="1"/>
  <c r="BU199" i="3" s="1"/>
  <c r="BU200" i="3" s="1"/>
  <c r="BU201" i="3" s="1"/>
  <c r="BU202" i="3" s="1"/>
  <c r="BU203" i="3" s="1"/>
  <c r="BU204" i="3" s="1"/>
  <c r="BU205" i="3" s="1"/>
  <c r="BU206" i="3" s="1"/>
  <c r="BU207" i="3" s="1"/>
  <c r="BU208" i="3" s="1"/>
  <c r="BU209" i="3" s="1"/>
  <c r="BV170" i="3" s="1" a="1"/>
  <c r="BW170" i="3" a="1"/>
  <c r="BH170" i="3"/>
  <c r="BA166" i="3"/>
  <c r="AH171" i="3"/>
  <c r="H171" i="3"/>
  <c r="CU170" i="3"/>
  <c r="CN166" i="3"/>
  <c r="CA166" i="3"/>
  <c r="CH170" i="3"/>
  <c r="U171" i="3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U203" i="3" s="1"/>
  <c r="U204" i="3" s="1"/>
  <c r="U205" i="3" s="1"/>
  <c r="U206" i="3" s="1"/>
  <c r="U207" i="3" s="1"/>
  <c r="U208" i="3" s="1"/>
  <c r="U209" i="3" s="1"/>
  <c r="W170" i="3" a="1"/>
  <c r="I119" i="6" l="1"/>
  <c r="J118" i="6"/>
  <c r="AU170" i="3"/>
  <c r="AH172" i="3"/>
  <c r="AH173" i="3" s="1"/>
  <c r="AH174" i="3" s="1"/>
  <c r="AH175" i="3" s="1"/>
  <c r="AH176" i="3" s="1"/>
  <c r="AH177" i="3" s="1"/>
  <c r="AH178" i="3" s="1"/>
  <c r="AH179" i="3" s="1"/>
  <c r="AH180" i="3" s="1"/>
  <c r="AH181" i="3" s="1"/>
  <c r="AH182" i="3" s="1"/>
  <c r="AH183" i="3" s="1"/>
  <c r="AH184" i="3" s="1"/>
  <c r="AH185" i="3" s="1"/>
  <c r="AH186" i="3" s="1"/>
  <c r="AH187" i="3" s="1"/>
  <c r="AH188" i="3" s="1"/>
  <c r="AH189" i="3" s="1"/>
  <c r="AH190" i="3" s="1"/>
  <c r="AH191" i="3" s="1"/>
  <c r="AH192" i="3" s="1"/>
  <c r="AH193" i="3" s="1"/>
  <c r="AH194" i="3" s="1"/>
  <c r="AH195" i="3" s="1"/>
  <c r="AH196" i="3" s="1"/>
  <c r="AH197" i="3" s="1"/>
  <c r="AH198" i="3" s="1"/>
  <c r="AH199" i="3" s="1"/>
  <c r="AH200" i="3" s="1"/>
  <c r="AH201" i="3" s="1"/>
  <c r="AH202" i="3" s="1"/>
  <c r="AH203" i="3" s="1"/>
  <c r="AH204" i="3" s="1"/>
  <c r="AH205" i="3" s="1"/>
  <c r="AH206" i="3" s="1"/>
  <c r="AH207" i="3" s="1"/>
  <c r="AH208" i="3" s="1"/>
  <c r="AH209" i="3" s="1"/>
  <c r="BW172" i="3"/>
  <c r="BW202" i="3"/>
  <c r="BW198" i="3"/>
  <c r="BW201" i="3"/>
  <c r="BW193" i="3"/>
  <c r="BW200" i="3"/>
  <c r="BW181" i="3"/>
  <c r="BW206" i="3"/>
  <c r="BW171" i="3"/>
  <c r="BW191" i="3"/>
  <c r="BW208" i="3"/>
  <c r="BW175" i="3"/>
  <c r="BW190" i="3"/>
  <c r="BW194" i="3"/>
  <c r="BW189" i="3"/>
  <c r="BW204" i="3"/>
  <c r="BW174" i="3"/>
  <c r="BW170" i="3"/>
  <c r="BW188" i="3"/>
  <c r="BW184" i="3"/>
  <c r="BW180" i="3"/>
  <c r="BW199" i="3"/>
  <c r="BW192" i="3"/>
  <c r="BW176" i="3"/>
  <c r="BW179" i="3"/>
  <c r="BW196" i="3"/>
  <c r="BW173" i="3"/>
  <c r="BW182" i="3"/>
  <c r="BW186" i="3"/>
  <c r="BW207" i="3"/>
  <c r="BW178" i="3"/>
  <c r="BW177" i="3"/>
  <c r="BW197" i="3"/>
  <c r="BW185" i="3"/>
  <c r="BW205" i="3"/>
  <c r="BW187" i="3"/>
  <c r="BW183" i="3"/>
  <c r="BW209" i="3"/>
  <c r="BW203" i="3"/>
  <c r="BW195" i="3"/>
  <c r="DH171" i="3"/>
  <c r="DH172" i="3" s="1"/>
  <c r="DH173" i="3" s="1"/>
  <c r="DH174" i="3" s="1"/>
  <c r="DH175" i="3" s="1"/>
  <c r="DH176" i="3" s="1"/>
  <c r="DH177" i="3" s="1"/>
  <c r="DH178" i="3" s="1"/>
  <c r="DH179" i="3" s="1"/>
  <c r="DH180" i="3" s="1"/>
  <c r="DH181" i="3" s="1"/>
  <c r="DH182" i="3" s="1"/>
  <c r="DH183" i="3" s="1"/>
  <c r="DH184" i="3" s="1"/>
  <c r="DH185" i="3" s="1"/>
  <c r="DH186" i="3" s="1"/>
  <c r="DH187" i="3" s="1"/>
  <c r="DH188" i="3" s="1"/>
  <c r="DH189" i="3" s="1"/>
  <c r="DH190" i="3" s="1"/>
  <c r="DH191" i="3" s="1"/>
  <c r="DH192" i="3" s="1"/>
  <c r="DH193" i="3" s="1"/>
  <c r="DH194" i="3" s="1"/>
  <c r="DH195" i="3" s="1"/>
  <c r="DH196" i="3" s="1"/>
  <c r="DH197" i="3" s="1"/>
  <c r="DH198" i="3" s="1"/>
  <c r="DH199" i="3" s="1"/>
  <c r="DH200" i="3" s="1"/>
  <c r="DH201" i="3" s="1"/>
  <c r="DH202" i="3" s="1"/>
  <c r="DH203" i="3" s="1"/>
  <c r="DH204" i="3" s="1"/>
  <c r="DH205" i="3" s="1"/>
  <c r="DH206" i="3" s="1"/>
  <c r="DH207" i="3" s="1"/>
  <c r="DH208" i="3" s="1"/>
  <c r="DH209" i="3" s="1"/>
  <c r="DI170" i="3" s="1" a="1"/>
  <c r="DJ170" i="3" a="1"/>
  <c r="BV184" i="3"/>
  <c r="BV198" i="3"/>
  <c r="BV175" i="3"/>
  <c r="BV201" i="3"/>
  <c r="BV196" i="3"/>
  <c r="BV173" i="3"/>
  <c r="BV194" i="3"/>
  <c r="BV193" i="3"/>
  <c r="BV192" i="3"/>
  <c r="BV205" i="3"/>
  <c r="BV187" i="3"/>
  <c r="BV182" i="3"/>
  <c r="BV185" i="3"/>
  <c r="BV200" i="3"/>
  <c r="BV180" i="3"/>
  <c r="BV181" i="3"/>
  <c r="BV178" i="3"/>
  <c r="BV174" i="3"/>
  <c r="BV190" i="3"/>
  <c r="BV171" i="3"/>
  <c r="BV170" i="3"/>
  <c r="BV186" i="3"/>
  <c r="BV197" i="3"/>
  <c r="BV177" i="3"/>
  <c r="BV188" i="3"/>
  <c r="BV179" i="3"/>
  <c r="BV176" i="3"/>
  <c r="BV183" i="3"/>
  <c r="BV208" i="3"/>
  <c r="BV202" i="3"/>
  <c r="BV191" i="3"/>
  <c r="BV199" i="3"/>
  <c r="BV195" i="3"/>
  <c r="BV209" i="3"/>
  <c r="BV189" i="3"/>
  <c r="BV204" i="3"/>
  <c r="BV206" i="3"/>
  <c r="BV172" i="3"/>
  <c r="BV207" i="3"/>
  <c r="BV203" i="3"/>
  <c r="W172" i="3"/>
  <c r="W205" i="3"/>
  <c r="W198" i="3"/>
  <c r="W194" i="3"/>
  <c r="W193" i="3"/>
  <c r="W188" i="3"/>
  <c r="W204" i="3"/>
  <c r="W182" i="3"/>
  <c r="W170" i="3"/>
  <c r="W200" i="3"/>
  <c r="W196" i="3"/>
  <c r="W207" i="3"/>
  <c r="W187" i="3"/>
  <c r="W189" i="3"/>
  <c r="W178" i="3"/>
  <c r="W185" i="3"/>
  <c r="W177" i="3"/>
  <c r="W208" i="3"/>
  <c r="W203" i="3"/>
  <c r="W174" i="3"/>
  <c r="W190" i="3"/>
  <c r="W191" i="3"/>
  <c r="W186" i="3"/>
  <c r="W179" i="3"/>
  <c r="W175" i="3"/>
  <c r="W209" i="3"/>
  <c r="W184" i="3"/>
  <c r="W199" i="3"/>
  <c r="W183" i="3"/>
  <c r="W176" i="3"/>
  <c r="W171" i="3"/>
  <c r="W201" i="3"/>
  <c r="W202" i="3"/>
  <c r="W180" i="3"/>
  <c r="W181" i="3"/>
  <c r="W197" i="3"/>
  <c r="W195" i="3"/>
  <c r="W192" i="3"/>
  <c r="W173" i="3"/>
  <c r="W206" i="3"/>
  <c r="BH171" i="3"/>
  <c r="CH171" i="3"/>
  <c r="CU171" i="3"/>
  <c r="V170" i="3" a="1"/>
  <c r="H172" i="3"/>
  <c r="AU171" i="3"/>
  <c r="AJ170" i="3" a="1"/>
  <c r="I120" i="6" l="1"/>
  <c r="J119" i="6"/>
  <c r="AJ203" i="3"/>
  <c r="AJ182" i="3"/>
  <c r="AJ209" i="3"/>
  <c r="AJ171" i="3"/>
  <c r="AJ180" i="3"/>
  <c r="AJ197" i="3"/>
  <c r="AJ185" i="3"/>
  <c r="AJ196" i="3"/>
  <c r="AJ176" i="3"/>
  <c r="AJ198" i="3"/>
  <c r="AJ170" i="3"/>
  <c r="AJ181" i="3"/>
  <c r="AJ177" i="3"/>
  <c r="AJ187" i="3"/>
  <c r="AJ207" i="3"/>
  <c r="AJ201" i="3"/>
  <c r="AJ202" i="3"/>
  <c r="AJ206" i="3"/>
  <c r="AJ200" i="3"/>
  <c r="AJ205" i="3"/>
  <c r="AJ183" i="3"/>
  <c r="AJ178" i="3"/>
  <c r="AJ172" i="3"/>
  <c r="AJ191" i="3"/>
  <c r="AJ174" i="3"/>
  <c r="AJ189" i="3"/>
  <c r="AJ188" i="3"/>
  <c r="AJ199" i="3"/>
  <c r="AJ179" i="3"/>
  <c r="AJ204" i="3"/>
  <c r="AJ195" i="3"/>
  <c r="AJ192" i="3"/>
  <c r="AJ190" i="3"/>
  <c r="AJ208" i="3"/>
  <c r="AJ175" i="3"/>
  <c r="AJ194" i="3"/>
  <c r="AJ193" i="3"/>
  <c r="AJ186" i="3"/>
  <c r="AJ173" i="3"/>
  <c r="AJ184" i="3"/>
  <c r="DI209" i="3"/>
  <c r="DI193" i="3"/>
  <c r="DI208" i="3"/>
  <c r="DI175" i="3"/>
  <c r="DI185" i="3"/>
  <c r="DI190" i="3"/>
  <c r="DI192" i="3"/>
  <c r="DI198" i="3"/>
  <c r="DI172" i="3"/>
  <c r="DI207" i="3"/>
  <c r="DI187" i="3"/>
  <c r="DI205" i="3"/>
  <c r="DI202" i="3"/>
  <c r="DI170" i="3"/>
  <c r="DI183" i="3"/>
  <c r="DI200" i="3"/>
  <c r="DI191" i="3"/>
  <c r="DI173" i="3"/>
  <c r="DI178" i="3"/>
  <c r="DI177" i="3"/>
  <c r="DI188" i="3"/>
  <c r="DI182" i="3"/>
  <c r="DI180" i="3"/>
  <c r="DI181" i="3"/>
  <c r="DI179" i="3"/>
  <c r="DI176" i="3"/>
  <c r="DI199" i="3"/>
  <c r="DI174" i="3"/>
  <c r="DI197" i="3"/>
  <c r="DI189" i="3"/>
  <c r="DI204" i="3"/>
  <c r="DI203" i="3"/>
  <c r="DI206" i="3"/>
  <c r="DI171" i="3"/>
  <c r="DI196" i="3"/>
  <c r="DI186" i="3"/>
  <c r="DI195" i="3"/>
  <c r="DI184" i="3"/>
  <c r="DI194" i="3"/>
  <c r="DI201" i="3"/>
  <c r="DJ194" i="3"/>
  <c r="DJ202" i="3"/>
  <c r="DJ173" i="3"/>
  <c r="DJ208" i="3"/>
  <c r="DJ176" i="3"/>
  <c r="DJ207" i="3"/>
  <c r="DJ190" i="3"/>
  <c r="DJ184" i="3"/>
  <c r="DJ178" i="3"/>
  <c r="DJ181" i="3"/>
  <c r="DJ172" i="3"/>
  <c r="DJ179" i="3"/>
  <c r="DJ199" i="3"/>
  <c r="DJ175" i="3"/>
  <c r="DJ204" i="3"/>
  <c r="DJ182" i="3"/>
  <c r="DJ209" i="3"/>
  <c r="DJ201" i="3"/>
  <c r="DJ171" i="3"/>
  <c r="DJ198" i="3"/>
  <c r="DJ203" i="3"/>
  <c r="DJ193" i="3"/>
  <c r="DJ180" i="3"/>
  <c r="DJ170" i="3"/>
  <c r="DJ192" i="3"/>
  <c r="DJ177" i="3"/>
  <c r="DJ200" i="3"/>
  <c r="DJ196" i="3"/>
  <c r="DJ197" i="3"/>
  <c r="DJ195" i="3"/>
  <c r="DJ188" i="3"/>
  <c r="DJ183" i="3"/>
  <c r="DJ205" i="3"/>
  <c r="DJ191" i="3"/>
  <c r="DJ187" i="3"/>
  <c r="DJ185" i="3"/>
  <c r="DJ206" i="3"/>
  <c r="DJ189" i="3"/>
  <c r="DJ186" i="3"/>
  <c r="DJ174" i="3"/>
  <c r="AU172" i="3"/>
  <c r="V194" i="3"/>
  <c r="V197" i="3"/>
  <c r="V182" i="3"/>
  <c r="V173" i="3"/>
  <c r="V193" i="3"/>
  <c r="V178" i="3"/>
  <c r="V177" i="3"/>
  <c r="V203" i="3"/>
  <c r="V191" i="3"/>
  <c r="V196" i="3"/>
  <c r="V195" i="3"/>
  <c r="V208" i="3"/>
  <c r="V181" i="3"/>
  <c r="V189" i="3"/>
  <c r="V190" i="3"/>
  <c r="V192" i="3"/>
  <c r="V202" i="3"/>
  <c r="V187" i="3"/>
  <c r="V179" i="3"/>
  <c r="V174" i="3"/>
  <c r="V183" i="3"/>
  <c r="V204" i="3"/>
  <c r="V199" i="3"/>
  <c r="V172" i="3"/>
  <c r="V176" i="3"/>
  <c r="V180" i="3"/>
  <c r="V186" i="3"/>
  <c r="V184" i="3"/>
  <c r="V200" i="3"/>
  <c r="V170" i="3"/>
  <c r="V209" i="3"/>
  <c r="V206" i="3"/>
  <c r="V201" i="3"/>
  <c r="V185" i="3"/>
  <c r="V188" i="3"/>
  <c r="V175" i="3"/>
  <c r="V171" i="3"/>
  <c r="V207" i="3"/>
  <c r="V205" i="3"/>
  <c r="V198" i="3"/>
  <c r="CH172" i="3"/>
  <c r="BT166" i="3"/>
  <c r="BR166" i="3"/>
  <c r="BU166" i="3"/>
  <c r="BS166" i="3"/>
  <c r="BO166" i="3"/>
  <c r="BP166" i="3"/>
  <c r="BQ166" i="3"/>
  <c r="CU172" i="3"/>
  <c r="BH172" i="3"/>
  <c r="AI170" i="3" a="1"/>
  <c r="H173" i="3"/>
  <c r="I121" i="6" l="1"/>
  <c r="J120" i="6"/>
  <c r="CU173" i="3"/>
  <c r="J215" i="3" a="1"/>
  <c r="AU173" i="3"/>
  <c r="CH173" i="3"/>
  <c r="H174" i="3"/>
  <c r="P166" i="3"/>
  <c r="O166" i="3"/>
  <c r="U166" i="3"/>
  <c r="S166" i="3"/>
  <c r="Q166" i="3"/>
  <c r="T166" i="3"/>
  <c r="R166" i="3"/>
  <c r="AI194" i="3"/>
  <c r="AI181" i="3"/>
  <c r="AI197" i="3"/>
  <c r="AI206" i="3"/>
  <c r="AI202" i="3"/>
  <c r="AI186" i="3"/>
  <c r="AI195" i="3"/>
  <c r="AI174" i="3"/>
  <c r="AI172" i="3"/>
  <c r="AI179" i="3"/>
  <c r="AI193" i="3"/>
  <c r="AI178" i="3"/>
  <c r="AI190" i="3"/>
  <c r="AI196" i="3"/>
  <c r="AI170" i="3"/>
  <c r="AI177" i="3"/>
  <c r="AI204" i="3"/>
  <c r="AI189" i="3"/>
  <c r="AI203" i="3"/>
  <c r="AI201" i="3"/>
  <c r="AI187" i="3"/>
  <c r="AI180" i="3"/>
  <c r="AI199" i="3"/>
  <c r="AI176" i="3"/>
  <c r="AI192" i="3"/>
  <c r="AI175" i="3"/>
  <c r="AI200" i="3"/>
  <c r="AI171" i="3"/>
  <c r="AI209" i="3"/>
  <c r="AI198" i="3"/>
  <c r="AI208" i="3"/>
  <c r="AI205" i="3"/>
  <c r="AI183" i="3"/>
  <c r="AI191" i="3"/>
  <c r="AI207" i="3"/>
  <c r="AI173" i="3"/>
  <c r="AI182" i="3"/>
  <c r="AI188" i="3"/>
  <c r="AI185" i="3"/>
  <c r="AI184" i="3"/>
  <c r="DH166" i="3"/>
  <c r="DG166" i="3"/>
  <c r="DD166" i="3"/>
  <c r="DC166" i="3"/>
  <c r="DB166" i="3"/>
  <c r="DF166" i="3"/>
  <c r="DE166" i="3"/>
  <c r="BH173" i="3"/>
  <c r="J121" i="6" l="1"/>
  <c r="I122" i="6"/>
  <c r="M215" i="3" a="1"/>
  <c r="M217" i="3" s="1"/>
  <c r="AU174" i="3"/>
  <c r="F215" i="3" a="1"/>
  <c r="H175" i="3"/>
  <c r="CH174" i="3"/>
  <c r="J219" i="3"/>
  <c r="J222" i="3"/>
  <c r="J221" i="3"/>
  <c r="J217" i="3"/>
  <c r="J216" i="3"/>
  <c r="J220" i="3"/>
  <c r="J218" i="3"/>
  <c r="J215" i="3"/>
  <c r="BH174" i="3"/>
  <c r="AD166" i="3"/>
  <c r="AE166" i="3"/>
  <c r="AC166" i="3"/>
  <c r="AH166" i="3"/>
  <c r="AB166" i="3"/>
  <c r="AG166" i="3"/>
  <c r="AF166" i="3"/>
  <c r="CU174" i="3"/>
  <c r="J122" i="6" l="1"/>
  <c r="I123" i="6"/>
  <c r="M219" i="3"/>
  <c r="M220" i="3"/>
  <c r="M221" i="3"/>
  <c r="M222" i="3"/>
  <c r="M215" i="3"/>
  <c r="M218" i="3"/>
  <c r="M216" i="3"/>
  <c r="CH175" i="3"/>
  <c r="F220" i="3"/>
  <c r="F219" i="3"/>
  <c r="F222" i="3"/>
  <c r="F221" i="3"/>
  <c r="F218" i="3"/>
  <c r="F217" i="3"/>
  <c r="F216" i="3"/>
  <c r="F215" i="3"/>
  <c r="H176" i="3"/>
  <c r="AU175" i="3"/>
  <c r="BH175" i="3"/>
  <c r="CU175" i="3"/>
  <c r="G215" i="3" a="1"/>
  <c r="J123" i="6" l="1"/>
  <c r="I124" i="6"/>
  <c r="BH176" i="3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AU176" i="3"/>
  <c r="H177" i="3"/>
  <c r="G220" i="3"/>
  <c r="G219" i="3"/>
  <c r="G218" i="3"/>
  <c r="G222" i="3"/>
  <c r="G221" i="3"/>
  <c r="G217" i="3"/>
  <c r="G216" i="3"/>
  <c r="G215" i="3"/>
  <c r="CU176" i="3"/>
  <c r="BJ170" i="3" a="1"/>
  <c r="CH176" i="3"/>
  <c r="J124" i="6" l="1"/>
  <c r="I125" i="6"/>
  <c r="AU177" i="3"/>
  <c r="BJ204" i="3"/>
  <c r="BJ199" i="3"/>
  <c r="BJ186" i="3"/>
  <c r="BJ192" i="3"/>
  <c r="BJ184" i="3"/>
  <c r="BJ191" i="3"/>
  <c r="BJ194" i="3"/>
  <c r="BJ209" i="3"/>
  <c r="BJ187" i="3"/>
  <c r="BJ178" i="3"/>
  <c r="BJ183" i="3"/>
  <c r="BJ185" i="3"/>
  <c r="BJ198" i="3"/>
  <c r="BJ205" i="3"/>
  <c r="BJ180" i="3"/>
  <c r="BJ181" i="3"/>
  <c r="BJ182" i="3"/>
  <c r="BJ179" i="3"/>
  <c r="BJ176" i="3"/>
  <c r="BJ208" i="3"/>
  <c r="BJ177" i="3"/>
  <c r="BJ197" i="3"/>
  <c r="BJ172" i="3"/>
  <c r="BJ190" i="3"/>
  <c r="BJ203" i="3"/>
  <c r="BJ196" i="3"/>
  <c r="BJ195" i="3"/>
  <c r="BJ207" i="3"/>
  <c r="BJ202" i="3"/>
  <c r="BJ193" i="3"/>
  <c r="BJ189" i="3"/>
  <c r="BJ175" i="3"/>
  <c r="BJ171" i="3"/>
  <c r="BJ201" i="3"/>
  <c r="BJ173" i="3"/>
  <c r="BJ206" i="3"/>
  <c r="BJ174" i="3"/>
  <c r="BJ170" i="3"/>
  <c r="BJ188" i="3"/>
  <c r="BJ200" i="3"/>
  <c r="CU177" i="3"/>
  <c r="CU178" i="3" s="1"/>
  <c r="CU179" i="3" s="1"/>
  <c r="CU180" i="3" s="1"/>
  <c r="CU181" i="3" s="1"/>
  <c r="CU182" i="3" s="1"/>
  <c r="CU183" i="3" s="1"/>
  <c r="CU184" i="3" s="1"/>
  <c r="CU185" i="3" s="1"/>
  <c r="CU186" i="3" s="1"/>
  <c r="CU187" i="3" s="1"/>
  <c r="CU188" i="3" s="1"/>
  <c r="CU189" i="3" s="1"/>
  <c r="CU190" i="3" s="1"/>
  <c r="CU191" i="3" s="1"/>
  <c r="CU192" i="3" s="1"/>
  <c r="CU193" i="3" s="1"/>
  <c r="CU194" i="3" s="1"/>
  <c r="CU195" i="3" s="1"/>
  <c r="CU196" i="3" s="1"/>
  <c r="CU197" i="3" s="1"/>
  <c r="CU198" i="3" s="1"/>
  <c r="CU199" i="3" s="1"/>
  <c r="CU200" i="3" s="1"/>
  <c r="CU201" i="3" s="1"/>
  <c r="CU202" i="3" s="1"/>
  <c r="CU203" i="3" s="1"/>
  <c r="CU204" i="3" s="1"/>
  <c r="CU205" i="3" s="1"/>
  <c r="CU206" i="3" s="1"/>
  <c r="CU207" i="3" s="1"/>
  <c r="CU208" i="3" s="1"/>
  <c r="CU209" i="3" s="1"/>
  <c r="CV170" i="3" s="1" a="1"/>
  <c r="CW170" i="3" a="1"/>
  <c r="CH177" i="3"/>
  <c r="H178" i="3"/>
  <c r="BI170" i="3" a="1"/>
  <c r="I126" i="6" l="1"/>
  <c r="J125" i="6"/>
  <c r="CV183" i="3"/>
  <c r="CV205" i="3"/>
  <c r="CV201" i="3"/>
  <c r="CV204" i="3"/>
  <c r="CV182" i="3"/>
  <c r="CV196" i="3"/>
  <c r="CV200" i="3"/>
  <c r="CV195" i="3"/>
  <c r="CV208" i="3"/>
  <c r="CV181" i="3"/>
  <c r="CV194" i="3"/>
  <c r="CV185" i="3"/>
  <c r="CV207" i="3"/>
  <c r="CV199" i="3"/>
  <c r="CV193" i="3"/>
  <c r="CV191" i="3"/>
  <c r="CV180" i="3"/>
  <c r="CV192" i="3"/>
  <c r="CV175" i="3"/>
  <c r="CV198" i="3"/>
  <c r="CV189" i="3"/>
  <c r="CV206" i="3"/>
  <c r="CV178" i="3"/>
  <c r="CV188" i="3"/>
  <c r="CV197" i="3"/>
  <c r="CV202" i="3"/>
  <c r="CV190" i="3"/>
  <c r="CV187" i="3"/>
  <c r="CV176" i="3"/>
  <c r="CV174" i="3"/>
  <c r="CV186" i="3"/>
  <c r="CV173" i="3"/>
  <c r="CV172" i="3"/>
  <c r="CV179" i="3"/>
  <c r="CV177" i="3"/>
  <c r="CV171" i="3"/>
  <c r="CV203" i="3"/>
  <c r="CV170" i="3"/>
  <c r="CV184" i="3"/>
  <c r="CV209" i="3"/>
  <c r="H179" i="3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I170" i="3" s="1" a="1"/>
  <c r="J170" i="3" a="1"/>
  <c r="CW197" i="3"/>
  <c r="CW176" i="3"/>
  <c r="CW191" i="3"/>
  <c r="CW185" i="3"/>
  <c r="CW181" i="3"/>
  <c r="CW208" i="3"/>
  <c r="CW190" i="3"/>
  <c r="CW199" i="3"/>
  <c r="CW196" i="3"/>
  <c r="CW173" i="3"/>
  <c r="CW189" i="3"/>
  <c r="CW192" i="3"/>
  <c r="CW207" i="3"/>
  <c r="CW188" i="3"/>
  <c r="CW174" i="3"/>
  <c r="CW172" i="3"/>
  <c r="CW187" i="3"/>
  <c r="CW203" i="3"/>
  <c r="CW206" i="3"/>
  <c r="CW186" i="3"/>
  <c r="CW183" i="3"/>
  <c r="CW171" i="3"/>
  <c r="CW202" i="3"/>
  <c r="CW205" i="3"/>
  <c r="CW180" i="3"/>
  <c r="CW170" i="3"/>
  <c r="CW201" i="3"/>
  <c r="CW204" i="3"/>
  <c r="CW179" i="3"/>
  <c r="CW175" i="3"/>
  <c r="CW200" i="3"/>
  <c r="CW209" i="3"/>
  <c r="CW178" i="3"/>
  <c r="CW194" i="3"/>
  <c r="CW198" i="3"/>
  <c r="CW177" i="3"/>
  <c r="CW184" i="3"/>
  <c r="CW182" i="3"/>
  <c r="CW195" i="3"/>
  <c r="CW193" i="3"/>
  <c r="CH178" i="3"/>
  <c r="BI194" i="3"/>
  <c r="BI185" i="3"/>
  <c r="BI192" i="3"/>
  <c r="BI207" i="3"/>
  <c r="BI202" i="3"/>
  <c r="BI197" i="3"/>
  <c r="BI177" i="3"/>
  <c r="BI184" i="3"/>
  <c r="BI190" i="3"/>
  <c r="BI206" i="3"/>
  <c r="BI203" i="3"/>
  <c r="BI204" i="3"/>
  <c r="BI189" i="3"/>
  <c r="BI186" i="3"/>
  <c r="BI193" i="3"/>
  <c r="BI183" i="3"/>
  <c r="BI173" i="3"/>
  <c r="BI174" i="3"/>
  <c r="BI205" i="3"/>
  <c r="BI198" i="3"/>
  <c r="BI176" i="3"/>
  <c r="BI182" i="3"/>
  <c r="BI191" i="3"/>
  <c r="BI171" i="3"/>
  <c r="BI209" i="3"/>
  <c r="BI181" i="3"/>
  <c r="BI201" i="3"/>
  <c r="BI170" i="3"/>
  <c r="BI180" i="3"/>
  <c r="BI200" i="3"/>
  <c r="BI179" i="3"/>
  <c r="BI195" i="3"/>
  <c r="BI196" i="3"/>
  <c r="BI208" i="3"/>
  <c r="BI175" i="3"/>
  <c r="BI187" i="3"/>
  <c r="BI178" i="3"/>
  <c r="BI172" i="3"/>
  <c r="BI199" i="3"/>
  <c r="BI188" i="3"/>
  <c r="AU178" i="3"/>
  <c r="J126" i="6" l="1"/>
  <c r="I127" i="6"/>
  <c r="BH166" i="3"/>
  <c r="BC166" i="3"/>
  <c r="BG166" i="3"/>
  <c r="BF166" i="3"/>
  <c r="BB166" i="3"/>
  <c r="BE166" i="3"/>
  <c r="BD166" i="3"/>
  <c r="J177" i="3"/>
  <c r="J207" i="3"/>
  <c r="J195" i="3"/>
  <c r="J173" i="3"/>
  <c r="J184" i="3"/>
  <c r="J182" i="3"/>
  <c r="J201" i="3"/>
  <c r="J193" i="3"/>
  <c r="J202" i="3"/>
  <c r="J200" i="3"/>
  <c r="J206" i="3"/>
  <c r="J174" i="3"/>
  <c r="J205" i="3"/>
  <c r="J186" i="3"/>
  <c r="J203" i="3"/>
  <c r="J187" i="3"/>
  <c r="J194" i="3"/>
  <c r="J171" i="3"/>
  <c r="J172" i="3"/>
  <c r="J204" i="3"/>
  <c r="J185" i="3"/>
  <c r="J191" i="3"/>
  <c r="J183" i="3"/>
  <c r="J179" i="3"/>
  <c r="J209" i="3"/>
  <c r="J178" i="3"/>
  <c r="J170" i="3"/>
  <c r="J199" i="3"/>
  <c r="J192" i="3"/>
  <c r="J190" i="3"/>
  <c r="J181" i="3"/>
  <c r="J198" i="3"/>
  <c r="J180" i="3"/>
  <c r="J188" i="3"/>
  <c r="J197" i="3"/>
  <c r="J176" i="3"/>
  <c r="J189" i="3"/>
  <c r="J208" i="3"/>
  <c r="J196" i="3"/>
  <c r="J175" i="3"/>
  <c r="I183" i="3"/>
  <c r="I207" i="3"/>
  <c r="I171" i="3"/>
  <c r="I201" i="3"/>
  <c r="I200" i="3"/>
  <c r="I177" i="3"/>
  <c r="I194" i="3"/>
  <c r="I170" i="3"/>
  <c r="I187" i="3"/>
  <c r="I193" i="3"/>
  <c r="I184" i="3"/>
  <c r="I173" i="3"/>
  <c r="I182" i="3"/>
  <c r="I206" i="3"/>
  <c r="I189" i="3"/>
  <c r="I208" i="3"/>
  <c r="I186" i="3"/>
  <c r="I178" i="3"/>
  <c r="I199" i="3"/>
  <c r="I175" i="3"/>
  <c r="I203" i="3"/>
  <c r="I202" i="3"/>
  <c r="I188" i="3"/>
  <c r="I185" i="3"/>
  <c r="I192" i="3"/>
  <c r="I176" i="3"/>
  <c r="I181" i="3"/>
  <c r="I205" i="3"/>
  <c r="I190" i="3"/>
  <c r="I209" i="3"/>
  <c r="I197" i="3"/>
  <c r="I191" i="3"/>
  <c r="I174" i="3"/>
  <c r="I204" i="3"/>
  <c r="I196" i="3"/>
  <c r="I195" i="3"/>
  <c r="I198" i="3"/>
  <c r="I180" i="3"/>
  <c r="I172" i="3"/>
  <c r="I179" i="3"/>
  <c r="CH179" i="3"/>
  <c r="CH180" i="3" s="1"/>
  <c r="CH181" i="3" s="1"/>
  <c r="CH182" i="3" s="1"/>
  <c r="CH183" i="3" s="1"/>
  <c r="CH184" i="3" s="1"/>
  <c r="CH185" i="3" s="1"/>
  <c r="CH186" i="3" s="1"/>
  <c r="CH187" i="3" s="1"/>
  <c r="CH188" i="3" s="1"/>
  <c r="CH189" i="3" s="1"/>
  <c r="CH190" i="3" s="1"/>
  <c r="CH191" i="3" s="1"/>
  <c r="CH192" i="3" s="1"/>
  <c r="CH193" i="3" s="1"/>
  <c r="CH194" i="3" s="1"/>
  <c r="CH195" i="3" s="1"/>
  <c r="CH196" i="3" s="1"/>
  <c r="CH197" i="3" s="1"/>
  <c r="CH198" i="3" s="1"/>
  <c r="CH199" i="3" s="1"/>
  <c r="CH200" i="3" s="1"/>
  <c r="CH201" i="3" s="1"/>
  <c r="CH202" i="3" s="1"/>
  <c r="CH203" i="3" s="1"/>
  <c r="CH204" i="3" s="1"/>
  <c r="CH205" i="3" s="1"/>
  <c r="CH206" i="3" s="1"/>
  <c r="CH207" i="3" s="1"/>
  <c r="CH208" i="3" s="1"/>
  <c r="CH209" i="3" s="1"/>
  <c r="CI170" i="3" s="1" a="1"/>
  <c r="CJ170" i="3" a="1"/>
  <c r="AU179" i="3"/>
  <c r="AU180" i="3" s="1"/>
  <c r="AU181" i="3" s="1"/>
  <c r="AU182" i="3" s="1"/>
  <c r="AU183" i="3" s="1"/>
  <c r="AU184" i="3" s="1"/>
  <c r="AU185" i="3" s="1"/>
  <c r="AU186" i="3" s="1"/>
  <c r="AU187" i="3" s="1"/>
  <c r="AU188" i="3" s="1"/>
  <c r="AU189" i="3" s="1"/>
  <c r="AU190" i="3" s="1"/>
  <c r="AU191" i="3" s="1"/>
  <c r="AU192" i="3" s="1"/>
  <c r="AU193" i="3" s="1"/>
  <c r="AU194" i="3" s="1"/>
  <c r="AU195" i="3" s="1"/>
  <c r="AU196" i="3" s="1"/>
  <c r="AU197" i="3" s="1"/>
  <c r="AU198" i="3" s="1"/>
  <c r="AU199" i="3" s="1"/>
  <c r="AU200" i="3" s="1"/>
  <c r="AU201" i="3" s="1"/>
  <c r="AU202" i="3" s="1"/>
  <c r="AU203" i="3" s="1"/>
  <c r="AU204" i="3" s="1"/>
  <c r="AU205" i="3" s="1"/>
  <c r="AU206" i="3" s="1"/>
  <c r="AU207" i="3" s="1"/>
  <c r="AU208" i="3" s="1"/>
  <c r="AU209" i="3" s="1"/>
  <c r="AV170" i="3" s="1" a="1"/>
  <c r="AW170" i="3" a="1"/>
  <c r="CR166" i="3"/>
  <c r="CP166" i="3"/>
  <c r="CQ166" i="3"/>
  <c r="CO166" i="3"/>
  <c r="CU166" i="3"/>
  <c r="CT166" i="3"/>
  <c r="CS166" i="3"/>
  <c r="J127" i="6" l="1"/>
  <c r="I128" i="6"/>
  <c r="AV206" i="3"/>
  <c r="AV182" i="3"/>
  <c r="AV171" i="3"/>
  <c r="AV188" i="3"/>
  <c r="AV199" i="3"/>
  <c r="AV209" i="3"/>
  <c r="AV175" i="3"/>
  <c r="AV189" i="3"/>
  <c r="AV181" i="3"/>
  <c r="AV208" i="3"/>
  <c r="AV202" i="3"/>
  <c r="AV201" i="3"/>
  <c r="AV186" i="3"/>
  <c r="AV191" i="3"/>
  <c r="AV197" i="3"/>
  <c r="AV172" i="3"/>
  <c r="AV180" i="3"/>
  <c r="AV184" i="3"/>
  <c r="AV174" i="3"/>
  <c r="AV196" i="3"/>
  <c r="AV179" i="3"/>
  <c r="AV170" i="3"/>
  <c r="AV203" i="3"/>
  <c r="AV194" i="3"/>
  <c r="AV177" i="3"/>
  <c r="AV173" i="3"/>
  <c r="AV207" i="3"/>
  <c r="AV187" i="3"/>
  <c r="AV200" i="3"/>
  <c r="AV195" i="3"/>
  <c r="AV178" i="3"/>
  <c r="AV193" i="3"/>
  <c r="AV204" i="3"/>
  <c r="AV192" i="3"/>
  <c r="AV183" i="3"/>
  <c r="AV205" i="3"/>
  <c r="AV176" i="3"/>
  <c r="AV198" i="3"/>
  <c r="AV185" i="3"/>
  <c r="AV190" i="3"/>
  <c r="CI205" i="3"/>
  <c r="CI198" i="3"/>
  <c r="CI187" i="3"/>
  <c r="CI197" i="3"/>
  <c r="CI207" i="3"/>
  <c r="CI181" i="3"/>
  <c r="CI193" i="3"/>
  <c r="CI190" i="3"/>
  <c r="CI185" i="3"/>
  <c r="CI173" i="3"/>
  <c r="CI180" i="3"/>
  <c r="CI184" i="3"/>
  <c r="CI202" i="3"/>
  <c r="CI183" i="3"/>
  <c r="CI195" i="3"/>
  <c r="CI204" i="3"/>
  <c r="CI196" i="3"/>
  <c r="CI179" i="3"/>
  <c r="CI186" i="3"/>
  <c r="CI194" i="3"/>
  <c r="CI203" i="3"/>
  <c r="CI209" i="3"/>
  <c r="CI178" i="3"/>
  <c r="CI208" i="3"/>
  <c r="CI191" i="3"/>
  <c r="CI172" i="3"/>
  <c r="CI192" i="3"/>
  <c r="CI182" i="3"/>
  <c r="CI201" i="3"/>
  <c r="CI177" i="3"/>
  <c r="CI189" i="3"/>
  <c r="CI176" i="3"/>
  <c r="CI170" i="3"/>
  <c r="CI171" i="3"/>
  <c r="CI174" i="3"/>
  <c r="CI200" i="3"/>
  <c r="CI175" i="3"/>
  <c r="CI206" i="3"/>
  <c r="CI188" i="3"/>
  <c r="CI199" i="3"/>
  <c r="AW195" i="3"/>
  <c r="AW180" i="3"/>
  <c r="AW182" i="3"/>
  <c r="AW199" i="3"/>
  <c r="AW174" i="3"/>
  <c r="AW179" i="3"/>
  <c r="AW197" i="3"/>
  <c r="AW184" i="3"/>
  <c r="AW183" i="3"/>
  <c r="AW207" i="3"/>
  <c r="AW208" i="3"/>
  <c r="AW198" i="3"/>
  <c r="AW175" i="3"/>
  <c r="AW204" i="3"/>
  <c r="AW178" i="3"/>
  <c r="AW194" i="3"/>
  <c r="AW205" i="3"/>
  <c r="AW173" i="3"/>
  <c r="AW202" i="3"/>
  <c r="AW201" i="3"/>
  <c r="AW187" i="3"/>
  <c r="AW206" i="3"/>
  <c r="AW193" i="3"/>
  <c r="AW186" i="3"/>
  <c r="AW190" i="3"/>
  <c r="AW209" i="3"/>
  <c r="AW200" i="3"/>
  <c r="AW170" i="3"/>
  <c r="AW177" i="3"/>
  <c r="AW192" i="3"/>
  <c r="AW185" i="3"/>
  <c r="AW203" i="3"/>
  <c r="AW191" i="3"/>
  <c r="AW171" i="3"/>
  <c r="AW189" i="3"/>
  <c r="AW176" i="3"/>
  <c r="AW172" i="3"/>
  <c r="AW188" i="3"/>
  <c r="AW181" i="3"/>
  <c r="AW196" i="3"/>
  <c r="CJ202" i="3"/>
  <c r="CJ182" i="3"/>
  <c r="CJ178" i="3"/>
  <c r="CJ175" i="3"/>
  <c r="CJ173" i="3"/>
  <c r="CJ186" i="3"/>
  <c r="CJ200" i="3"/>
  <c r="CJ177" i="3"/>
  <c r="CJ170" i="3"/>
  <c r="CJ181" i="3"/>
  <c r="CJ176" i="3"/>
  <c r="CJ208" i="3"/>
  <c r="CJ201" i="3"/>
  <c r="CJ196" i="3"/>
  <c r="CJ197" i="3"/>
  <c r="CJ180" i="3"/>
  <c r="CJ189" i="3"/>
  <c r="CJ174" i="3"/>
  <c r="CJ198" i="3"/>
  <c r="CJ185" i="3"/>
  <c r="CJ171" i="3"/>
  <c r="CJ192" i="3"/>
  <c r="CJ193" i="3"/>
  <c r="CJ188" i="3"/>
  <c r="CJ199" i="3"/>
  <c r="CJ179" i="3"/>
  <c r="CJ204" i="3"/>
  <c r="CJ195" i="3"/>
  <c r="CJ191" i="3"/>
  <c r="CJ207" i="3"/>
  <c r="CJ187" i="3"/>
  <c r="CJ203" i="3"/>
  <c r="CJ184" i="3"/>
  <c r="CJ194" i="3"/>
  <c r="CJ190" i="3"/>
  <c r="CJ206" i="3"/>
  <c r="CJ172" i="3"/>
  <c r="CJ209" i="3"/>
  <c r="CJ205" i="3"/>
  <c r="CJ183" i="3"/>
  <c r="I215" i="3" a="1"/>
  <c r="C166" i="3"/>
  <c r="B166" i="3"/>
  <c r="H166" i="3"/>
  <c r="G166" i="3"/>
  <c r="D166" i="3"/>
  <c r="F166" i="3"/>
  <c r="E166" i="3"/>
  <c r="L215" i="3" a="1"/>
  <c r="J128" i="6" l="1"/>
  <c r="I129" i="6"/>
  <c r="CB166" i="3"/>
  <c r="CD166" i="3"/>
  <c r="CC166" i="3"/>
  <c r="CG166" i="3"/>
  <c r="CE166" i="3"/>
  <c r="CF166" i="3"/>
  <c r="CH166" i="3"/>
  <c r="D215" i="3" a="1"/>
  <c r="AU166" i="3"/>
  <c r="AT166" i="3"/>
  <c r="AO166" i="3"/>
  <c r="AS166" i="3"/>
  <c r="AR166" i="3"/>
  <c r="AQ166" i="3"/>
  <c r="AP166" i="3"/>
  <c r="L217" i="3"/>
  <c r="L215" i="3"/>
  <c r="L216" i="3"/>
  <c r="L222" i="3"/>
  <c r="L221" i="3"/>
  <c r="L219" i="3"/>
  <c r="L220" i="3"/>
  <c r="L218" i="3"/>
  <c r="I218" i="3"/>
  <c r="I217" i="3"/>
  <c r="I216" i="3"/>
  <c r="I220" i="3"/>
  <c r="I222" i="3"/>
  <c r="I221" i="3"/>
  <c r="I215" i="3"/>
  <c r="I219" i="3"/>
  <c r="I130" i="6" l="1"/>
  <c r="J129" i="6"/>
  <c r="H215" i="3" a="1"/>
  <c r="H216" i="3" s="1"/>
  <c r="D222" i="3"/>
  <c r="D221" i="3"/>
  <c r="D220" i="3"/>
  <c r="D217" i="3"/>
  <c r="D216" i="3"/>
  <c r="D215" i="3"/>
  <c r="D219" i="3"/>
  <c r="D218" i="3"/>
  <c r="U215" i="3" a="1"/>
  <c r="K215" i="3" a="1"/>
  <c r="J130" i="6" l="1"/>
  <c r="I131" i="6"/>
  <c r="H217" i="3"/>
  <c r="H220" i="3"/>
  <c r="H218" i="3"/>
  <c r="H221" i="3"/>
  <c r="H219" i="3"/>
  <c r="H222" i="3"/>
  <c r="H215" i="3"/>
  <c r="K218" i="3"/>
  <c r="K217" i="3"/>
  <c r="K216" i="3"/>
  <c r="K219" i="3"/>
  <c r="K215" i="3"/>
  <c r="K222" i="3"/>
  <c r="K221" i="3"/>
  <c r="K220" i="3"/>
  <c r="P215" i="3" a="1"/>
  <c r="V215" i="3" a="1"/>
  <c r="S215" i="3" a="1"/>
  <c r="O215" i="3" a="1"/>
  <c r="U215" i="3"/>
  <c r="U220" i="3"/>
  <c r="U219" i="3"/>
  <c r="U221" i="3"/>
  <c r="U218" i="3"/>
  <c r="U222" i="3"/>
  <c r="U217" i="3"/>
  <c r="U216" i="3"/>
  <c r="R215" i="3" a="1"/>
  <c r="Q215" i="3" a="1"/>
  <c r="I132" i="6" l="1"/>
  <c r="J131" i="6"/>
  <c r="S216" i="3"/>
  <c r="S215" i="3"/>
  <c r="S220" i="3"/>
  <c r="S222" i="3"/>
  <c r="S217" i="3"/>
  <c r="S218" i="3"/>
  <c r="S219" i="3"/>
  <c r="S221" i="3"/>
  <c r="O221" i="3"/>
  <c r="O220" i="3"/>
  <c r="O219" i="3"/>
  <c r="O222" i="3"/>
  <c r="O218" i="3"/>
  <c r="O217" i="3"/>
  <c r="O215" i="3"/>
  <c r="O216" i="3"/>
  <c r="Q220" i="3"/>
  <c r="Q216" i="3"/>
  <c r="Q222" i="3"/>
  <c r="Q215" i="3"/>
  <c r="Q221" i="3"/>
  <c r="Q219" i="3"/>
  <c r="Q218" i="3"/>
  <c r="Q217" i="3"/>
  <c r="P218" i="3"/>
  <c r="P217" i="3"/>
  <c r="P219" i="3"/>
  <c r="P216" i="3"/>
  <c r="P215" i="3"/>
  <c r="P222" i="3"/>
  <c r="P221" i="3"/>
  <c r="P220" i="3"/>
  <c r="V222" i="3"/>
  <c r="V221" i="3"/>
  <c r="V220" i="3"/>
  <c r="V216" i="3"/>
  <c r="V219" i="3"/>
  <c r="V218" i="3"/>
  <c r="V217" i="3"/>
  <c r="V215" i="3"/>
  <c r="R219" i="3"/>
  <c r="R215" i="3"/>
  <c r="R218" i="3"/>
  <c r="R222" i="3"/>
  <c r="R221" i="3"/>
  <c r="R220" i="3"/>
  <c r="R217" i="3"/>
  <c r="R216" i="3"/>
  <c r="T215" i="3" a="1"/>
  <c r="I133" i="6" l="1"/>
  <c r="J132" i="6"/>
  <c r="T217" i="3"/>
  <c r="T216" i="3"/>
  <c r="T219" i="3"/>
  <c r="T215" i="3"/>
  <c r="T222" i="3"/>
  <c r="T221" i="3"/>
  <c r="T220" i="3"/>
  <c r="T218" i="3"/>
  <c r="I134" i="6" l="1"/>
  <c r="J133" i="6"/>
  <c r="X215" i="3" a="1"/>
  <c r="AD222" i="3" s="1"/>
  <c r="I135" i="6" l="1"/>
  <c r="J134" i="6"/>
  <c r="X216" i="3"/>
  <c r="Y219" i="3"/>
  <c r="AE221" i="3"/>
  <c r="AE215" i="3"/>
  <c r="AB219" i="3"/>
  <c r="AA215" i="3"/>
  <c r="Z218" i="3"/>
  <c r="Z216" i="3"/>
  <c r="AB217" i="3"/>
  <c r="Y218" i="3"/>
  <c r="Z221" i="3"/>
  <c r="X215" i="3"/>
  <c r="Y216" i="3"/>
  <c r="Z219" i="3"/>
  <c r="AA216" i="3"/>
  <c r="AB218" i="3"/>
  <c r="AA221" i="3"/>
  <c r="AB215" i="3"/>
  <c r="Z215" i="3"/>
  <c r="AB220" i="3"/>
  <c r="AD218" i="3"/>
  <c r="AE219" i="3"/>
  <c r="AE216" i="3"/>
  <c r="AC215" i="3"/>
  <c r="AA220" i="3"/>
  <c r="AC222" i="3"/>
  <c r="AE217" i="3"/>
  <c r="AE222" i="3"/>
  <c r="AE218" i="3"/>
  <c r="AC219" i="3"/>
  <c r="Z220" i="3"/>
  <c r="X222" i="3"/>
  <c r="AD216" i="3"/>
  <c r="AB216" i="3"/>
  <c r="Y222" i="3"/>
  <c r="AC221" i="3"/>
  <c r="AD219" i="3"/>
  <c r="Y220" i="3"/>
  <c r="AA219" i="3"/>
  <c r="AC216" i="3"/>
  <c r="AE220" i="3"/>
  <c r="AA218" i="3"/>
  <c r="AB222" i="3"/>
  <c r="Z222" i="3"/>
  <c r="AD215" i="3"/>
  <c r="X221" i="3"/>
  <c r="AC218" i="3"/>
  <c r="AB221" i="3"/>
  <c r="AD217" i="3"/>
  <c r="AC220" i="3"/>
  <c r="AD221" i="3"/>
  <c r="Y215" i="3"/>
  <c r="AD220" i="3"/>
  <c r="X217" i="3"/>
  <c r="Y221" i="3"/>
  <c r="AA222" i="3"/>
  <c r="Y217" i="3"/>
  <c r="X219" i="3"/>
  <c r="AA217" i="3"/>
  <c r="Z217" i="3"/>
  <c r="X220" i="3"/>
  <c r="AC217" i="3"/>
  <c r="X218" i="3"/>
  <c r="I136" i="6" l="1"/>
  <c r="J135" i="6"/>
  <c r="AH215" i="3" a="1"/>
  <c r="J136" i="6" l="1"/>
  <c r="I137" i="6"/>
  <c r="AH220" i="3"/>
  <c r="AH218" i="3"/>
  <c r="AH215" i="3"/>
  <c r="AH222" i="3"/>
  <c r="AH217" i="3"/>
  <c r="AH216" i="3"/>
  <c r="AH219" i="3"/>
  <c r="AH221" i="3"/>
  <c r="J137" i="6" l="1"/>
  <c r="I138" i="6"/>
  <c r="B233" i="3"/>
  <c r="B231" i="3"/>
  <c r="B228" i="3"/>
  <c r="B229" i="3"/>
  <c r="B234" i="3"/>
  <c r="B227" i="3"/>
  <c r="B230" i="3"/>
  <c r="B232" i="3"/>
  <c r="J138" i="6" l="1"/>
  <c r="I139" i="6"/>
  <c r="B286" i="3"/>
  <c r="CB227" i="3"/>
  <c r="O227" i="3"/>
  <c r="AO227" i="3"/>
  <c r="AB227" i="3"/>
  <c r="CO227" i="3"/>
  <c r="BB227" i="3"/>
  <c r="DB227" i="3"/>
  <c r="BO227" i="3"/>
  <c r="B293" i="3"/>
  <c r="BO234" i="3"/>
  <c r="DB234" i="3"/>
  <c r="CB234" i="3"/>
  <c r="BB234" i="3"/>
  <c r="AB234" i="3"/>
  <c r="D233" i="3"/>
  <c r="AO234" i="3"/>
  <c r="O234" i="3"/>
  <c r="CO234" i="3"/>
  <c r="D234" i="3"/>
  <c r="B288" i="3"/>
  <c r="D228" i="3"/>
  <c r="CO229" i="3"/>
  <c r="BB229" i="3"/>
  <c r="DB229" i="3"/>
  <c r="O229" i="3"/>
  <c r="AB229" i="3"/>
  <c r="AO229" i="3"/>
  <c r="CB229" i="3"/>
  <c r="BO229" i="3"/>
  <c r="B287" i="3"/>
  <c r="CB228" i="3"/>
  <c r="AO228" i="3"/>
  <c r="BB228" i="3"/>
  <c r="O228" i="3"/>
  <c r="CO228" i="3"/>
  <c r="D227" i="3"/>
  <c r="AB228" i="3"/>
  <c r="DB228" i="3"/>
  <c r="BO228" i="3"/>
  <c r="B291" i="3"/>
  <c r="DB232" i="3"/>
  <c r="D231" i="3"/>
  <c r="CB232" i="3"/>
  <c r="O232" i="3"/>
  <c r="BB232" i="3"/>
  <c r="CO232" i="3"/>
  <c r="BO232" i="3"/>
  <c r="AB232" i="3"/>
  <c r="AO232" i="3"/>
  <c r="B289" i="3"/>
  <c r="CB230" i="3"/>
  <c r="O230" i="3"/>
  <c r="AB230" i="3"/>
  <c r="CO230" i="3"/>
  <c r="D229" i="3"/>
  <c r="AO230" i="3"/>
  <c r="DB230" i="3"/>
  <c r="BO230" i="3"/>
  <c r="BB230" i="3"/>
  <c r="B290" i="3"/>
  <c r="BO231" i="3"/>
  <c r="AB231" i="3"/>
  <c r="CO231" i="3"/>
  <c r="AO231" i="3"/>
  <c r="DB231" i="3"/>
  <c r="CB231" i="3"/>
  <c r="BB231" i="3"/>
  <c r="D230" i="3"/>
  <c r="O231" i="3"/>
  <c r="B292" i="3"/>
  <c r="AO233" i="3"/>
  <c r="CO233" i="3"/>
  <c r="AB233" i="3"/>
  <c r="BO233" i="3"/>
  <c r="DB233" i="3"/>
  <c r="CB233" i="3"/>
  <c r="D232" i="3"/>
  <c r="O233" i="3"/>
  <c r="BB233" i="3"/>
  <c r="J139" i="6" l="1"/>
  <c r="I140" i="6"/>
  <c r="BD230" i="3"/>
  <c r="CD229" i="3"/>
  <c r="AQ230" i="3"/>
  <c r="CQ228" i="3"/>
  <c r="E228" i="3"/>
  <c r="G228" i="3" s="1"/>
  <c r="F229" i="3" s="1"/>
  <c r="BQ231" i="3"/>
  <c r="CQ230" i="3"/>
  <c r="E234" i="3"/>
  <c r="BQ232" i="3"/>
  <c r="DD229" i="3"/>
  <c r="BQ234" i="3"/>
  <c r="BQ233" i="3"/>
  <c r="CD230" i="3"/>
  <c r="DD227" i="3"/>
  <c r="BD228" i="3"/>
  <c r="E232" i="3"/>
  <c r="E227" i="3"/>
  <c r="DD232" i="3"/>
  <c r="Q227" i="3"/>
  <c r="DD230" i="3"/>
  <c r="Q232" i="3"/>
  <c r="BD227" i="3"/>
  <c r="AD232" i="3"/>
  <c r="BD231" i="3"/>
  <c r="CQ233" i="3"/>
  <c r="CQ234" i="3"/>
  <c r="CQ232" i="3"/>
  <c r="CD227" i="3"/>
  <c r="Q234" i="3"/>
  <c r="Q233" i="3"/>
  <c r="AQ232" i="3"/>
  <c r="AQ228" i="3"/>
  <c r="BD234" i="3"/>
  <c r="BD233" i="3"/>
  <c r="BQ227" i="3"/>
  <c r="Q229" i="3"/>
  <c r="CD232" i="3"/>
  <c r="AD230" i="3"/>
  <c r="CQ227" i="3"/>
  <c r="BQ230" i="3"/>
  <c r="CQ231" i="3"/>
  <c r="AQ227" i="3"/>
  <c r="BD229" i="3"/>
  <c r="BQ229" i="3"/>
  <c r="Q231" i="3"/>
  <c r="AQ234" i="3"/>
  <c r="AQ233" i="3"/>
  <c r="CD231" i="3"/>
  <c r="BQ228" i="3"/>
  <c r="E233" i="3"/>
  <c r="AD233" i="3"/>
  <c r="AD234" i="3"/>
  <c r="Q230" i="3"/>
  <c r="CQ229" i="3"/>
  <c r="AD228" i="3"/>
  <c r="CD234" i="3"/>
  <c r="CD233" i="3"/>
  <c r="DD228" i="3"/>
  <c r="BD232" i="3"/>
  <c r="AD227" i="3"/>
  <c r="AQ231" i="3"/>
  <c r="AD231" i="3"/>
  <c r="AQ229" i="3"/>
  <c r="E231" i="3"/>
  <c r="CD228" i="3"/>
  <c r="E229" i="3"/>
  <c r="DD231" i="3"/>
  <c r="E230" i="3"/>
  <c r="AD229" i="3"/>
  <c r="Q228" i="3"/>
  <c r="DD233" i="3"/>
  <c r="DD234" i="3"/>
  <c r="I141" i="6" l="1"/>
  <c r="J140" i="6"/>
  <c r="G231" i="3"/>
  <c r="F232" i="3" s="1"/>
  <c r="G230" i="3"/>
  <c r="F231" i="3" s="1"/>
  <c r="G233" i="3"/>
  <c r="F234" i="3" s="1"/>
  <c r="AE231" i="3"/>
  <c r="R231" i="3"/>
  <c r="AE230" i="3"/>
  <c r="AG230" i="3" s="1"/>
  <c r="AF231" i="3" s="1"/>
  <c r="AR232" i="3"/>
  <c r="AE229" i="3"/>
  <c r="AG229" i="3" s="1"/>
  <c r="AF230" i="3" s="1"/>
  <c r="R233" i="3"/>
  <c r="BE227" i="3"/>
  <c r="DE227" i="3"/>
  <c r="DG227" i="3" s="1"/>
  <c r="R234" i="3"/>
  <c r="BR231" i="3"/>
  <c r="AR231" i="3"/>
  <c r="CE232" i="3"/>
  <c r="R232" i="3"/>
  <c r="CE230" i="3"/>
  <c r="CE227" i="3"/>
  <c r="DE231" i="3"/>
  <c r="DE230" i="3"/>
  <c r="BR233" i="3"/>
  <c r="R230" i="3"/>
  <c r="T230" i="3" s="1"/>
  <c r="S231" i="3" s="1"/>
  <c r="AE233" i="3"/>
  <c r="BE229" i="3"/>
  <c r="R229" i="3"/>
  <c r="T229" i="3" s="1"/>
  <c r="S230" i="3" s="1"/>
  <c r="CR228" i="3"/>
  <c r="AE227" i="3"/>
  <c r="G229" i="3"/>
  <c r="F230" i="3" s="1"/>
  <c r="BE232" i="3"/>
  <c r="H234" i="3"/>
  <c r="AR227" i="3"/>
  <c r="BR227" i="3"/>
  <c r="CR232" i="3"/>
  <c r="R227" i="3"/>
  <c r="BR234" i="3"/>
  <c r="CE228" i="3"/>
  <c r="DE228" i="3"/>
  <c r="CR234" i="3"/>
  <c r="DE232" i="3"/>
  <c r="DE229" i="3"/>
  <c r="DG229" i="3" s="1"/>
  <c r="DF230" i="3" s="1"/>
  <c r="AR230" i="3"/>
  <c r="BR228" i="3"/>
  <c r="CR231" i="3"/>
  <c r="BE233" i="3"/>
  <c r="BE234" i="3"/>
  <c r="CR233" i="3"/>
  <c r="CT233" i="3" s="1"/>
  <c r="CS234" i="3" s="1"/>
  <c r="BR232" i="3"/>
  <c r="CE229" i="3"/>
  <c r="CR229" i="3"/>
  <c r="CE233" i="3"/>
  <c r="BE231" i="3"/>
  <c r="DE234" i="3"/>
  <c r="AR229" i="3"/>
  <c r="CE234" i="3"/>
  <c r="CE231" i="3"/>
  <c r="AR228" i="3"/>
  <c r="G227" i="3"/>
  <c r="DE233" i="3"/>
  <c r="AR233" i="3"/>
  <c r="AT233" i="3" s="1"/>
  <c r="AS234" i="3" s="1"/>
  <c r="BR230" i="3"/>
  <c r="AE232" i="3"/>
  <c r="AG232" i="3" s="1"/>
  <c r="AF233" i="3" s="1"/>
  <c r="BE230" i="3"/>
  <c r="BG230" i="3" s="1"/>
  <c r="BF231" i="3" s="1"/>
  <c r="BR229" i="3"/>
  <c r="R228" i="3"/>
  <c r="AE228" i="3"/>
  <c r="AR234" i="3"/>
  <c r="G232" i="3"/>
  <c r="F233" i="3" s="1"/>
  <c r="CR230" i="3"/>
  <c r="AE234" i="3"/>
  <c r="CR227" i="3"/>
  <c r="BE228" i="3"/>
  <c r="I142" i="6" l="1"/>
  <c r="J141" i="6"/>
  <c r="BT227" i="3"/>
  <c r="BT232" i="3"/>
  <c r="BS233" i="3" s="1"/>
  <c r="AT227" i="3"/>
  <c r="AU227" i="3" s="1"/>
  <c r="H231" i="3"/>
  <c r="I231" i="3" s="1"/>
  <c r="J231" i="3" s="1"/>
  <c r="BT233" i="3"/>
  <c r="BS234" i="3" s="1"/>
  <c r="BU234" i="3" s="1"/>
  <c r="CT228" i="3"/>
  <c r="CS229" i="3" s="1"/>
  <c r="BG228" i="3"/>
  <c r="BF229" i="3" s="1"/>
  <c r="BT230" i="3"/>
  <c r="BS231" i="3" s="1"/>
  <c r="AT230" i="3"/>
  <c r="AS231" i="3" s="1"/>
  <c r="DG230" i="3"/>
  <c r="DF231" i="3" s="1"/>
  <c r="CT227" i="3"/>
  <c r="CU227" i="3" s="1"/>
  <c r="CG228" i="3"/>
  <c r="CF229" i="3" s="1"/>
  <c r="T227" i="3"/>
  <c r="S228" i="3" s="1"/>
  <c r="CG227" i="3"/>
  <c r="CF228" i="3" s="1"/>
  <c r="CT232" i="3"/>
  <c r="CS233" i="3" s="1"/>
  <c r="CU233" i="3" s="1"/>
  <c r="CG231" i="3"/>
  <c r="CF232" i="3" s="1"/>
  <c r="CT230" i="3"/>
  <c r="CS231" i="3" s="1"/>
  <c r="DG232" i="3"/>
  <c r="DF233" i="3" s="1"/>
  <c r="T233" i="3"/>
  <c r="S234" i="3" s="1"/>
  <c r="BG231" i="3"/>
  <c r="BF232" i="3" s="1"/>
  <c r="H229" i="3"/>
  <c r="I229" i="3" s="1"/>
  <c r="J229" i="3" s="1"/>
  <c r="DF228" i="3"/>
  <c r="DH227" i="3"/>
  <c r="U230" i="3"/>
  <c r="V230" i="3" s="1"/>
  <c r="W230" i="3" s="1"/>
  <c r="AT229" i="3"/>
  <c r="AS230" i="3" s="1"/>
  <c r="CU234" i="3"/>
  <c r="BG227" i="3"/>
  <c r="BS228" i="3"/>
  <c r="BU227" i="3"/>
  <c r="BG229" i="3"/>
  <c r="BF230" i="3" s="1"/>
  <c r="CG230" i="3"/>
  <c r="CF231" i="3" s="1"/>
  <c r="AG233" i="3"/>
  <c r="AF234" i="3" s="1"/>
  <c r="AH230" i="3"/>
  <c r="AI230" i="3" s="1"/>
  <c r="AJ230" i="3" s="1"/>
  <c r="H233" i="3"/>
  <c r="I233" i="3" s="1"/>
  <c r="J233" i="3" s="1"/>
  <c r="AU234" i="3"/>
  <c r="T232" i="3"/>
  <c r="S233" i="3" s="1"/>
  <c r="H232" i="3"/>
  <c r="DG228" i="3"/>
  <c r="DF229" i="3" s="1"/>
  <c r="DG233" i="3"/>
  <c r="DF234" i="3" s="1"/>
  <c r="CG233" i="3"/>
  <c r="CF234" i="3" s="1"/>
  <c r="CG232" i="3"/>
  <c r="CF233" i="3" s="1"/>
  <c r="AT232" i="3"/>
  <c r="AS233" i="3" s="1"/>
  <c r="BG233" i="3"/>
  <c r="BF234" i="3" s="1"/>
  <c r="BG232" i="3"/>
  <c r="BF233" i="3" s="1"/>
  <c r="AT231" i="3"/>
  <c r="AS232" i="3" s="1"/>
  <c r="AG228" i="3"/>
  <c r="AF229" i="3" s="1"/>
  <c r="I234" i="3"/>
  <c r="J234" i="3" s="1"/>
  <c r="T228" i="3"/>
  <c r="S229" i="3" s="1"/>
  <c r="F228" i="3"/>
  <c r="H227" i="3"/>
  <c r="CT231" i="3"/>
  <c r="CS232" i="3" s="1"/>
  <c r="H230" i="3"/>
  <c r="I230" i="3" s="1"/>
  <c r="J230" i="3" s="1"/>
  <c r="T231" i="3"/>
  <c r="S232" i="3" s="1"/>
  <c r="AT228" i="3"/>
  <c r="AS229" i="3" s="1"/>
  <c r="CT229" i="3"/>
  <c r="CS230" i="3" s="1"/>
  <c r="AG227" i="3"/>
  <c r="BT231" i="3"/>
  <c r="BS232" i="3" s="1"/>
  <c r="BT229" i="3"/>
  <c r="BS230" i="3" s="1"/>
  <c r="CG229" i="3"/>
  <c r="CF230" i="3" s="1"/>
  <c r="BT228" i="3"/>
  <c r="BS229" i="3" s="1"/>
  <c r="DG231" i="3"/>
  <c r="DF232" i="3" s="1"/>
  <c r="AG231" i="3"/>
  <c r="AF232" i="3" s="1"/>
  <c r="I143" i="6" l="1"/>
  <c r="J142" i="6"/>
  <c r="BU233" i="3"/>
  <c r="BV233" i="3" s="1"/>
  <c r="BW233" i="3" s="1"/>
  <c r="AS228" i="3"/>
  <c r="CU231" i="3"/>
  <c r="K231" i="3"/>
  <c r="CS228" i="3"/>
  <c r="DH230" i="3"/>
  <c r="DI230" i="3" s="1"/>
  <c r="DJ230" i="3" s="1"/>
  <c r="BH232" i="3"/>
  <c r="CH227" i="3"/>
  <c r="BU231" i="3"/>
  <c r="BV231" i="3" s="1"/>
  <c r="BW231" i="3" s="1"/>
  <c r="U227" i="3"/>
  <c r="V227" i="3" s="1"/>
  <c r="U234" i="3"/>
  <c r="V234" i="3" s="1"/>
  <c r="BH231" i="3"/>
  <c r="BI231" i="3" s="1"/>
  <c r="BJ231" i="3" s="1"/>
  <c r="AH233" i="3"/>
  <c r="AI233" i="3" s="1"/>
  <c r="AJ233" i="3" s="1"/>
  <c r="CU230" i="3"/>
  <c r="CV230" i="3" s="1"/>
  <c r="CW230" i="3" s="1"/>
  <c r="CH233" i="3"/>
  <c r="CI233" i="3" s="1"/>
  <c r="CJ233" i="3" s="1"/>
  <c r="U228" i="3"/>
  <c r="V228" i="3" s="1"/>
  <c r="W228" i="3" s="1"/>
  <c r="AU229" i="3"/>
  <c r="AV229" i="3" s="1"/>
  <c r="AW229" i="3" s="1"/>
  <c r="CH234" i="3"/>
  <c r="CI234" i="3" s="1"/>
  <c r="CJ234" i="3" s="1"/>
  <c r="AV234" i="3"/>
  <c r="AW234" i="3" s="1"/>
  <c r="AU230" i="3"/>
  <c r="AV230" i="3" s="1"/>
  <c r="AW230" i="3" s="1"/>
  <c r="U232" i="3"/>
  <c r="V232" i="3" s="1"/>
  <c r="W232" i="3" s="1"/>
  <c r="DH234" i="3"/>
  <c r="DI234" i="3" s="1"/>
  <c r="DJ234" i="3" s="1"/>
  <c r="CV227" i="3"/>
  <c r="AH232" i="3"/>
  <c r="AI232" i="3" s="1"/>
  <c r="AJ232" i="3" s="1"/>
  <c r="BI232" i="3"/>
  <c r="BJ232" i="3" s="1"/>
  <c r="CU228" i="3"/>
  <c r="CV228" i="3" s="1"/>
  <c r="CW228" i="3" s="1"/>
  <c r="DH232" i="3"/>
  <c r="U231" i="3"/>
  <c r="CI227" i="3"/>
  <c r="K229" i="3"/>
  <c r="BV234" i="3"/>
  <c r="BW234" i="3" s="1"/>
  <c r="DH231" i="3"/>
  <c r="AH229" i="3"/>
  <c r="AI229" i="3" s="1"/>
  <c r="AJ229" i="3" s="1"/>
  <c r="K233" i="3"/>
  <c r="CH228" i="3"/>
  <c r="CU229" i="3"/>
  <c r="BU229" i="3"/>
  <c r="BV229" i="3" s="1"/>
  <c r="BW229" i="3" s="1"/>
  <c r="K234" i="3"/>
  <c r="AK230" i="3"/>
  <c r="CH230" i="3"/>
  <c r="CI230" i="3" s="1"/>
  <c r="CJ230" i="3" s="1"/>
  <c r="AU232" i="3"/>
  <c r="AV232" i="3" s="1"/>
  <c r="AW232" i="3" s="1"/>
  <c r="DH229" i="3"/>
  <c r="CH231" i="3"/>
  <c r="CI231" i="3" s="1"/>
  <c r="CJ231" i="3" s="1"/>
  <c r="X230" i="3"/>
  <c r="BU230" i="3"/>
  <c r="BV230" i="3" s="1"/>
  <c r="BW230" i="3" s="1"/>
  <c r="K230" i="3"/>
  <c r="I232" i="3"/>
  <c r="J232" i="3" s="1"/>
  <c r="AH234" i="3"/>
  <c r="AI234" i="3" s="1"/>
  <c r="AJ234" i="3" s="1"/>
  <c r="BH230" i="3"/>
  <c r="CV233" i="3"/>
  <c r="CW233" i="3" s="1"/>
  <c r="AU231" i="3"/>
  <c r="CU232" i="3"/>
  <c r="CV232" i="3" s="1"/>
  <c r="CW232" i="3" s="1"/>
  <c r="BH233" i="3"/>
  <c r="BI233" i="3" s="1"/>
  <c r="BJ233" i="3" s="1"/>
  <c r="AU228" i="3"/>
  <c r="AV228" i="3" s="1"/>
  <c r="AW228" i="3" s="1"/>
  <c r="BV227" i="3"/>
  <c r="BU232" i="3"/>
  <c r="BV232" i="3" s="1"/>
  <c r="BW232" i="3" s="1"/>
  <c r="U233" i="3"/>
  <c r="V233" i="3" s="1"/>
  <c r="W233" i="3" s="1"/>
  <c r="AV227" i="3"/>
  <c r="BU228" i="3"/>
  <c r="BV228" i="3" s="1"/>
  <c r="BW228" i="3" s="1"/>
  <c r="DK230" i="3"/>
  <c r="BX233" i="3"/>
  <c r="I227" i="3"/>
  <c r="CH229" i="3"/>
  <c r="CV234" i="3"/>
  <c r="CW234" i="3" s="1"/>
  <c r="DH233" i="3"/>
  <c r="CH232" i="3"/>
  <c r="AH227" i="3"/>
  <c r="AF228" i="3"/>
  <c r="H228" i="3"/>
  <c r="I228" i="3" s="1"/>
  <c r="J228" i="3" s="1"/>
  <c r="BH234" i="3"/>
  <c r="BI234" i="3" s="1"/>
  <c r="BJ234" i="3" s="1"/>
  <c r="DI227" i="3"/>
  <c r="U229" i="3"/>
  <c r="V229" i="3" s="1"/>
  <c r="W229" i="3" s="1"/>
  <c r="BF228" i="3"/>
  <c r="BH227" i="3"/>
  <c r="DH228" i="3"/>
  <c r="BH229" i="3"/>
  <c r="CV231" i="3"/>
  <c r="CW231" i="3" s="1"/>
  <c r="AH231" i="3"/>
  <c r="AU233" i="3"/>
  <c r="AV233" i="3" s="1"/>
  <c r="AW233" i="3" s="1"/>
  <c r="I144" i="6" l="1"/>
  <c r="J143" i="6"/>
  <c r="BP240" i="3" a="1"/>
  <c r="BP277" i="3" s="1"/>
  <c r="AK233" i="3"/>
  <c r="W234" i="3"/>
  <c r="X234" i="3" s="1"/>
  <c r="P240" i="3" a="1"/>
  <c r="P279" i="3" s="1"/>
  <c r="DC240" i="3" a="1"/>
  <c r="DC249" i="3" s="1"/>
  <c r="AX234" i="3"/>
  <c r="DI228" i="3"/>
  <c r="DJ228" i="3" s="1"/>
  <c r="C240" i="3" a="1"/>
  <c r="C266" i="3" s="1"/>
  <c r="AX233" i="3"/>
  <c r="X232" i="3"/>
  <c r="X229" i="3"/>
  <c r="AI231" i="3"/>
  <c r="AJ231" i="3" s="1"/>
  <c r="BK234" i="3"/>
  <c r="AX228" i="3"/>
  <c r="AK234" i="3"/>
  <c r="AX232" i="3"/>
  <c r="CX228" i="3"/>
  <c r="X228" i="3"/>
  <c r="DJ227" i="3"/>
  <c r="DK227" i="3" s="1"/>
  <c r="BX228" i="3"/>
  <c r="AK229" i="3"/>
  <c r="AX230" i="3"/>
  <c r="CX234" i="3"/>
  <c r="BI229" i="3"/>
  <c r="BJ229" i="3" s="1"/>
  <c r="K228" i="3"/>
  <c r="AW227" i="3"/>
  <c r="K232" i="3"/>
  <c r="CK230" i="3"/>
  <c r="DI231" i="3"/>
  <c r="DJ231" i="3" s="1"/>
  <c r="DK228" i="3"/>
  <c r="BK233" i="3"/>
  <c r="AH228" i="3"/>
  <c r="AI228" i="3" s="1"/>
  <c r="AJ228" i="3" s="1"/>
  <c r="AP240" i="3" a="1"/>
  <c r="AK232" i="3"/>
  <c r="BI227" i="3"/>
  <c r="AI227" i="3"/>
  <c r="BX230" i="3"/>
  <c r="CJ227" i="3"/>
  <c r="CK234" i="3"/>
  <c r="BK232" i="3"/>
  <c r="W227" i="3"/>
  <c r="BH228" i="3"/>
  <c r="BI228" i="3" s="1"/>
  <c r="BJ228" i="3" s="1"/>
  <c r="CI232" i="3"/>
  <c r="CJ232" i="3" s="1"/>
  <c r="CW227" i="3"/>
  <c r="DI233" i="3"/>
  <c r="DJ233" i="3" s="1"/>
  <c r="X233" i="3"/>
  <c r="CX232" i="3"/>
  <c r="CC240" i="3" a="1"/>
  <c r="BX234" i="3"/>
  <c r="CK233" i="3"/>
  <c r="AV231" i="3"/>
  <c r="AW231" i="3" s="1"/>
  <c r="BX229" i="3"/>
  <c r="CX231" i="3"/>
  <c r="CP240" i="3" a="1"/>
  <c r="BK231" i="3"/>
  <c r="CI229" i="3"/>
  <c r="CJ229" i="3" s="1"/>
  <c r="BX232" i="3"/>
  <c r="CK231" i="3"/>
  <c r="V231" i="3"/>
  <c r="W231" i="3" s="1"/>
  <c r="BX231" i="3"/>
  <c r="J227" i="3"/>
  <c r="E240" i="3" s="1" a="1"/>
  <c r="D240" i="3" a="1"/>
  <c r="CX233" i="3"/>
  <c r="CV229" i="3"/>
  <c r="CW229" i="3" s="1"/>
  <c r="DI232" i="3"/>
  <c r="DJ232" i="3" s="1"/>
  <c r="DK234" i="3"/>
  <c r="BW227" i="3"/>
  <c r="BQ240" i="3" a="1"/>
  <c r="BI230" i="3"/>
  <c r="BJ230" i="3" s="1"/>
  <c r="DI229" i="3"/>
  <c r="DJ229" i="3" s="1"/>
  <c r="CI228" i="3"/>
  <c r="CJ228" i="3" s="1"/>
  <c r="AX229" i="3"/>
  <c r="CX230" i="3"/>
  <c r="J144" i="6" l="1"/>
  <c r="I145" i="6"/>
  <c r="BP280" i="3"/>
  <c r="BP250" i="3"/>
  <c r="BP261" i="3"/>
  <c r="BP262" i="3"/>
  <c r="BP266" i="3"/>
  <c r="BP249" i="3"/>
  <c r="BP251" i="3"/>
  <c r="BP278" i="3"/>
  <c r="BP265" i="3"/>
  <c r="BP254" i="3"/>
  <c r="BP259" i="3"/>
  <c r="BP267" i="3"/>
  <c r="BP258" i="3"/>
  <c r="BP240" i="3"/>
  <c r="BP252" i="3"/>
  <c r="BP263" i="3"/>
  <c r="BP272" i="3"/>
  <c r="BP245" i="3"/>
  <c r="BP246" i="3"/>
  <c r="BP247" i="3"/>
  <c r="BP274" i="3"/>
  <c r="BP273" i="3"/>
  <c r="BP248" i="3"/>
  <c r="BP268" i="3"/>
  <c r="BP255" i="3"/>
  <c r="BP269" i="3"/>
  <c r="BP275" i="3"/>
  <c r="BP241" i="3"/>
  <c r="BP253" i="3"/>
  <c r="BP264" i="3"/>
  <c r="BP279" i="3"/>
  <c r="BP242" i="3"/>
  <c r="BP243" i="3"/>
  <c r="BP244" i="3"/>
  <c r="BP257" i="3"/>
  <c r="BP256" i="3"/>
  <c r="BP270" i="3"/>
  <c r="BP276" i="3"/>
  <c r="BP260" i="3"/>
  <c r="BP271" i="3"/>
  <c r="P273" i="3"/>
  <c r="P243" i="3"/>
  <c r="P275" i="3"/>
  <c r="P278" i="3"/>
  <c r="P253" i="3"/>
  <c r="DC273" i="3"/>
  <c r="DC262" i="3"/>
  <c r="P248" i="3"/>
  <c r="P255" i="3"/>
  <c r="P267" i="3"/>
  <c r="P268" i="3"/>
  <c r="P244" i="3"/>
  <c r="DC272" i="3"/>
  <c r="DC263" i="3"/>
  <c r="DC246" i="3"/>
  <c r="DC268" i="3"/>
  <c r="P245" i="3"/>
  <c r="P251" i="3"/>
  <c r="P241" i="3"/>
  <c r="DC250" i="3"/>
  <c r="P259" i="3"/>
  <c r="P277" i="3"/>
  <c r="P260" i="3"/>
  <c r="AC240" i="3" a="1"/>
  <c r="AC279" i="3" s="1"/>
  <c r="P249" i="3"/>
  <c r="DC269" i="3"/>
  <c r="DC247" i="3"/>
  <c r="DC254" i="3"/>
  <c r="DC264" i="3"/>
  <c r="P269" i="3"/>
  <c r="P271" i="3"/>
  <c r="DC255" i="3"/>
  <c r="DC248" i="3"/>
  <c r="K227" i="3"/>
  <c r="F240" i="3" s="1" a="1"/>
  <c r="F255" i="3" s="1"/>
  <c r="P274" i="3"/>
  <c r="DC256" i="3"/>
  <c r="P246" i="3"/>
  <c r="P276" i="3"/>
  <c r="DC257" i="3"/>
  <c r="Q240" i="3" a="1"/>
  <c r="Q252" i="3" s="1"/>
  <c r="DC259" i="3"/>
  <c r="DC277" i="3"/>
  <c r="P266" i="3"/>
  <c r="P242" i="3"/>
  <c r="DC240" i="3"/>
  <c r="P280" i="3"/>
  <c r="P247" i="3"/>
  <c r="DC252" i="3"/>
  <c r="DC265" i="3"/>
  <c r="DC260" i="3"/>
  <c r="DC242" i="3"/>
  <c r="BC240" i="3" a="1"/>
  <c r="BC271" i="3" s="1"/>
  <c r="DC270" i="3"/>
  <c r="P250" i="3"/>
  <c r="P256" i="3"/>
  <c r="DC271" i="3"/>
  <c r="P261" i="3"/>
  <c r="P240" i="3"/>
  <c r="DC241" i="3"/>
  <c r="P265" i="3"/>
  <c r="P258" i="3"/>
  <c r="DC253" i="3"/>
  <c r="DC261" i="3"/>
  <c r="C246" i="3"/>
  <c r="C261" i="3"/>
  <c r="C240" i="3"/>
  <c r="C260" i="3"/>
  <c r="C248" i="3"/>
  <c r="C267" i="3"/>
  <c r="C247" i="3"/>
  <c r="C249" i="3"/>
  <c r="C276" i="3"/>
  <c r="C252" i="3"/>
  <c r="C241" i="3"/>
  <c r="C251" i="3"/>
  <c r="C269" i="3"/>
  <c r="DC275" i="3"/>
  <c r="DC280" i="3"/>
  <c r="DC258" i="3"/>
  <c r="C274" i="3"/>
  <c r="C242" i="3"/>
  <c r="C277" i="3"/>
  <c r="C254" i="3"/>
  <c r="DC276" i="3"/>
  <c r="DC244" i="3"/>
  <c r="DC274" i="3"/>
  <c r="C263" i="3"/>
  <c r="C278" i="3"/>
  <c r="C255" i="3"/>
  <c r="DC278" i="3"/>
  <c r="DC245" i="3"/>
  <c r="P257" i="3"/>
  <c r="P252" i="3"/>
  <c r="P270" i="3"/>
  <c r="C264" i="3"/>
  <c r="C257" i="3"/>
  <c r="C272" i="3"/>
  <c r="DC279" i="3"/>
  <c r="DC266" i="3"/>
  <c r="C253" i="3"/>
  <c r="C265" i="3"/>
  <c r="C256" i="3"/>
  <c r="C262" i="3"/>
  <c r="C275" i="3"/>
  <c r="C243" i="3"/>
  <c r="C271" i="3"/>
  <c r="C279" i="3"/>
  <c r="P262" i="3"/>
  <c r="P254" i="3"/>
  <c r="P263" i="3"/>
  <c r="C244" i="3"/>
  <c r="C258" i="3"/>
  <c r="C273" i="3"/>
  <c r="DC243" i="3"/>
  <c r="DC267" i="3"/>
  <c r="P264" i="3"/>
  <c r="P272" i="3"/>
  <c r="C268" i="3"/>
  <c r="C280" i="3"/>
  <c r="C250" i="3"/>
  <c r="DC251" i="3"/>
  <c r="C270" i="3"/>
  <c r="C245" i="3"/>
  <c r="C259" i="3"/>
  <c r="AX231" i="3"/>
  <c r="DK233" i="3"/>
  <c r="X231" i="3"/>
  <c r="CD240" i="3" a="1"/>
  <c r="CE240" i="3" a="1"/>
  <c r="AP274" i="3"/>
  <c r="AP258" i="3"/>
  <c r="AP242" i="3"/>
  <c r="AP273" i="3"/>
  <c r="AP257" i="3"/>
  <c r="AP241" i="3"/>
  <c r="AP271" i="3"/>
  <c r="AP255" i="3"/>
  <c r="AP277" i="3"/>
  <c r="AP256" i="3"/>
  <c r="AP275" i="3"/>
  <c r="AP253" i="3"/>
  <c r="AP260" i="3"/>
  <c r="AP280" i="3"/>
  <c r="AP259" i="3"/>
  <c r="AP279" i="3"/>
  <c r="AP254" i="3"/>
  <c r="AP278" i="3"/>
  <c r="AP252" i="3"/>
  <c r="AP276" i="3"/>
  <c r="AP251" i="3"/>
  <c r="AP270" i="3"/>
  <c r="AP249" i="3"/>
  <c r="AP269" i="3"/>
  <c r="AP248" i="3"/>
  <c r="AP268" i="3"/>
  <c r="AP247" i="3"/>
  <c r="AP240" i="3"/>
  <c r="AP272" i="3"/>
  <c r="AP267" i="3"/>
  <c r="AP266" i="3"/>
  <c r="AP265" i="3"/>
  <c r="AP264" i="3"/>
  <c r="AP263" i="3"/>
  <c r="AP262" i="3"/>
  <c r="AP261" i="3"/>
  <c r="AP250" i="3"/>
  <c r="AP246" i="3"/>
  <c r="AP245" i="3"/>
  <c r="AP244" i="3"/>
  <c r="AP243" i="3"/>
  <c r="CQ240" i="3" a="1"/>
  <c r="CR240" i="3" a="1"/>
  <c r="CX227" i="3"/>
  <c r="AJ227" i="3"/>
  <c r="AE240" i="3" s="1" a="1"/>
  <c r="AD240" i="3" a="1"/>
  <c r="AK228" i="3"/>
  <c r="AK231" i="3"/>
  <c r="CK227" i="3"/>
  <c r="BK229" i="3"/>
  <c r="CK232" i="3"/>
  <c r="BJ227" i="3"/>
  <c r="BE240" i="3" s="1" a="1"/>
  <c r="BD240" i="3" a="1"/>
  <c r="DK229" i="3"/>
  <c r="DK232" i="3"/>
  <c r="CK229" i="3"/>
  <c r="BK228" i="3"/>
  <c r="BK230" i="3"/>
  <c r="CK228" i="3"/>
  <c r="DD240" i="3" a="1"/>
  <c r="CX229" i="3"/>
  <c r="R240" i="3" a="1"/>
  <c r="X227" i="3"/>
  <c r="DK231" i="3"/>
  <c r="DE240" i="3" a="1"/>
  <c r="BQ274" i="3"/>
  <c r="BQ258" i="3"/>
  <c r="BQ242" i="3"/>
  <c r="BQ273" i="3"/>
  <c r="BQ257" i="3"/>
  <c r="BQ241" i="3"/>
  <c r="BQ272" i="3"/>
  <c r="BQ256" i="3"/>
  <c r="BQ240" i="3"/>
  <c r="BQ271" i="3"/>
  <c r="BQ255" i="3"/>
  <c r="BQ279" i="3"/>
  <c r="BQ259" i="3"/>
  <c r="BQ278" i="3"/>
  <c r="BQ254" i="3"/>
  <c r="BQ277" i="3"/>
  <c r="BQ253" i="3"/>
  <c r="BQ264" i="3"/>
  <c r="BQ263" i="3"/>
  <c r="BQ262" i="3"/>
  <c r="BQ261" i="3"/>
  <c r="BQ260" i="3"/>
  <c r="BQ252" i="3"/>
  <c r="BQ251" i="3"/>
  <c r="BQ280" i="3"/>
  <c r="BQ250" i="3"/>
  <c r="BQ276" i="3"/>
  <c r="BQ249" i="3"/>
  <c r="BQ275" i="3"/>
  <c r="BQ248" i="3"/>
  <c r="BQ270" i="3"/>
  <c r="BQ269" i="3"/>
  <c r="BQ268" i="3"/>
  <c r="BQ267" i="3"/>
  <c r="BQ266" i="3"/>
  <c r="BQ265" i="3"/>
  <c r="BQ247" i="3"/>
  <c r="BQ246" i="3"/>
  <c r="BQ245" i="3"/>
  <c r="BQ244" i="3"/>
  <c r="BQ243" i="3"/>
  <c r="BR240" i="3" a="1"/>
  <c r="BX227" i="3"/>
  <c r="BS240" i="3" s="1" a="1"/>
  <c r="D272" i="3"/>
  <c r="D256" i="3"/>
  <c r="D240" i="3"/>
  <c r="D268" i="3"/>
  <c r="D265" i="3"/>
  <c r="D248" i="3"/>
  <c r="D264" i="3"/>
  <c r="D247" i="3"/>
  <c r="D263" i="3"/>
  <c r="D246" i="3"/>
  <c r="D279" i="3"/>
  <c r="D261" i="3"/>
  <c r="D244" i="3"/>
  <c r="D277" i="3"/>
  <c r="D259" i="3"/>
  <c r="D242" i="3"/>
  <c r="D271" i="3"/>
  <c r="D245" i="3"/>
  <c r="D270" i="3"/>
  <c r="D243" i="3"/>
  <c r="D269" i="3"/>
  <c r="D241" i="3"/>
  <c r="D267" i="3"/>
  <c r="D266" i="3"/>
  <c r="D262" i="3"/>
  <c r="D260" i="3"/>
  <c r="D258" i="3"/>
  <c r="D257" i="3"/>
  <c r="D255" i="3"/>
  <c r="D280" i="3"/>
  <c r="D254" i="3"/>
  <c r="D278" i="3"/>
  <c r="D253" i="3"/>
  <c r="D276" i="3"/>
  <c r="D252" i="3"/>
  <c r="D249" i="3"/>
  <c r="D275" i="3"/>
  <c r="D274" i="3"/>
  <c r="D273" i="3"/>
  <c r="D251" i="3"/>
  <c r="D250" i="3"/>
  <c r="CP277" i="3"/>
  <c r="CP261" i="3"/>
  <c r="CP245" i="3"/>
  <c r="CP271" i="3"/>
  <c r="CP270" i="3"/>
  <c r="CP253" i="3"/>
  <c r="CP265" i="3"/>
  <c r="CP247" i="3"/>
  <c r="CP264" i="3"/>
  <c r="CP246" i="3"/>
  <c r="CP263" i="3"/>
  <c r="CP244" i="3"/>
  <c r="CP262" i="3"/>
  <c r="CP243" i="3"/>
  <c r="CP280" i="3"/>
  <c r="CP260" i="3"/>
  <c r="CP242" i="3"/>
  <c r="CP278" i="3"/>
  <c r="CP258" i="3"/>
  <c r="CP240" i="3"/>
  <c r="CP266" i="3"/>
  <c r="CP259" i="3"/>
  <c r="CP257" i="3"/>
  <c r="CP256" i="3"/>
  <c r="CP255" i="3"/>
  <c r="CP275" i="3"/>
  <c r="CP274" i="3"/>
  <c r="CP273" i="3"/>
  <c r="CP272" i="3"/>
  <c r="CP269" i="3"/>
  <c r="CP268" i="3"/>
  <c r="CP267" i="3"/>
  <c r="CP254" i="3"/>
  <c r="CP252" i="3"/>
  <c r="CP251" i="3"/>
  <c r="CP250" i="3"/>
  <c r="CP249" i="3"/>
  <c r="CP248" i="3"/>
  <c r="CP241" i="3"/>
  <c r="CP279" i="3"/>
  <c r="CP276" i="3"/>
  <c r="CC280" i="3"/>
  <c r="CC264" i="3"/>
  <c r="CC248" i="3"/>
  <c r="CC276" i="3"/>
  <c r="CC259" i="3"/>
  <c r="CC242" i="3"/>
  <c r="CC275" i="3"/>
  <c r="CC257" i="3"/>
  <c r="CC274" i="3"/>
  <c r="CC256" i="3"/>
  <c r="CC273" i="3"/>
  <c r="CC255" i="3"/>
  <c r="CC272" i="3"/>
  <c r="CC254" i="3"/>
  <c r="CC271" i="3"/>
  <c r="CC253" i="3"/>
  <c r="CC277" i="3"/>
  <c r="CC247" i="3"/>
  <c r="CC270" i="3"/>
  <c r="CC269" i="3"/>
  <c r="CC245" i="3"/>
  <c r="CC268" i="3"/>
  <c r="CC244" i="3"/>
  <c r="CC267" i="3"/>
  <c r="CC243" i="3"/>
  <c r="CC241" i="3"/>
  <c r="CC240" i="3"/>
  <c r="CC279" i="3"/>
  <c r="CC278" i="3"/>
  <c r="CC266" i="3"/>
  <c r="CC265" i="3"/>
  <c r="CC263" i="3"/>
  <c r="CC262" i="3"/>
  <c r="CC261" i="3"/>
  <c r="CC260" i="3"/>
  <c r="CC258" i="3"/>
  <c r="CC252" i="3"/>
  <c r="CC251" i="3"/>
  <c r="CC250" i="3"/>
  <c r="CC249" i="3"/>
  <c r="CC246" i="3"/>
  <c r="E278" i="3"/>
  <c r="E262" i="3"/>
  <c r="E246" i="3"/>
  <c r="E277" i="3"/>
  <c r="E260" i="3"/>
  <c r="E243" i="3"/>
  <c r="E279" i="3"/>
  <c r="E259" i="3"/>
  <c r="E241" i="3"/>
  <c r="E276" i="3"/>
  <c r="E258" i="3"/>
  <c r="E240" i="3"/>
  <c r="E275" i="3"/>
  <c r="E257" i="3"/>
  <c r="E273" i="3"/>
  <c r="E255" i="3"/>
  <c r="E271" i="3"/>
  <c r="E253" i="3"/>
  <c r="E254" i="3"/>
  <c r="E252" i="3"/>
  <c r="E251" i="3"/>
  <c r="E280" i="3"/>
  <c r="E250" i="3"/>
  <c r="E274" i="3"/>
  <c r="E249" i="3"/>
  <c r="E272" i="3"/>
  <c r="E248" i="3"/>
  <c r="E270" i="3"/>
  <c r="E247" i="3"/>
  <c r="E269" i="3"/>
  <c r="E245" i="3"/>
  <c r="E268" i="3"/>
  <c r="E244" i="3"/>
  <c r="E267" i="3"/>
  <c r="E242" i="3"/>
  <c r="E266" i="3"/>
  <c r="E265" i="3"/>
  <c r="E264" i="3"/>
  <c r="E263" i="3"/>
  <c r="E261" i="3"/>
  <c r="E256" i="3"/>
  <c r="AQ240" i="3" a="1"/>
  <c r="AR240" i="3" a="1"/>
  <c r="AX227" i="3"/>
  <c r="I146" i="6" l="1"/>
  <c r="J145" i="6"/>
  <c r="AC245" i="3"/>
  <c r="AC249" i="3"/>
  <c r="AC242" i="3"/>
  <c r="F269" i="3"/>
  <c r="F273" i="3"/>
  <c r="AC243" i="3"/>
  <c r="AC269" i="3"/>
  <c r="AC263" i="3"/>
  <c r="AC246" i="3"/>
  <c r="AC250" i="3"/>
  <c r="AC247" i="3"/>
  <c r="AC248" i="3"/>
  <c r="AC270" i="3"/>
  <c r="AC265" i="3"/>
  <c r="AC252" i="3"/>
  <c r="AC244" i="3"/>
  <c r="F277" i="3"/>
  <c r="G277" i="3" s="1"/>
  <c r="AC271" i="3"/>
  <c r="AC260" i="3"/>
  <c r="AC251" i="3"/>
  <c r="F260" i="3"/>
  <c r="G260" i="3" s="1"/>
  <c r="AC258" i="3"/>
  <c r="F247" i="3"/>
  <c r="G247" i="3" s="1"/>
  <c r="AC259" i="3"/>
  <c r="AC253" i="3"/>
  <c r="AC276" i="3"/>
  <c r="AC273" i="3"/>
  <c r="AC262" i="3"/>
  <c r="AC261" i="3"/>
  <c r="AC264" i="3"/>
  <c r="AC254" i="3"/>
  <c r="AC277" i="3"/>
  <c r="AC266" i="3"/>
  <c r="AC274" i="3"/>
  <c r="BC274" i="3"/>
  <c r="AC267" i="3"/>
  <c r="AC255" i="3"/>
  <c r="BC272" i="3"/>
  <c r="AC268" i="3"/>
  <c r="AC275" i="3"/>
  <c r="AC272" i="3"/>
  <c r="AC256" i="3"/>
  <c r="AC280" i="3"/>
  <c r="AC278" i="3"/>
  <c r="AC240" i="3"/>
  <c r="AC257" i="3"/>
  <c r="AC241" i="3"/>
  <c r="Q257" i="3"/>
  <c r="F261" i="3"/>
  <c r="G261" i="3" s="1"/>
  <c r="F270" i="3"/>
  <c r="G270" i="3" s="1"/>
  <c r="Q241" i="3"/>
  <c r="BC276" i="3"/>
  <c r="Q240" i="3"/>
  <c r="Q258" i="3"/>
  <c r="BC275" i="3"/>
  <c r="F245" i="3"/>
  <c r="G245" i="3" s="1"/>
  <c r="Q272" i="3"/>
  <c r="F275" i="3"/>
  <c r="G275" i="3" s="1"/>
  <c r="F252" i="3"/>
  <c r="G252" i="3" s="1"/>
  <c r="Q270" i="3"/>
  <c r="Q255" i="3"/>
  <c r="BC259" i="3"/>
  <c r="F274" i="3"/>
  <c r="G274" i="3" s="1"/>
  <c r="F253" i="3"/>
  <c r="G253" i="3" s="1"/>
  <c r="Q254" i="3"/>
  <c r="F240" i="3"/>
  <c r="G240" i="3" s="1"/>
  <c r="H241" i="3" s="1"/>
  <c r="F268" i="3"/>
  <c r="G268" i="3" s="1"/>
  <c r="Q274" i="3"/>
  <c r="Q261" i="3"/>
  <c r="Q273" i="3"/>
  <c r="BC261" i="3"/>
  <c r="F262" i="3"/>
  <c r="G262" i="3" s="1"/>
  <c r="Q259" i="3"/>
  <c r="Q260" i="3"/>
  <c r="F246" i="3"/>
  <c r="G246" i="3" s="1"/>
  <c r="F263" i="3"/>
  <c r="G263" i="3" s="1"/>
  <c r="F276" i="3"/>
  <c r="G276" i="3" s="1"/>
  <c r="F241" i="3"/>
  <c r="G241" i="3" s="1"/>
  <c r="Q275" i="3"/>
  <c r="Q263" i="3"/>
  <c r="Q245" i="3"/>
  <c r="BC269" i="3"/>
  <c r="F248" i="3"/>
  <c r="G248" i="3" s="1"/>
  <c r="F264" i="3"/>
  <c r="G264" i="3" s="1"/>
  <c r="Q242" i="3"/>
  <c r="Q267" i="3"/>
  <c r="Q262" i="3"/>
  <c r="BC248" i="3"/>
  <c r="Q276" i="3"/>
  <c r="Q271" i="3"/>
  <c r="Q279" i="3"/>
  <c r="Q264" i="3"/>
  <c r="F278" i="3"/>
  <c r="G278" i="3" s="1"/>
  <c r="Q277" i="3"/>
  <c r="Q269" i="3"/>
  <c r="F267" i="3"/>
  <c r="G267" i="3" s="1"/>
  <c r="F279" i="3"/>
  <c r="G279" i="3" s="1"/>
  <c r="F242" i="3"/>
  <c r="G242" i="3" s="1"/>
  <c r="F257" i="3"/>
  <c r="G257" i="3" s="1"/>
  <c r="F271" i="3"/>
  <c r="G271" i="3" s="1"/>
  <c r="Q249" i="3"/>
  <c r="Q266" i="3"/>
  <c r="Q246" i="3"/>
  <c r="F250" i="3"/>
  <c r="G250" i="3" s="1"/>
  <c r="F265" i="3"/>
  <c r="G265" i="3" s="1"/>
  <c r="Q243" i="3"/>
  <c r="Q253" i="3"/>
  <c r="BC249" i="3"/>
  <c r="F249" i="3"/>
  <c r="G249" i="3" s="1"/>
  <c r="Q247" i="3"/>
  <c r="BC273" i="3"/>
  <c r="F256" i="3"/>
  <c r="G256" i="3" s="1"/>
  <c r="Q244" i="3"/>
  <c r="Q265" i="3"/>
  <c r="F251" i="3"/>
  <c r="G251" i="3" s="1"/>
  <c r="Q280" i="3"/>
  <c r="Q250" i="3"/>
  <c r="Q278" i="3"/>
  <c r="Q248" i="3"/>
  <c r="F243" i="3"/>
  <c r="G243" i="3" s="1"/>
  <c r="F280" i="3"/>
  <c r="F254" i="3"/>
  <c r="G254" i="3" s="1"/>
  <c r="F244" i="3"/>
  <c r="G244" i="3" s="1"/>
  <c r="F258" i="3"/>
  <c r="G258" i="3" s="1"/>
  <c r="F272" i="3"/>
  <c r="G272" i="3" s="1"/>
  <c r="Q251" i="3"/>
  <c r="Q268" i="3"/>
  <c r="F266" i="3"/>
  <c r="G266" i="3" s="1"/>
  <c r="F259" i="3"/>
  <c r="G259" i="3" s="1"/>
  <c r="Q256" i="3"/>
  <c r="BC240" i="3"/>
  <c r="BC241" i="3"/>
  <c r="BC263" i="3"/>
  <c r="BC260" i="3"/>
  <c r="BC242" i="3"/>
  <c r="BC279" i="3"/>
  <c r="BC278" i="3"/>
  <c r="BC264" i="3"/>
  <c r="BC243" i="3"/>
  <c r="BC262" i="3"/>
  <c r="BC250" i="3"/>
  <c r="BC265" i="3"/>
  <c r="BC252" i="3"/>
  <c r="BC280" i="3"/>
  <c r="BC253" i="3"/>
  <c r="BC266" i="3"/>
  <c r="BC254" i="3"/>
  <c r="BC244" i="3"/>
  <c r="BC251" i="3"/>
  <c r="BC245" i="3"/>
  <c r="BC268" i="3"/>
  <c r="BC256" i="3"/>
  <c r="BC246" i="3"/>
  <c r="BC270" i="3"/>
  <c r="AS240" i="3" a="1"/>
  <c r="AS244" i="3" s="1"/>
  <c r="BC257" i="3"/>
  <c r="BC267" i="3"/>
  <c r="BC255" i="3"/>
  <c r="BC277" i="3"/>
  <c r="BC258" i="3"/>
  <c r="BC247" i="3"/>
  <c r="G255" i="3"/>
  <c r="AK227" i="3"/>
  <c r="AF240" i="3" s="1" a="1"/>
  <c r="AF245" i="3" s="1"/>
  <c r="S240" i="3" a="1"/>
  <c r="S246" i="3" s="1"/>
  <c r="DF240" i="3" a="1"/>
  <c r="DF241" i="3" s="1"/>
  <c r="G273" i="3"/>
  <c r="G269" i="3"/>
  <c r="BK227" i="3"/>
  <c r="BF240" i="3" s="1" a="1"/>
  <c r="R275" i="3"/>
  <c r="R259" i="3"/>
  <c r="R243" i="3"/>
  <c r="R271" i="3"/>
  <c r="R254" i="3"/>
  <c r="R269" i="3"/>
  <c r="R267" i="3"/>
  <c r="R249" i="3"/>
  <c r="R266" i="3"/>
  <c r="R248" i="3"/>
  <c r="R265" i="3"/>
  <c r="R247" i="3"/>
  <c r="R263" i="3"/>
  <c r="R245" i="3"/>
  <c r="R280" i="3"/>
  <c r="R261" i="3"/>
  <c r="R242" i="3"/>
  <c r="R279" i="3"/>
  <c r="R260" i="3"/>
  <c r="R241" i="3"/>
  <c r="R278" i="3"/>
  <c r="R258" i="3"/>
  <c r="R240" i="3"/>
  <c r="R256" i="3"/>
  <c r="R255" i="3"/>
  <c r="R253" i="3"/>
  <c r="R252" i="3"/>
  <c r="R251" i="3"/>
  <c r="R250" i="3"/>
  <c r="R277" i="3"/>
  <c r="R246" i="3"/>
  <c r="R276" i="3"/>
  <c r="R244" i="3"/>
  <c r="R274" i="3"/>
  <c r="R273" i="3"/>
  <c r="R272" i="3"/>
  <c r="R270" i="3"/>
  <c r="R268" i="3"/>
  <c r="R264" i="3"/>
  <c r="R262" i="3"/>
  <c r="R257" i="3"/>
  <c r="BR280" i="3"/>
  <c r="BR264" i="3"/>
  <c r="BR248" i="3"/>
  <c r="BR279" i="3"/>
  <c r="BR263" i="3"/>
  <c r="BR247" i="3"/>
  <c r="BR278" i="3"/>
  <c r="BR262" i="3"/>
  <c r="BR246" i="3"/>
  <c r="BR277" i="3"/>
  <c r="BR261" i="3"/>
  <c r="BR245" i="3"/>
  <c r="BR259" i="3"/>
  <c r="BR257" i="3"/>
  <c r="BR276" i="3"/>
  <c r="BR256" i="3"/>
  <c r="BR275" i="3"/>
  <c r="BR255" i="3"/>
  <c r="BR274" i="3"/>
  <c r="BR250" i="3"/>
  <c r="BR273" i="3"/>
  <c r="BR249" i="3"/>
  <c r="BR272" i="3"/>
  <c r="BR244" i="3"/>
  <c r="BR271" i="3"/>
  <c r="BR243" i="3"/>
  <c r="BR270" i="3"/>
  <c r="BR242" i="3"/>
  <c r="BR269" i="3"/>
  <c r="BR241" i="3"/>
  <c r="BR268" i="3"/>
  <c r="BR240" i="3"/>
  <c r="BR267" i="3"/>
  <c r="BR266" i="3"/>
  <c r="BR265" i="3"/>
  <c r="BR260" i="3"/>
  <c r="BR252" i="3"/>
  <c r="BR251" i="3"/>
  <c r="BR258" i="3"/>
  <c r="BR254" i="3"/>
  <c r="BR253" i="3"/>
  <c r="DE270" i="3"/>
  <c r="DE254" i="3"/>
  <c r="DE266" i="3"/>
  <c r="DE249" i="3"/>
  <c r="DE265" i="3"/>
  <c r="DE248" i="3"/>
  <c r="DE262" i="3"/>
  <c r="DE243" i="3"/>
  <c r="DE280" i="3"/>
  <c r="DE261" i="3"/>
  <c r="DE242" i="3"/>
  <c r="DE279" i="3"/>
  <c r="DE260" i="3"/>
  <c r="DE241" i="3"/>
  <c r="DE278" i="3"/>
  <c r="DE259" i="3"/>
  <c r="DE240" i="3"/>
  <c r="DE277" i="3"/>
  <c r="DE258" i="3"/>
  <c r="DE275" i="3"/>
  <c r="DE256" i="3"/>
  <c r="DE274" i="3"/>
  <c r="DE255" i="3"/>
  <c r="DE250" i="3"/>
  <c r="DE247" i="3"/>
  <c r="DE246" i="3"/>
  <c r="DE276" i="3"/>
  <c r="DE245" i="3"/>
  <c r="DE273" i="3"/>
  <c r="DE244" i="3"/>
  <c r="DE257" i="3"/>
  <c r="DE253" i="3"/>
  <c r="DE252" i="3"/>
  <c r="DE251" i="3"/>
  <c r="DE272" i="3"/>
  <c r="DE271" i="3"/>
  <c r="DE264" i="3"/>
  <c r="DE263" i="3"/>
  <c r="DE269" i="3"/>
  <c r="DE268" i="3"/>
  <c r="DE267" i="3"/>
  <c r="CE276" i="3"/>
  <c r="CE260" i="3"/>
  <c r="CE244" i="3"/>
  <c r="CE278" i="3"/>
  <c r="CE261" i="3"/>
  <c r="CE243" i="3"/>
  <c r="CE265" i="3"/>
  <c r="CE247" i="3"/>
  <c r="CE264" i="3"/>
  <c r="CE246" i="3"/>
  <c r="CE263" i="3"/>
  <c r="CE245" i="3"/>
  <c r="CE280" i="3"/>
  <c r="CE262" i="3"/>
  <c r="CE242" i="3"/>
  <c r="CE279" i="3"/>
  <c r="CE259" i="3"/>
  <c r="CE241" i="3"/>
  <c r="CE275" i="3"/>
  <c r="CE257" i="3"/>
  <c r="CE272" i="3"/>
  <c r="CE248" i="3"/>
  <c r="CE271" i="3"/>
  <c r="CE240" i="3"/>
  <c r="CE270" i="3"/>
  <c r="CE269" i="3"/>
  <c r="CE268" i="3"/>
  <c r="CE277" i="3"/>
  <c r="CE274" i="3"/>
  <c r="CE273" i="3"/>
  <c r="CE267" i="3"/>
  <c r="CE266" i="3"/>
  <c r="CE258" i="3"/>
  <c r="CE256" i="3"/>
  <c r="CE255" i="3"/>
  <c r="CE254" i="3"/>
  <c r="CE253" i="3"/>
  <c r="CE252" i="3"/>
  <c r="CE250" i="3"/>
  <c r="CE249" i="3"/>
  <c r="CE251" i="3"/>
  <c r="AQ280" i="3"/>
  <c r="AQ264" i="3"/>
  <c r="AQ248" i="3"/>
  <c r="AQ279" i="3"/>
  <c r="AQ263" i="3"/>
  <c r="AQ247" i="3"/>
  <c r="AQ277" i="3"/>
  <c r="AQ261" i="3"/>
  <c r="AQ245" i="3"/>
  <c r="AQ273" i="3"/>
  <c r="AQ254" i="3"/>
  <c r="AQ271" i="3"/>
  <c r="AQ252" i="3"/>
  <c r="AQ260" i="3"/>
  <c r="AQ259" i="3"/>
  <c r="AQ258" i="3"/>
  <c r="AQ257" i="3"/>
  <c r="AQ278" i="3"/>
  <c r="AQ256" i="3"/>
  <c r="AQ275" i="3"/>
  <c r="AQ253" i="3"/>
  <c r="AQ274" i="3"/>
  <c r="AQ251" i="3"/>
  <c r="AQ272" i="3"/>
  <c r="AQ250" i="3"/>
  <c r="AQ242" i="3"/>
  <c r="AQ241" i="3"/>
  <c r="AQ240" i="3"/>
  <c r="AQ276" i="3"/>
  <c r="AQ270" i="3"/>
  <c r="AQ269" i="3"/>
  <c r="AQ268" i="3"/>
  <c r="AQ267" i="3"/>
  <c r="AQ266" i="3"/>
  <c r="AQ265" i="3"/>
  <c r="AQ262" i="3"/>
  <c r="AQ255" i="3"/>
  <c r="AQ249" i="3"/>
  <c r="AQ246" i="3"/>
  <c r="AQ244" i="3"/>
  <c r="AQ243" i="3"/>
  <c r="BD277" i="3"/>
  <c r="BD261" i="3"/>
  <c r="BD245" i="3"/>
  <c r="BD276" i="3"/>
  <c r="BD260" i="3"/>
  <c r="BD244" i="3"/>
  <c r="BD274" i="3"/>
  <c r="BD258" i="3"/>
  <c r="BD242" i="3"/>
  <c r="BD280" i="3"/>
  <c r="BD259" i="3"/>
  <c r="BD278" i="3"/>
  <c r="BD256" i="3"/>
  <c r="BD273" i="3"/>
  <c r="BD252" i="3"/>
  <c r="BD272" i="3"/>
  <c r="BD251" i="3"/>
  <c r="BD271" i="3"/>
  <c r="BD250" i="3"/>
  <c r="BD270" i="3"/>
  <c r="BD249" i="3"/>
  <c r="BD269" i="3"/>
  <c r="BD248" i="3"/>
  <c r="BD268" i="3"/>
  <c r="BD247" i="3"/>
  <c r="BD267" i="3"/>
  <c r="BD246" i="3"/>
  <c r="BD266" i="3"/>
  <c r="BD243" i="3"/>
  <c r="BD265" i="3"/>
  <c r="BD241" i="3"/>
  <c r="BD264" i="3"/>
  <c r="BD240" i="3"/>
  <c r="BD279" i="3"/>
  <c r="BD275" i="3"/>
  <c r="BD263" i="3"/>
  <c r="BD262" i="3"/>
  <c r="BD257" i="3"/>
  <c r="BD255" i="3"/>
  <c r="BD254" i="3"/>
  <c r="BD253" i="3"/>
  <c r="BS276" i="3"/>
  <c r="BS270" i="3"/>
  <c r="BS254" i="3"/>
  <c r="BS269" i="3"/>
  <c r="BS253" i="3"/>
  <c r="BS268" i="3"/>
  <c r="BS252" i="3"/>
  <c r="BS267" i="3"/>
  <c r="BS251" i="3"/>
  <c r="BS261" i="3"/>
  <c r="BS241" i="3"/>
  <c r="BS280" i="3"/>
  <c r="BS259" i="3"/>
  <c r="BS279" i="3"/>
  <c r="BS258" i="3"/>
  <c r="BS278" i="3"/>
  <c r="BS257" i="3"/>
  <c r="BS264" i="3"/>
  <c r="BS263" i="3"/>
  <c r="BS262" i="3"/>
  <c r="BS260" i="3"/>
  <c r="BS256" i="3"/>
  <c r="BS255" i="3"/>
  <c r="BS250" i="3"/>
  <c r="BS249" i="3"/>
  <c r="BS277" i="3"/>
  <c r="BS248" i="3"/>
  <c r="BS275" i="3"/>
  <c r="BS247" i="3"/>
  <c r="BS274" i="3"/>
  <c r="BS246" i="3"/>
  <c r="BS273" i="3"/>
  <c r="BS272" i="3"/>
  <c r="BS271" i="3"/>
  <c r="BS266" i="3"/>
  <c r="BS265" i="3"/>
  <c r="BS245" i="3"/>
  <c r="BS244" i="3"/>
  <c r="BS243" i="3"/>
  <c r="BS242" i="3"/>
  <c r="BS240" i="3"/>
  <c r="BE267" i="3"/>
  <c r="BE251" i="3"/>
  <c r="BE266" i="3"/>
  <c r="BE250" i="3"/>
  <c r="BE280" i="3"/>
  <c r="BE264" i="3"/>
  <c r="BE248" i="3"/>
  <c r="BE276" i="3"/>
  <c r="BE257" i="3"/>
  <c r="BE274" i="3"/>
  <c r="BE255" i="3"/>
  <c r="BE278" i="3"/>
  <c r="BE256" i="3"/>
  <c r="BE277" i="3"/>
  <c r="BE254" i="3"/>
  <c r="BE275" i="3"/>
  <c r="BE253" i="3"/>
  <c r="BE273" i="3"/>
  <c r="BE252" i="3"/>
  <c r="BE272" i="3"/>
  <c r="BE249" i="3"/>
  <c r="BE271" i="3"/>
  <c r="BE247" i="3"/>
  <c r="BE270" i="3"/>
  <c r="BE246" i="3"/>
  <c r="BE269" i="3"/>
  <c r="BE245" i="3"/>
  <c r="BE268" i="3"/>
  <c r="BE244" i="3"/>
  <c r="BE265" i="3"/>
  <c r="BE243" i="3"/>
  <c r="BE258" i="3"/>
  <c r="BE242" i="3"/>
  <c r="BE241" i="3"/>
  <c r="BE240" i="3"/>
  <c r="BE279" i="3"/>
  <c r="BE263" i="3"/>
  <c r="BE262" i="3"/>
  <c r="BE261" i="3"/>
  <c r="BE260" i="3"/>
  <c r="BE259" i="3"/>
  <c r="AR270" i="3"/>
  <c r="AR254" i="3"/>
  <c r="AR269" i="3"/>
  <c r="AR253" i="3"/>
  <c r="AR267" i="3"/>
  <c r="AR251" i="3"/>
  <c r="AR272" i="3"/>
  <c r="AR250" i="3"/>
  <c r="AR268" i="3"/>
  <c r="AR248" i="3"/>
  <c r="AR263" i="3"/>
  <c r="AR242" i="3"/>
  <c r="AR262" i="3"/>
  <c r="AR241" i="3"/>
  <c r="AR261" i="3"/>
  <c r="AR240" i="3"/>
  <c r="AR260" i="3"/>
  <c r="AR280" i="3"/>
  <c r="AR259" i="3"/>
  <c r="AR278" i="3"/>
  <c r="AR257" i="3"/>
  <c r="AR277" i="3"/>
  <c r="AR256" i="3"/>
  <c r="AR276" i="3"/>
  <c r="AR255" i="3"/>
  <c r="AR245" i="3"/>
  <c r="AR244" i="3"/>
  <c r="AR243" i="3"/>
  <c r="AR279" i="3"/>
  <c r="AR275" i="3"/>
  <c r="AR274" i="3"/>
  <c r="AR273" i="3"/>
  <c r="AR271" i="3"/>
  <c r="AR266" i="3"/>
  <c r="AR265" i="3"/>
  <c r="AR264" i="3"/>
  <c r="AR258" i="3"/>
  <c r="AR252" i="3"/>
  <c r="AR249" i="3"/>
  <c r="AR247" i="3"/>
  <c r="AR246" i="3"/>
  <c r="CQ267" i="3"/>
  <c r="CQ251" i="3"/>
  <c r="CQ280" i="3"/>
  <c r="CQ263" i="3"/>
  <c r="CQ246" i="3"/>
  <c r="CQ279" i="3"/>
  <c r="CQ262" i="3"/>
  <c r="CQ245" i="3"/>
  <c r="CQ261" i="3"/>
  <c r="CQ242" i="3"/>
  <c r="CQ260" i="3"/>
  <c r="CQ241" i="3"/>
  <c r="CQ278" i="3"/>
  <c r="CQ259" i="3"/>
  <c r="CQ240" i="3"/>
  <c r="CQ277" i="3"/>
  <c r="CQ258" i="3"/>
  <c r="CQ276" i="3"/>
  <c r="CQ257" i="3"/>
  <c r="CQ274" i="3"/>
  <c r="CQ255" i="3"/>
  <c r="CQ252" i="3"/>
  <c r="CQ250" i="3"/>
  <c r="CQ249" i="3"/>
  <c r="CQ275" i="3"/>
  <c r="CQ248" i="3"/>
  <c r="CQ273" i="3"/>
  <c r="CQ247" i="3"/>
  <c r="CQ272" i="3"/>
  <c r="CQ271" i="3"/>
  <c r="CQ270" i="3"/>
  <c r="CQ269" i="3"/>
  <c r="CQ268" i="3"/>
  <c r="CQ266" i="3"/>
  <c r="CQ265" i="3"/>
  <c r="CQ264" i="3"/>
  <c r="CQ256" i="3"/>
  <c r="CQ254" i="3"/>
  <c r="CQ253" i="3"/>
  <c r="CQ244" i="3"/>
  <c r="CQ243" i="3"/>
  <c r="AD267" i="3"/>
  <c r="AD251" i="3"/>
  <c r="AD266" i="3"/>
  <c r="AD250" i="3"/>
  <c r="AD277" i="3"/>
  <c r="AD259" i="3"/>
  <c r="AD241" i="3"/>
  <c r="AD275" i="3"/>
  <c r="AD257" i="3"/>
  <c r="AD279" i="3"/>
  <c r="AD258" i="3"/>
  <c r="AD278" i="3"/>
  <c r="AD256" i="3"/>
  <c r="AD276" i="3"/>
  <c r="AD255" i="3"/>
  <c r="AD274" i="3"/>
  <c r="AD254" i="3"/>
  <c r="AD273" i="3"/>
  <c r="AD253" i="3"/>
  <c r="AD271" i="3"/>
  <c r="AD249" i="3"/>
  <c r="AD270" i="3"/>
  <c r="AD248" i="3"/>
  <c r="AD269" i="3"/>
  <c r="AD247" i="3"/>
  <c r="AD242" i="3"/>
  <c r="AD240" i="3"/>
  <c r="AD280" i="3"/>
  <c r="AD272" i="3"/>
  <c r="AD268" i="3"/>
  <c r="AD265" i="3"/>
  <c r="AD264" i="3"/>
  <c r="AD263" i="3"/>
  <c r="AD262" i="3"/>
  <c r="AD261" i="3"/>
  <c r="AD260" i="3"/>
  <c r="AD252" i="3"/>
  <c r="AD246" i="3"/>
  <c r="AD245" i="3"/>
  <c r="AD244" i="3"/>
  <c r="AD243" i="3"/>
  <c r="AE273" i="3"/>
  <c r="AE257" i="3"/>
  <c r="AE241" i="3"/>
  <c r="AE272" i="3"/>
  <c r="AE256" i="3"/>
  <c r="AE240" i="3"/>
  <c r="AE271" i="3"/>
  <c r="AE253" i="3"/>
  <c r="AE269" i="3"/>
  <c r="AE251" i="3"/>
  <c r="AE279" i="3"/>
  <c r="AE259" i="3"/>
  <c r="AE278" i="3"/>
  <c r="AE258" i="3"/>
  <c r="AE277" i="3"/>
  <c r="AE255" i="3"/>
  <c r="AE276" i="3"/>
  <c r="AE254" i="3"/>
  <c r="AE275" i="3"/>
  <c r="AE252" i="3"/>
  <c r="AE270" i="3"/>
  <c r="AE249" i="3"/>
  <c r="AE268" i="3"/>
  <c r="AE248" i="3"/>
  <c r="AE267" i="3"/>
  <c r="AE247" i="3"/>
  <c r="AE242" i="3"/>
  <c r="AE280" i="3"/>
  <c r="AE274" i="3"/>
  <c r="AE266" i="3"/>
  <c r="AE265" i="3"/>
  <c r="AE264" i="3"/>
  <c r="AE263" i="3"/>
  <c r="AE262" i="3"/>
  <c r="AE261" i="3"/>
  <c r="AE260" i="3"/>
  <c r="AE250" i="3"/>
  <c r="AE246" i="3"/>
  <c r="AE245" i="3"/>
  <c r="AE244" i="3"/>
  <c r="AE243" i="3"/>
  <c r="DD280" i="3"/>
  <c r="DD264" i="3"/>
  <c r="DD248" i="3"/>
  <c r="DD274" i="3"/>
  <c r="DD257" i="3"/>
  <c r="DD240" i="3"/>
  <c r="DD273" i="3"/>
  <c r="DD256" i="3"/>
  <c r="DD266" i="3"/>
  <c r="DD246" i="3"/>
  <c r="DD265" i="3"/>
  <c r="DD245" i="3"/>
  <c r="DD263" i="3"/>
  <c r="DD244" i="3"/>
  <c r="DD262" i="3"/>
  <c r="DD243" i="3"/>
  <c r="DD261" i="3"/>
  <c r="DD242" i="3"/>
  <c r="DD278" i="3"/>
  <c r="DD259" i="3"/>
  <c r="DD258" i="3"/>
  <c r="DD255" i="3"/>
  <c r="DD254" i="3"/>
  <c r="DD253" i="3"/>
  <c r="DD252" i="3"/>
  <c r="DD250" i="3"/>
  <c r="DD249" i="3"/>
  <c r="DD247" i="3"/>
  <c r="DD241" i="3"/>
  <c r="DD279" i="3"/>
  <c r="DD277" i="3"/>
  <c r="DD276" i="3"/>
  <c r="DD275" i="3"/>
  <c r="DD272" i="3"/>
  <c r="DD271" i="3"/>
  <c r="DD270" i="3"/>
  <c r="DD269" i="3"/>
  <c r="DD268" i="3"/>
  <c r="DD267" i="3"/>
  <c r="DD260" i="3"/>
  <c r="DD251" i="3"/>
  <c r="CS240" i="3" a="1"/>
  <c r="CD270" i="3"/>
  <c r="CD254" i="3"/>
  <c r="CD268" i="3"/>
  <c r="CD251" i="3"/>
  <c r="CD271" i="3"/>
  <c r="CD252" i="3"/>
  <c r="CD269" i="3"/>
  <c r="CD250" i="3"/>
  <c r="CD267" i="3"/>
  <c r="CD249" i="3"/>
  <c r="CD266" i="3"/>
  <c r="CD248" i="3"/>
  <c r="CD265" i="3"/>
  <c r="CD247" i="3"/>
  <c r="CD259" i="3"/>
  <c r="CD258" i="3"/>
  <c r="CD280" i="3"/>
  <c r="CD257" i="3"/>
  <c r="CD279" i="3"/>
  <c r="CD256" i="3"/>
  <c r="CD278" i="3"/>
  <c r="CD255" i="3"/>
  <c r="CD275" i="3"/>
  <c r="CD240" i="3"/>
  <c r="CD274" i="3"/>
  <c r="CD273" i="3"/>
  <c r="CD272" i="3"/>
  <c r="CD264" i="3"/>
  <c r="CD263" i="3"/>
  <c r="CD262" i="3"/>
  <c r="CD261" i="3"/>
  <c r="CD260" i="3"/>
  <c r="CD253" i="3"/>
  <c r="CD246" i="3"/>
  <c r="CD277" i="3"/>
  <c r="CD276" i="3"/>
  <c r="CD245" i="3"/>
  <c r="CD244" i="3"/>
  <c r="CD243" i="3"/>
  <c r="CD242" i="3"/>
  <c r="CD241" i="3"/>
  <c r="CR273" i="3"/>
  <c r="CR257" i="3"/>
  <c r="CR241" i="3"/>
  <c r="CR272" i="3"/>
  <c r="CR255" i="3"/>
  <c r="CR271" i="3"/>
  <c r="CR254" i="3"/>
  <c r="CR279" i="3"/>
  <c r="CR260" i="3"/>
  <c r="CR240" i="3"/>
  <c r="CR278" i="3"/>
  <c r="CR259" i="3"/>
  <c r="CR277" i="3"/>
  <c r="CR258" i="3"/>
  <c r="CR276" i="3"/>
  <c r="CR256" i="3"/>
  <c r="CR275" i="3"/>
  <c r="CR253" i="3"/>
  <c r="CR270" i="3"/>
  <c r="CR251" i="3"/>
  <c r="CR269" i="3"/>
  <c r="CR244" i="3"/>
  <c r="CR268" i="3"/>
  <c r="CR243" i="3"/>
  <c r="CR267" i="3"/>
  <c r="CR242" i="3"/>
  <c r="CR266" i="3"/>
  <c r="CR265" i="3"/>
  <c r="CR245" i="3"/>
  <c r="CR280" i="3"/>
  <c r="CR274" i="3"/>
  <c r="CR264" i="3"/>
  <c r="CR263" i="3"/>
  <c r="CR262" i="3"/>
  <c r="CR261" i="3"/>
  <c r="CR252" i="3"/>
  <c r="CR250" i="3"/>
  <c r="CR249" i="3"/>
  <c r="CR248" i="3"/>
  <c r="CR247" i="3"/>
  <c r="CR246" i="3"/>
  <c r="CF240" i="3" a="1"/>
  <c r="I147" i="6" l="1"/>
  <c r="J146" i="6"/>
  <c r="AS271" i="3"/>
  <c r="AT271" i="3" s="1"/>
  <c r="AS264" i="3"/>
  <c r="AT264" i="3" s="1"/>
  <c r="AS260" i="3"/>
  <c r="AT260" i="3" s="1"/>
  <c r="AF258" i="3"/>
  <c r="DF261" i="3"/>
  <c r="AF264" i="3"/>
  <c r="AG264" i="3" s="1"/>
  <c r="AF273" i="3"/>
  <c r="AG273" i="3" s="1"/>
  <c r="AF271" i="3"/>
  <c r="AG271" i="3" s="1"/>
  <c r="BT264" i="3"/>
  <c r="AF254" i="3"/>
  <c r="AG254" i="3" s="1"/>
  <c r="AF249" i="3"/>
  <c r="AG249" i="3" s="1"/>
  <c r="AF241" i="3"/>
  <c r="AG241" i="3" s="1"/>
  <c r="AF252" i="3"/>
  <c r="AG252" i="3" s="1"/>
  <c r="DF255" i="3"/>
  <c r="DG255" i="3" s="1"/>
  <c r="AF274" i="3"/>
  <c r="AG274" i="3" s="1"/>
  <c r="AF255" i="3"/>
  <c r="AG255" i="3" s="1"/>
  <c r="AF279" i="3"/>
  <c r="AG279" i="3" s="1"/>
  <c r="AF242" i="3"/>
  <c r="AG242" i="3" s="1"/>
  <c r="A237" i="3"/>
  <c r="AF243" i="3"/>
  <c r="AG243" i="3" s="1"/>
  <c r="T246" i="3"/>
  <c r="AF253" i="3"/>
  <c r="AG253" i="3" s="1"/>
  <c r="AF244" i="3"/>
  <c r="AG244" i="3" s="1"/>
  <c r="DF269" i="3"/>
  <c r="DG269" i="3" s="1"/>
  <c r="AS272" i="3"/>
  <c r="AT272" i="3" s="1"/>
  <c r="AS242" i="3"/>
  <c r="AT242" i="3" s="1"/>
  <c r="AS276" i="3"/>
  <c r="AT276" i="3" s="1"/>
  <c r="AS274" i="3"/>
  <c r="AT274" i="3" s="1"/>
  <c r="AS265" i="3"/>
  <c r="AT265" i="3" s="1"/>
  <c r="DF277" i="3"/>
  <c r="DG277" i="3" s="1"/>
  <c r="AS277" i="3"/>
  <c r="AT277" i="3" s="1"/>
  <c r="AS245" i="3"/>
  <c r="AT245" i="3" s="1"/>
  <c r="DF256" i="3"/>
  <c r="DG256" i="3" s="1"/>
  <c r="AS246" i="3"/>
  <c r="AT246" i="3" s="1"/>
  <c r="AS247" i="3"/>
  <c r="AT247" i="3" s="1"/>
  <c r="AS266" i="3"/>
  <c r="AT266" i="3" s="1"/>
  <c r="DF275" i="3"/>
  <c r="DG275" i="3" s="1"/>
  <c r="DF258" i="3"/>
  <c r="DG258" i="3" s="1"/>
  <c r="AF275" i="3"/>
  <c r="AG275" i="3" s="1"/>
  <c r="AS250" i="3"/>
  <c r="AT250" i="3" s="1"/>
  <c r="AF260" i="3"/>
  <c r="AG260" i="3" s="1"/>
  <c r="AF256" i="3"/>
  <c r="AG256" i="3" s="1"/>
  <c r="AS278" i="3"/>
  <c r="AT278" i="3" s="1"/>
  <c r="AS249" i="3"/>
  <c r="AT249" i="3" s="1"/>
  <c r="DF244" i="3"/>
  <c r="DG244" i="3" s="1"/>
  <c r="S267" i="3"/>
  <c r="T267" i="3" s="1"/>
  <c r="AS248" i="3"/>
  <c r="AT248" i="3" s="1"/>
  <c r="AF259" i="3"/>
  <c r="AG259" i="3" s="1"/>
  <c r="AF261" i="3"/>
  <c r="AG261" i="3" s="1"/>
  <c r="AF265" i="3"/>
  <c r="AG265" i="3" s="1"/>
  <c r="AS255" i="3"/>
  <c r="AT255" i="3" s="1"/>
  <c r="AS268" i="3"/>
  <c r="BT246" i="3"/>
  <c r="AS257" i="3"/>
  <c r="AT257" i="3" s="1"/>
  <c r="BT278" i="3"/>
  <c r="AF268" i="3"/>
  <c r="AG268" i="3" s="1"/>
  <c r="AF246" i="3"/>
  <c r="AG246" i="3" s="1"/>
  <c r="AS253" i="3"/>
  <c r="AT253" i="3" s="1"/>
  <c r="AS280" i="3"/>
  <c r="AS273" i="3"/>
  <c r="AT273" i="3" s="1"/>
  <c r="AT254" i="3"/>
  <c r="AS267" i="3"/>
  <c r="AT267" i="3" s="1"/>
  <c r="AS251" i="3"/>
  <c r="AT251" i="3" s="1"/>
  <c r="AF269" i="3"/>
  <c r="AG269" i="3" s="1"/>
  <c r="AF262" i="3"/>
  <c r="AS254" i="3"/>
  <c r="AS258" i="3"/>
  <c r="AT258" i="3" s="1"/>
  <c r="AS243" i="3"/>
  <c r="BT273" i="3"/>
  <c r="BT263" i="3"/>
  <c r="DF248" i="3"/>
  <c r="DG248" i="3" s="1"/>
  <c r="S275" i="3"/>
  <c r="T275" i="3" s="1"/>
  <c r="S263" i="3"/>
  <c r="T263" i="3" s="1"/>
  <c r="AT243" i="3"/>
  <c r="AS261" i="3"/>
  <c r="AT261" i="3" s="1"/>
  <c r="AS262" i="3"/>
  <c r="AT262" i="3" s="1"/>
  <c r="AS259" i="3"/>
  <c r="AT259" i="3" s="1"/>
  <c r="BT243" i="3"/>
  <c r="DF249" i="3"/>
  <c r="DG249" i="3" s="1"/>
  <c r="AS279" i="3"/>
  <c r="AT279" i="3" s="1"/>
  <c r="AF267" i="3"/>
  <c r="AG267" i="3" s="1"/>
  <c r="AS252" i="3"/>
  <c r="AT252" i="3" s="1"/>
  <c r="AS256" i="3"/>
  <c r="AT256" i="3" s="1"/>
  <c r="AF270" i="3"/>
  <c r="AG270" i="3" s="1"/>
  <c r="AF247" i="3"/>
  <c r="AG247" i="3" s="1"/>
  <c r="AS269" i="3"/>
  <c r="AT269" i="3" s="1"/>
  <c r="AS263" i="3"/>
  <c r="AT263" i="3" s="1"/>
  <c r="AS275" i="3"/>
  <c r="AT275" i="3" s="1"/>
  <c r="DF250" i="3"/>
  <c r="DG250" i="3" s="1"/>
  <c r="AS241" i="3"/>
  <c r="AT241" i="3" s="1"/>
  <c r="AF266" i="3"/>
  <c r="AG266" i="3" s="1"/>
  <c r="AF250" i="3"/>
  <c r="AG250" i="3" s="1"/>
  <c r="AF278" i="3"/>
  <c r="AG278" i="3" s="1"/>
  <c r="AF251" i="3"/>
  <c r="AG251" i="3" s="1"/>
  <c r="AF263" i="3"/>
  <c r="AG263" i="3" s="1"/>
  <c r="AS270" i="3"/>
  <c r="AT270" i="3" s="1"/>
  <c r="AS240" i="3"/>
  <c r="AT240" i="3" s="1"/>
  <c r="AN237" i="3" s="1"/>
  <c r="DF264" i="3"/>
  <c r="DG264" i="3" s="1"/>
  <c r="S280" i="3"/>
  <c r="S249" i="3"/>
  <c r="T249" i="3" s="1"/>
  <c r="S271" i="3"/>
  <c r="T271" i="3" s="1"/>
  <c r="S259" i="3"/>
  <c r="T259" i="3" s="1"/>
  <c r="AG258" i="3"/>
  <c r="S276" i="3"/>
  <c r="T276" i="3" s="1"/>
  <c r="S241" i="3"/>
  <c r="T241" i="3" s="1"/>
  <c r="S242" i="3"/>
  <c r="T242" i="3" s="1"/>
  <c r="AT244" i="3"/>
  <c r="BT248" i="3"/>
  <c r="S269" i="3"/>
  <c r="T269" i="3" s="1"/>
  <c r="S240" i="3"/>
  <c r="T240" i="3" s="1"/>
  <c r="U241" i="3" s="1"/>
  <c r="S272" i="3"/>
  <c r="T272" i="3" s="1"/>
  <c r="S273" i="3"/>
  <c r="T273" i="3" s="1"/>
  <c r="S262" i="3"/>
  <c r="T262" i="3" s="1"/>
  <c r="DF253" i="3"/>
  <c r="DG253" i="3" s="1"/>
  <c r="DF260" i="3"/>
  <c r="DG260" i="3" s="1"/>
  <c r="S247" i="3"/>
  <c r="T247" i="3" s="1"/>
  <c r="S243" i="3"/>
  <c r="T243" i="3" s="1"/>
  <c r="AG245" i="3"/>
  <c r="AT268" i="3"/>
  <c r="BT275" i="3"/>
  <c r="DF262" i="3"/>
  <c r="DG262" i="3" s="1"/>
  <c r="DF276" i="3"/>
  <c r="DG276" i="3" s="1"/>
  <c r="S277" i="3"/>
  <c r="T277" i="3" s="1"/>
  <c r="S264" i="3"/>
  <c r="T264" i="3" s="1"/>
  <c r="DF263" i="3"/>
  <c r="DG263" i="3" s="1"/>
  <c r="S270" i="3"/>
  <c r="T270" i="3" s="1"/>
  <c r="S265" i="3"/>
  <c r="T265" i="3" s="1"/>
  <c r="S279" i="3"/>
  <c r="T279" i="3" s="1"/>
  <c r="S268" i="3"/>
  <c r="T268" i="3" s="1"/>
  <c r="S257" i="3"/>
  <c r="T257" i="3" s="1"/>
  <c r="S248" i="3"/>
  <c r="T248" i="3" s="1"/>
  <c r="S253" i="3"/>
  <c r="T253" i="3" s="1"/>
  <c r="AF276" i="3"/>
  <c r="AG276" i="3" s="1"/>
  <c r="DF252" i="3"/>
  <c r="DG252" i="3" s="1"/>
  <c r="S250" i="3"/>
  <c r="T250" i="3" s="1"/>
  <c r="AF257" i="3"/>
  <c r="AG257" i="3" s="1"/>
  <c r="DF271" i="3"/>
  <c r="DG271" i="3" s="1"/>
  <c r="S245" i="3"/>
  <c r="T245" i="3" s="1"/>
  <c r="S252" i="3"/>
  <c r="T252" i="3" s="1"/>
  <c r="S266" i="3"/>
  <c r="T266" i="3" s="1"/>
  <c r="S254" i="3"/>
  <c r="T254" i="3" s="1"/>
  <c r="S255" i="3"/>
  <c r="T255" i="3" s="1"/>
  <c r="S261" i="3"/>
  <c r="T261" i="3" s="1"/>
  <c r="AF280" i="3"/>
  <c r="S274" i="3"/>
  <c r="T274" i="3" s="1"/>
  <c r="S278" i="3"/>
  <c r="T278" i="3" s="1"/>
  <c r="AF240" i="3"/>
  <c r="AG240" i="3" s="1"/>
  <c r="AH241" i="3" s="1"/>
  <c r="AF277" i="3"/>
  <c r="AG277" i="3" s="1"/>
  <c r="BT279" i="3"/>
  <c r="DF254" i="3"/>
  <c r="DG254" i="3" s="1"/>
  <c r="S251" i="3"/>
  <c r="T251" i="3" s="1"/>
  <c r="S244" i="3"/>
  <c r="T244" i="3" s="1"/>
  <c r="AF272" i="3"/>
  <c r="AG272" i="3" s="1"/>
  <c r="S258" i="3"/>
  <c r="T258" i="3" s="1"/>
  <c r="S260" i="3"/>
  <c r="T260" i="3" s="1"/>
  <c r="S256" i="3"/>
  <c r="T256" i="3" s="1"/>
  <c r="AF248" i="3"/>
  <c r="AG248" i="3" s="1"/>
  <c r="DF273" i="3"/>
  <c r="DG273" i="3" s="1"/>
  <c r="BT253" i="3"/>
  <c r="BT271" i="3"/>
  <c r="BT244" i="3"/>
  <c r="BT262" i="3"/>
  <c r="BT251" i="3"/>
  <c r="BT270" i="3"/>
  <c r="BT252" i="3"/>
  <c r="DG261" i="3"/>
  <c r="BT272" i="3"/>
  <c r="BT260" i="3"/>
  <c r="DF267" i="3"/>
  <c r="DG267" i="3" s="1"/>
  <c r="DF278" i="3"/>
  <c r="DG278" i="3" s="1"/>
  <c r="BT274" i="3"/>
  <c r="DF268" i="3"/>
  <c r="DG268" i="3" s="1"/>
  <c r="DF259" i="3"/>
  <c r="DG259" i="3" s="1"/>
  <c r="BT255" i="3"/>
  <c r="DF242" i="3"/>
  <c r="DG242" i="3" s="1"/>
  <c r="DF279" i="3"/>
  <c r="DG279" i="3" s="1"/>
  <c r="BT267" i="3"/>
  <c r="AG262" i="3"/>
  <c r="BT240" i="3"/>
  <c r="BU241" i="3" s="1"/>
  <c r="BT256" i="3"/>
  <c r="DF243" i="3"/>
  <c r="DG243" i="3" s="1"/>
  <c r="DF280" i="3"/>
  <c r="DG241" i="3"/>
  <c r="BT268" i="3"/>
  <c r="BT276" i="3"/>
  <c r="DF265" i="3"/>
  <c r="DG265" i="3" s="1"/>
  <c r="DF272" i="3"/>
  <c r="DG272" i="3" s="1"/>
  <c r="DF240" i="3"/>
  <c r="DG240" i="3" s="1"/>
  <c r="BT241" i="3"/>
  <c r="BT257" i="3"/>
  <c r="DF266" i="3"/>
  <c r="DG266" i="3" s="1"/>
  <c r="DF245" i="3"/>
  <c r="DG245" i="3" s="1"/>
  <c r="DF257" i="3"/>
  <c r="DG257" i="3" s="1"/>
  <c r="BT269" i="3"/>
  <c r="BT259" i="3"/>
  <c r="DF246" i="3"/>
  <c r="DG246" i="3" s="1"/>
  <c r="DF251" i="3"/>
  <c r="DG251" i="3" s="1"/>
  <c r="DF274" i="3"/>
  <c r="DG274" i="3" s="1"/>
  <c r="BT242" i="3"/>
  <c r="BT245" i="3"/>
  <c r="DF247" i="3"/>
  <c r="DG247" i="3" s="1"/>
  <c r="DF270" i="3"/>
  <c r="DG270" i="3" s="1"/>
  <c r="CF266" i="3"/>
  <c r="CG266" i="3" s="1"/>
  <c r="CF250" i="3"/>
  <c r="CG250" i="3" s="1"/>
  <c r="CF270" i="3"/>
  <c r="CG270" i="3" s="1"/>
  <c r="CF253" i="3"/>
  <c r="CG253" i="3" s="1"/>
  <c r="CF277" i="3"/>
  <c r="CG277" i="3" s="1"/>
  <c r="CF259" i="3"/>
  <c r="CG259" i="3" s="1"/>
  <c r="CF241" i="3"/>
  <c r="CG241" i="3" s="1"/>
  <c r="CF276" i="3"/>
  <c r="CG276" i="3" s="1"/>
  <c r="CF258" i="3"/>
  <c r="CG258" i="3" s="1"/>
  <c r="CF240" i="3"/>
  <c r="CG240" i="3" s="1"/>
  <c r="CF275" i="3"/>
  <c r="CG275" i="3" s="1"/>
  <c r="CF257" i="3"/>
  <c r="CG257" i="3" s="1"/>
  <c r="CF274" i="3"/>
  <c r="CG274" i="3" s="1"/>
  <c r="CF256" i="3"/>
  <c r="CG256" i="3" s="1"/>
  <c r="CF273" i="3"/>
  <c r="CG273" i="3" s="1"/>
  <c r="CF255" i="3"/>
  <c r="CG255" i="3" s="1"/>
  <c r="CF271" i="3"/>
  <c r="CG271" i="3" s="1"/>
  <c r="CF252" i="3"/>
  <c r="CG252" i="3" s="1"/>
  <c r="CF262" i="3"/>
  <c r="CG262" i="3" s="1"/>
  <c r="CF261" i="3"/>
  <c r="CG261" i="3" s="1"/>
  <c r="CF260" i="3"/>
  <c r="CG260" i="3" s="1"/>
  <c r="CF254" i="3"/>
  <c r="CG254" i="3" s="1"/>
  <c r="CF251" i="3"/>
  <c r="CG251" i="3" s="1"/>
  <c r="CF278" i="3"/>
  <c r="CG278" i="3" s="1"/>
  <c r="CF272" i="3"/>
  <c r="CG272" i="3" s="1"/>
  <c r="CF269" i="3"/>
  <c r="CG269" i="3" s="1"/>
  <c r="CF268" i="3"/>
  <c r="CG268" i="3" s="1"/>
  <c r="CF267" i="3"/>
  <c r="CG267" i="3" s="1"/>
  <c r="CF265" i="3"/>
  <c r="CG265" i="3" s="1"/>
  <c r="CF264" i="3"/>
  <c r="CG264" i="3" s="1"/>
  <c r="CF263" i="3"/>
  <c r="CG263" i="3" s="1"/>
  <c r="CF249" i="3"/>
  <c r="CG249" i="3" s="1"/>
  <c r="CF248" i="3"/>
  <c r="CG248" i="3" s="1"/>
  <c r="CF247" i="3"/>
  <c r="CG247" i="3" s="1"/>
  <c r="CF280" i="3"/>
  <c r="CF279" i="3"/>
  <c r="CG279" i="3" s="1"/>
  <c r="CF246" i="3"/>
  <c r="CG246" i="3" s="1"/>
  <c r="CF245" i="3"/>
  <c r="CG245" i="3" s="1"/>
  <c r="CF244" i="3"/>
  <c r="CG244" i="3" s="1"/>
  <c r="CF243" i="3"/>
  <c r="CG243" i="3" s="1"/>
  <c r="CF242" i="3"/>
  <c r="CG242" i="3" s="1"/>
  <c r="BT261" i="3"/>
  <c r="BT277" i="3"/>
  <c r="CS279" i="3"/>
  <c r="CT279" i="3" s="1"/>
  <c r="CS263" i="3"/>
  <c r="CT263" i="3" s="1"/>
  <c r="CS247" i="3"/>
  <c r="CT247" i="3" s="1"/>
  <c r="CS265" i="3"/>
  <c r="CT265" i="3" s="1"/>
  <c r="CS248" i="3"/>
  <c r="CT248" i="3" s="1"/>
  <c r="CS264" i="3"/>
  <c r="CT264" i="3" s="1"/>
  <c r="CS246" i="3"/>
  <c r="CT246" i="3" s="1"/>
  <c r="CS275" i="3"/>
  <c r="CT275" i="3" s="1"/>
  <c r="CS256" i="3"/>
  <c r="CT256" i="3" s="1"/>
  <c r="CS274" i="3"/>
  <c r="CT274" i="3" s="1"/>
  <c r="CS255" i="3"/>
  <c r="CT255" i="3" s="1"/>
  <c r="CS273" i="3"/>
  <c r="CT273" i="3" s="1"/>
  <c r="CS254" i="3"/>
  <c r="CT254" i="3" s="1"/>
  <c r="CS272" i="3"/>
  <c r="CT272" i="3" s="1"/>
  <c r="CS253" i="3"/>
  <c r="CT253" i="3" s="1"/>
  <c r="CS271" i="3"/>
  <c r="CT271" i="3" s="1"/>
  <c r="CS252" i="3"/>
  <c r="CT252" i="3" s="1"/>
  <c r="CS269" i="3"/>
  <c r="CT269" i="3" s="1"/>
  <c r="CS250" i="3"/>
  <c r="CT250" i="3" s="1"/>
  <c r="CS261" i="3"/>
  <c r="CT261" i="3" s="1"/>
  <c r="CS260" i="3"/>
  <c r="CT260" i="3" s="1"/>
  <c r="CS259" i="3"/>
  <c r="CT259" i="3" s="1"/>
  <c r="CS258" i="3"/>
  <c r="CT258" i="3" s="1"/>
  <c r="CS257" i="3"/>
  <c r="CT257" i="3" s="1"/>
  <c r="CS242" i="3"/>
  <c r="CT242" i="3" s="1"/>
  <c r="CS241" i="3"/>
  <c r="CT241" i="3" s="1"/>
  <c r="CS280" i="3"/>
  <c r="CS240" i="3"/>
  <c r="CT240" i="3" s="1"/>
  <c r="CS278" i="3"/>
  <c r="CT278" i="3" s="1"/>
  <c r="CS277" i="3"/>
  <c r="CT277" i="3" s="1"/>
  <c r="CS276" i="3"/>
  <c r="CT276" i="3" s="1"/>
  <c r="CS270" i="3"/>
  <c r="CT270" i="3" s="1"/>
  <c r="CS268" i="3"/>
  <c r="CT268" i="3" s="1"/>
  <c r="CS267" i="3"/>
  <c r="CT267" i="3" s="1"/>
  <c r="CS266" i="3"/>
  <c r="CT266" i="3" s="1"/>
  <c r="CS262" i="3"/>
  <c r="CT262" i="3" s="1"/>
  <c r="CS251" i="3"/>
  <c r="CT251" i="3" s="1"/>
  <c r="CS249" i="3"/>
  <c r="CT249" i="3" s="1"/>
  <c r="CS245" i="3"/>
  <c r="CT245" i="3" s="1"/>
  <c r="CS244" i="3"/>
  <c r="CT244" i="3" s="1"/>
  <c r="CS243" i="3"/>
  <c r="CT243" i="3" s="1"/>
  <c r="BT254" i="3"/>
  <c r="BT258" i="3"/>
  <c r="BT249" i="3"/>
  <c r="BT247" i="3"/>
  <c r="BF273" i="3"/>
  <c r="BG273" i="3" s="1"/>
  <c r="BF257" i="3"/>
  <c r="BG257" i="3" s="1"/>
  <c r="BF241" i="3"/>
  <c r="BG241" i="3" s="1"/>
  <c r="BF272" i="3"/>
  <c r="BG272" i="3" s="1"/>
  <c r="BF256" i="3"/>
  <c r="BG256" i="3" s="1"/>
  <c r="BF240" i="3"/>
  <c r="BG240" i="3" s="1"/>
  <c r="BF271" i="3"/>
  <c r="BG271" i="3" s="1"/>
  <c r="BF255" i="3"/>
  <c r="BG255" i="3" s="1"/>
  <c r="BF270" i="3"/>
  <c r="BG270" i="3" s="1"/>
  <c r="BF254" i="3"/>
  <c r="BG254" i="3" s="1"/>
  <c r="BF278" i="3"/>
  <c r="BG278" i="3" s="1"/>
  <c r="BF258" i="3"/>
  <c r="BG258" i="3" s="1"/>
  <c r="BF276" i="3"/>
  <c r="BG276" i="3" s="1"/>
  <c r="BF252" i="3"/>
  <c r="BG252" i="3" s="1"/>
  <c r="BF262" i="3"/>
  <c r="BG262" i="3" s="1"/>
  <c r="BF261" i="3"/>
  <c r="BG261" i="3" s="1"/>
  <c r="BF260" i="3"/>
  <c r="BG260" i="3" s="1"/>
  <c r="BF259" i="3"/>
  <c r="BG259" i="3" s="1"/>
  <c r="BF280" i="3"/>
  <c r="BF253" i="3"/>
  <c r="BG253" i="3" s="1"/>
  <c r="BF279" i="3"/>
  <c r="BG279" i="3" s="1"/>
  <c r="BF251" i="3"/>
  <c r="BG251" i="3" s="1"/>
  <c r="BF277" i="3"/>
  <c r="BG277" i="3" s="1"/>
  <c r="BF250" i="3"/>
  <c r="BG250" i="3" s="1"/>
  <c r="BF275" i="3"/>
  <c r="BG275" i="3" s="1"/>
  <c r="BF249" i="3"/>
  <c r="BG249" i="3" s="1"/>
  <c r="BF274" i="3"/>
  <c r="BG274" i="3" s="1"/>
  <c r="BF248" i="3"/>
  <c r="BG248" i="3" s="1"/>
  <c r="BF269" i="3"/>
  <c r="BG269" i="3" s="1"/>
  <c r="BF247" i="3"/>
  <c r="BG247" i="3" s="1"/>
  <c r="BF267" i="3"/>
  <c r="BG267" i="3" s="1"/>
  <c r="BF266" i="3"/>
  <c r="BG266" i="3" s="1"/>
  <c r="BF265" i="3"/>
  <c r="BG265" i="3" s="1"/>
  <c r="BF264" i="3"/>
  <c r="BG264" i="3" s="1"/>
  <c r="BF263" i="3"/>
  <c r="BG263" i="3" s="1"/>
  <c r="BF246" i="3"/>
  <c r="BG246" i="3" s="1"/>
  <c r="BF245" i="3"/>
  <c r="BG245" i="3" s="1"/>
  <c r="BF244" i="3"/>
  <c r="BG244" i="3" s="1"/>
  <c r="BF243" i="3"/>
  <c r="BG243" i="3" s="1"/>
  <c r="BF242" i="3"/>
  <c r="BG242" i="3" s="1"/>
  <c r="BF268" i="3"/>
  <c r="BG268" i="3" s="1"/>
  <c r="BT250" i="3"/>
  <c r="BT265" i="3"/>
  <c r="BT266" i="3"/>
  <c r="H242" i="3"/>
  <c r="I148" i="6" l="1"/>
  <c r="J147" i="6"/>
  <c r="AU241" i="3"/>
  <c r="AU242" i="3" s="1"/>
  <c r="AU243" i="3" s="1"/>
  <c r="AU244" i="3" s="1"/>
  <c r="AU245" i="3" s="1"/>
  <c r="AU246" i="3" s="1"/>
  <c r="AU247" i="3" s="1"/>
  <c r="AU248" i="3" s="1"/>
  <c r="AU249" i="3" s="1"/>
  <c r="AU250" i="3" s="1"/>
  <c r="AU251" i="3" s="1"/>
  <c r="AU252" i="3" s="1"/>
  <c r="AU253" i="3" s="1"/>
  <c r="AU254" i="3" s="1"/>
  <c r="AU255" i="3" s="1"/>
  <c r="AU256" i="3" s="1"/>
  <c r="AU257" i="3" s="1"/>
  <c r="AU258" i="3" s="1"/>
  <c r="AU259" i="3" s="1"/>
  <c r="AU260" i="3" s="1"/>
  <c r="AU261" i="3" s="1"/>
  <c r="AU262" i="3" s="1"/>
  <c r="AU263" i="3" s="1"/>
  <c r="AU264" i="3" s="1"/>
  <c r="AU265" i="3" s="1"/>
  <c r="AU266" i="3" s="1"/>
  <c r="AU267" i="3" s="1"/>
  <c r="AU268" i="3" s="1"/>
  <c r="AU269" i="3" s="1"/>
  <c r="AU270" i="3" s="1"/>
  <c r="AU271" i="3" s="1"/>
  <c r="AU272" i="3" s="1"/>
  <c r="AU273" i="3" s="1"/>
  <c r="AU274" i="3" s="1"/>
  <c r="AU275" i="3" s="1"/>
  <c r="AU276" i="3" s="1"/>
  <c r="AU277" i="3" s="1"/>
  <c r="AU278" i="3" s="1"/>
  <c r="AU279" i="3" s="1"/>
  <c r="AU280" i="3" s="1"/>
  <c r="AA237" i="3"/>
  <c r="BN237" i="3"/>
  <c r="DA237" i="3"/>
  <c r="DH241" i="3"/>
  <c r="DH242" i="3" s="1"/>
  <c r="N237" i="3"/>
  <c r="CU241" i="3"/>
  <c r="CN237" i="3"/>
  <c r="BH241" i="3"/>
  <c r="BA237" i="3"/>
  <c r="CH241" i="3"/>
  <c r="CA237" i="3"/>
  <c r="U242" i="3"/>
  <c r="AH242" i="3"/>
  <c r="H243" i="3"/>
  <c r="BU242" i="3"/>
  <c r="I149" i="6" l="1"/>
  <c r="J148" i="6"/>
  <c r="U243" i="3"/>
  <c r="BU243" i="3"/>
  <c r="CH242" i="3"/>
  <c r="DH243" i="3"/>
  <c r="H244" i="3"/>
  <c r="BH242" i="3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BH271" i="3" s="1"/>
  <c r="BH272" i="3" s="1"/>
  <c r="BH273" i="3" s="1"/>
  <c r="BH274" i="3" s="1"/>
  <c r="BH275" i="3" s="1"/>
  <c r="BH276" i="3" s="1"/>
  <c r="BH277" i="3" s="1"/>
  <c r="BH278" i="3" s="1"/>
  <c r="BH279" i="3" s="1"/>
  <c r="BH280" i="3" s="1"/>
  <c r="AW241" i="3" a="1"/>
  <c r="CU242" i="3"/>
  <c r="CU243" i="3" s="1"/>
  <c r="CU244" i="3" s="1"/>
  <c r="CU245" i="3" s="1"/>
  <c r="CU246" i="3" s="1"/>
  <c r="CU247" i="3" s="1"/>
  <c r="CU248" i="3" s="1"/>
  <c r="CU249" i="3" s="1"/>
  <c r="CU250" i="3" s="1"/>
  <c r="CU251" i="3" s="1"/>
  <c r="CU252" i="3" s="1"/>
  <c r="CU253" i="3" s="1"/>
  <c r="CU254" i="3" s="1"/>
  <c r="CU255" i="3" s="1"/>
  <c r="CU256" i="3" s="1"/>
  <c r="CU257" i="3" s="1"/>
  <c r="CU258" i="3" s="1"/>
  <c r="CU259" i="3" s="1"/>
  <c r="CU260" i="3" s="1"/>
  <c r="CU261" i="3" s="1"/>
  <c r="CU262" i="3" s="1"/>
  <c r="CU263" i="3" s="1"/>
  <c r="CU264" i="3" s="1"/>
  <c r="CU265" i="3" s="1"/>
  <c r="CU266" i="3" s="1"/>
  <c r="CU267" i="3" s="1"/>
  <c r="CU268" i="3" s="1"/>
  <c r="CU269" i="3" s="1"/>
  <c r="CU270" i="3" s="1"/>
  <c r="CU271" i="3" s="1"/>
  <c r="CU272" i="3" s="1"/>
  <c r="CU273" i="3" s="1"/>
  <c r="CU274" i="3" s="1"/>
  <c r="CU275" i="3" s="1"/>
  <c r="CU276" i="3" s="1"/>
  <c r="CU277" i="3" s="1"/>
  <c r="CU278" i="3" s="1"/>
  <c r="CU279" i="3" s="1"/>
  <c r="CU280" i="3" s="1"/>
  <c r="CW241" i="3" a="1"/>
  <c r="AH243" i="3"/>
  <c r="AV241" i="3" a="1"/>
  <c r="I150" i="6" l="1"/>
  <c r="J149" i="6"/>
  <c r="AW275" i="3"/>
  <c r="AW259" i="3"/>
  <c r="AW243" i="3"/>
  <c r="AW272" i="3"/>
  <c r="AW256" i="3"/>
  <c r="AW270" i="3"/>
  <c r="AW254" i="3"/>
  <c r="AW266" i="3"/>
  <c r="AW247" i="3"/>
  <c r="AW265" i="3"/>
  <c r="AW246" i="3"/>
  <c r="AW277" i="3"/>
  <c r="AW253" i="3"/>
  <c r="AW276" i="3"/>
  <c r="AW252" i="3"/>
  <c r="AW274" i="3"/>
  <c r="AW251" i="3"/>
  <c r="AW273" i="3"/>
  <c r="AW250" i="3"/>
  <c r="AW271" i="3"/>
  <c r="AW249" i="3"/>
  <c r="AW268" i="3"/>
  <c r="AW245" i="3"/>
  <c r="AW267" i="3"/>
  <c r="AW244" i="3"/>
  <c r="AW264" i="3"/>
  <c r="AW242" i="3"/>
  <c r="AW280" i="3"/>
  <c r="AW279" i="3"/>
  <c r="AW278" i="3"/>
  <c r="AW269" i="3"/>
  <c r="AW262" i="3"/>
  <c r="AW261" i="3"/>
  <c r="AW263" i="3"/>
  <c r="AW260" i="3"/>
  <c r="AW258" i="3"/>
  <c r="AW257" i="3"/>
  <c r="AW255" i="3"/>
  <c r="AW248" i="3"/>
  <c r="AW241" i="3"/>
  <c r="BJ241" i="3" a="1"/>
  <c r="H245" i="3"/>
  <c r="AH244" i="3"/>
  <c r="BU244" i="3"/>
  <c r="BI241" i="3" a="1"/>
  <c r="AV268" i="3"/>
  <c r="AV252" i="3"/>
  <c r="AV279" i="3"/>
  <c r="AV263" i="3"/>
  <c r="AV247" i="3"/>
  <c r="AV269" i="3"/>
  <c r="AV250" i="3"/>
  <c r="AV267" i="3"/>
  <c r="AV249" i="3"/>
  <c r="AV273" i="3"/>
  <c r="AV253" i="3"/>
  <c r="AV272" i="3"/>
  <c r="AV251" i="3"/>
  <c r="AV271" i="3"/>
  <c r="AV248" i="3"/>
  <c r="AV270" i="3"/>
  <c r="AV246" i="3"/>
  <c r="AV266" i="3"/>
  <c r="AV245" i="3"/>
  <c r="AV264" i="3"/>
  <c r="AV243" i="3"/>
  <c r="AV262" i="3"/>
  <c r="AV242" i="3"/>
  <c r="AV261" i="3"/>
  <c r="AV241" i="3"/>
  <c r="AV278" i="3"/>
  <c r="AV277" i="3"/>
  <c r="AV276" i="3"/>
  <c r="AV275" i="3"/>
  <c r="AV274" i="3"/>
  <c r="AV265" i="3"/>
  <c r="AV259" i="3"/>
  <c r="AV258" i="3"/>
  <c r="AV280" i="3"/>
  <c r="AV260" i="3"/>
  <c r="AV257" i="3"/>
  <c r="AV256" i="3"/>
  <c r="AV255" i="3"/>
  <c r="AV254" i="3"/>
  <c r="AV244" i="3"/>
  <c r="CH243" i="3"/>
  <c r="CV241" i="3" a="1"/>
  <c r="CW269" i="3"/>
  <c r="CW253" i="3"/>
  <c r="CW268" i="3"/>
  <c r="CW252" i="3"/>
  <c r="CW266" i="3"/>
  <c r="CW250" i="3"/>
  <c r="CW273" i="3"/>
  <c r="CW254" i="3"/>
  <c r="CW272" i="3"/>
  <c r="CW251" i="3"/>
  <c r="CW271" i="3"/>
  <c r="CW249" i="3"/>
  <c r="CW270" i="3"/>
  <c r="CW248" i="3"/>
  <c r="CW265" i="3"/>
  <c r="CW246" i="3"/>
  <c r="CW264" i="3"/>
  <c r="CW245" i="3"/>
  <c r="CW263" i="3"/>
  <c r="CW244" i="3"/>
  <c r="CW255" i="3"/>
  <c r="CW280" i="3"/>
  <c r="CW247" i="3"/>
  <c r="CW279" i="3"/>
  <c r="CW243" i="3"/>
  <c r="CW278" i="3"/>
  <c r="CW242" i="3"/>
  <c r="CW276" i="3"/>
  <c r="CW274" i="3"/>
  <c r="CW267" i="3"/>
  <c r="CW262" i="3"/>
  <c r="CW261" i="3"/>
  <c r="CW260" i="3"/>
  <c r="CW258" i="3"/>
  <c r="CW257" i="3"/>
  <c r="CW256" i="3"/>
  <c r="CW241" i="3"/>
  <c r="CW259" i="3"/>
  <c r="CW277" i="3"/>
  <c r="CW275" i="3"/>
  <c r="DH244" i="3"/>
  <c r="U244" i="3"/>
  <c r="J150" i="6" l="1"/>
  <c r="I151" i="6"/>
  <c r="AH245" i="3"/>
  <c r="BI274" i="3"/>
  <c r="BI271" i="3"/>
  <c r="BI264" i="3"/>
  <c r="BI248" i="3"/>
  <c r="BI279" i="3"/>
  <c r="BI261" i="3"/>
  <c r="BI245" i="3"/>
  <c r="BI277" i="3"/>
  <c r="BI259" i="3"/>
  <c r="BI243" i="3"/>
  <c r="BI263" i="3"/>
  <c r="BI242" i="3"/>
  <c r="BI262" i="3"/>
  <c r="BI241" i="3"/>
  <c r="BI260" i="3"/>
  <c r="BI258" i="3"/>
  <c r="BI257" i="3"/>
  <c r="BI256" i="3"/>
  <c r="BI255" i="3"/>
  <c r="BI254" i="3"/>
  <c r="BI280" i="3"/>
  <c r="BI253" i="3"/>
  <c r="BI276" i="3"/>
  <c r="BI251" i="3"/>
  <c r="BI275" i="3"/>
  <c r="BI250" i="3"/>
  <c r="BI273" i="3"/>
  <c r="BI249" i="3"/>
  <c r="BI244" i="3"/>
  <c r="BI278" i="3"/>
  <c r="BI270" i="3"/>
  <c r="BI269" i="3"/>
  <c r="BI272" i="3"/>
  <c r="BI268" i="3"/>
  <c r="BI267" i="3"/>
  <c r="BI265" i="3"/>
  <c r="BI252" i="3"/>
  <c r="BI247" i="3"/>
  <c r="BI246" i="3"/>
  <c r="BI266" i="3"/>
  <c r="CV278" i="3"/>
  <c r="CV262" i="3"/>
  <c r="CV246" i="3"/>
  <c r="CV277" i="3"/>
  <c r="CV261" i="3"/>
  <c r="CV245" i="3"/>
  <c r="CV275" i="3"/>
  <c r="CV259" i="3"/>
  <c r="CV243" i="3"/>
  <c r="CV273" i="3"/>
  <c r="CV254" i="3"/>
  <c r="CV272" i="3"/>
  <c r="CV253" i="3"/>
  <c r="CV271" i="3"/>
  <c r="CV252" i="3"/>
  <c r="CV270" i="3"/>
  <c r="CV251" i="3"/>
  <c r="CV268" i="3"/>
  <c r="CV249" i="3"/>
  <c r="CV267" i="3"/>
  <c r="CV248" i="3"/>
  <c r="CV266" i="3"/>
  <c r="CV247" i="3"/>
  <c r="CV257" i="3"/>
  <c r="CV256" i="3"/>
  <c r="CV255" i="3"/>
  <c r="CV250" i="3"/>
  <c r="CV264" i="3"/>
  <c r="CV263" i="3"/>
  <c r="CV260" i="3"/>
  <c r="CV258" i="3"/>
  <c r="CV244" i="3"/>
  <c r="CV241" i="3"/>
  <c r="CV280" i="3"/>
  <c r="CV279" i="3"/>
  <c r="CV276" i="3"/>
  <c r="CV274" i="3"/>
  <c r="CV269" i="3"/>
  <c r="CV242" i="3"/>
  <c r="CV265" i="3"/>
  <c r="H246" i="3"/>
  <c r="BJ265" i="3"/>
  <c r="BJ249" i="3"/>
  <c r="BJ278" i="3"/>
  <c r="BJ262" i="3"/>
  <c r="BJ246" i="3"/>
  <c r="BJ277" i="3"/>
  <c r="BJ259" i="3"/>
  <c r="BJ241" i="3"/>
  <c r="BJ276" i="3"/>
  <c r="BJ258" i="3"/>
  <c r="BJ274" i="3"/>
  <c r="BJ256" i="3"/>
  <c r="BJ272" i="3"/>
  <c r="BJ254" i="3"/>
  <c r="BJ269" i="3"/>
  <c r="BJ245" i="3"/>
  <c r="BJ268" i="3"/>
  <c r="BJ244" i="3"/>
  <c r="BJ267" i="3"/>
  <c r="BJ243" i="3"/>
  <c r="BJ266" i="3"/>
  <c r="BJ242" i="3"/>
  <c r="BJ251" i="3"/>
  <c r="BJ250" i="3"/>
  <c r="BJ280" i="3"/>
  <c r="BJ248" i="3"/>
  <c r="BJ279" i="3"/>
  <c r="BJ247" i="3"/>
  <c r="BJ275" i="3"/>
  <c r="BJ271" i="3"/>
  <c r="BJ270" i="3"/>
  <c r="BJ264" i="3"/>
  <c r="BJ260" i="3"/>
  <c r="BJ257" i="3"/>
  <c r="BJ255" i="3"/>
  <c r="BJ253" i="3"/>
  <c r="BJ252" i="3"/>
  <c r="BJ273" i="3"/>
  <c r="BJ263" i="3"/>
  <c r="BJ261" i="3"/>
  <c r="BU245" i="3"/>
  <c r="CH244" i="3"/>
  <c r="AS237" i="3"/>
  <c r="AR237" i="3"/>
  <c r="AO237" i="3"/>
  <c r="AU237" i="3"/>
  <c r="AT237" i="3"/>
  <c r="AQ237" i="3"/>
  <c r="AP237" i="3"/>
  <c r="U245" i="3"/>
  <c r="DH245" i="3"/>
  <c r="I152" i="6" l="1"/>
  <c r="J151" i="6"/>
  <c r="BH237" i="3"/>
  <c r="BF237" i="3"/>
  <c r="BE237" i="3"/>
  <c r="BD237" i="3"/>
  <c r="BC237" i="3"/>
  <c r="BB237" i="3"/>
  <c r="BG237" i="3"/>
  <c r="CH245" i="3"/>
  <c r="DH246" i="3"/>
  <c r="BU246" i="3"/>
  <c r="CS237" i="3"/>
  <c r="CU237" i="3"/>
  <c r="CT237" i="3"/>
  <c r="CP237" i="3"/>
  <c r="CR237" i="3"/>
  <c r="CQ237" i="3"/>
  <c r="CO237" i="3"/>
  <c r="U246" i="3"/>
  <c r="H286" i="3" a="1"/>
  <c r="H247" i="3"/>
  <c r="AH246" i="3"/>
  <c r="J312" i="3" a="1"/>
  <c r="I312" i="3" a="1"/>
  <c r="I153" i="6" l="1"/>
  <c r="J152" i="6"/>
  <c r="BU247" i="3"/>
  <c r="AH247" i="3"/>
  <c r="DH247" i="3"/>
  <c r="H248" i="3"/>
  <c r="CH246" i="3"/>
  <c r="U247" i="3"/>
  <c r="H286" i="3"/>
  <c r="H293" i="3"/>
  <c r="H292" i="3"/>
  <c r="H291" i="3"/>
  <c r="H288" i="3"/>
  <c r="H290" i="3"/>
  <c r="H289" i="3"/>
  <c r="H287" i="3"/>
  <c r="I286" i="3" a="1"/>
  <c r="L286" i="3" a="1"/>
  <c r="I154" i="6" l="1"/>
  <c r="J153" i="6"/>
  <c r="CH247" i="3"/>
  <c r="L293" i="3"/>
  <c r="L292" i="3"/>
  <c r="L291" i="3"/>
  <c r="L290" i="3"/>
  <c r="L289" i="3"/>
  <c r="L288" i="3"/>
  <c r="L287" i="3"/>
  <c r="L286" i="3"/>
  <c r="H249" i="3"/>
  <c r="I289" i="3"/>
  <c r="I288" i="3"/>
  <c r="I287" i="3"/>
  <c r="I286" i="3"/>
  <c r="I293" i="3"/>
  <c r="I292" i="3"/>
  <c r="I291" i="3"/>
  <c r="I290" i="3"/>
  <c r="DH248" i="3"/>
  <c r="U248" i="3"/>
  <c r="AH248" i="3"/>
  <c r="BU248" i="3"/>
  <c r="J154" i="6" l="1"/>
  <c r="I155" i="6"/>
  <c r="BU249" i="3"/>
  <c r="H250" i="3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I241" i="3" s="1" a="1"/>
  <c r="J241" i="3" a="1"/>
  <c r="AH249" i="3"/>
  <c r="U249" i="3"/>
  <c r="DH249" i="3"/>
  <c r="CH248" i="3"/>
  <c r="I156" i="6" l="1"/>
  <c r="J155" i="6"/>
  <c r="CH249" i="3"/>
  <c r="AH250" i="3"/>
  <c r="AH251" i="3" s="1"/>
  <c r="AH252" i="3" s="1"/>
  <c r="AH253" i="3" s="1"/>
  <c r="AH254" i="3" s="1"/>
  <c r="AH255" i="3" s="1"/>
  <c r="AH256" i="3" s="1"/>
  <c r="AH257" i="3" s="1"/>
  <c r="AH258" i="3" s="1"/>
  <c r="AH259" i="3" s="1"/>
  <c r="AH260" i="3" s="1"/>
  <c r="AH261" i="3" s="1"/>
  <c r="AH262" i="3" s="1"/>
  <c r="AH263" i="3" s="1"/>
  <c r="AH264" i="3" s="1"/>
  <c r="AH265" i="3" s="1"/>
  <c r="AH266" i="3" s="1"/>
  <c r="AH267" i="3" s="1"/>
  <c r="AH268" i="3" s="1"/>
  <c r="AH269" i="3" s="1"/>
  <c r="AH270" i="3" s="1"/>
  <c r="AH271" i="3" s="1"/>
  <c r="AH272" i="3" s="1"/>
  <c r="AH273" i="3" s="1"/>
  <c r="AH274" i="3" s="1"/>
  <c r="AH275" i="3" s="1"/>
  <c r="AH276" i="3" s="1"/>
  <c r="AH277" i="3" s="1"/>
  <c r="AH278" i="3" s="1"/>
  <c r="AH279" i="3" s="1"/>
  <c r="AH280" i="3" s="1"/>
  <c r="AI241" i="3" s="1" a="1"/>
  <c r="AJ241" i="3" a="1"/>
  <c r="I280" i="3"/>
  <c r="I264" i="3"/>
  <c r="I248" i="3"/>
  <c r="I266" i="3"/>
  <c r="I249" i="3"/>
  <c r="I265" i="3"/>
  <c r="I247" i="3"/>
  <c r="I274" i="3"/>
  <c r="I255" i="3"/>
  <c r="I273" i="3"/>
  <c r="I254" i="3"/>
  <c r="I272" i="3"/>
  <c r="I253" i="3"/>
  <c r="I271" i="3"/>
  <c r="I252" i="3"/>
  <c r="I270" i="3"/>
  <c r="I251" i="3"/>
  <c r="I268" i="3"/>
  <c r="I246" i="3"/>
  <c r="I267" i="3"/>
  <c r="I245" i="3"/>
  <c r="I263" i="3"/>
  <c r="I262" i="3"/>
  <c r="I261" i="3"/>
  <c r="I260" i="3"/>
  <c r="I259" i="3"/>
  <c r="I276" i="3"/>
  <c r="I275" i="3"/>
  <c r="I269" i="3"/>
  <c r="I258" i="3"/>
  <c r="I257" i="3"/>
  <c r="I256" i="3"/>
  <c r="I250" i="3"/>
  <c r="I244" i="3"/>
  <c r="I243" i="3"/>
  <c r="I242" i="3"/>
  <c r="I241" i="3"/>
  <c r="I279" i="3"/>
  <c r="I278" i="3"/>
  <c r="I277" i="3"/>
  <c r="J271" i="3"/>
  <c r="J255" i="3"/>
  <c r="J266" i="3"/>
  <c r="J250" i="3"/>
  <c r="J278" i="3"/>
  <c r="J260" i="3"/>
  <c r="J242" i="3"/>
  <c r="J277" i="3"/>
  <c r="J259" i="3"/>
  <c r="J241" i="3"/>
  <c r="J274" i="3"/>
  <c r="J253" i="3"/>
  <c r="J273" i="3"/>
  <c r="J252" i="3"/>
  <c r="J272" i="3"/>
  <c r="J251" i="3"/>
  <c r="J270" i="3"/>
  <c r="J249" i="3"/>
  <c r="J269" i="3"/>
  <c r="J248" i="3"/>
  <c r="J267" i="3"/>
  <c r="J246" i="3"/>
  <c r="J265" i="3"/>
  <c r="J245" i="3"/>
  <c r="J262" i="3"/>
  <c r="J261" i="3"/>
  <c r="J258" i="3"/>
  <c r="J257" i="3"/>
  <c r="J256" i="3"/>
  <c r="J243" i="3"/>
  <c r="J280" i="3"/>
  <c r="J279" i="3"/>
  <c r="J276" i="3"/>
  <c r="J275" i="3"/>
  <c r="J268" i="3"/>
  <c r="J264" i="3"/>
  <c r="J263" i="3"/>
  <c r="J254" i="3"/>
  <c r="J247" i="3"/>
  <c r="J244" i="3"/>
  <c r="BU250" i="3"/>
  <c r="BU251" i="3" s="1"/>
  <c r="BU252" i="3" s="1"/>
  <c r="BU253" i="3" s="1"/>
  <c r="BU254" i="3" s="1"/>
  <c r="BU255" i="3" s="1"/>
  <c r="BU256" i="3" s="1"/>
  <c r="BU257" i="3" s="1"/>
  <c r="BU258" i="3" s="1"/>
  <c r="BU259" i="3" s="1"/>
  <c r="BU260" i="3" s="1"/>
  <c r="BU261" i="3" s="1"/>
  <c r="BU262" i="3" s="1"/>
  <c r="BU263" i="3" s="1"/>
  <c r="BU264" i="3" s="1"/>
  <c r="BU265" i="3" s="1"/>
  <c r="BU266" i="3" s="1"/>
  <c r="BU267" i="3" s="1"/>
  <c r="BU268" i="3" s="1"/>
  <c r="BU269" i="3" s="1"/>
  <c r="BU270" i="3" s="1"/>
  <c r="BU271" i="3" s="1"/>
  <c r="BU272" i="3" s="1"/>
  <c r="BU273" i="3" s="1"/>
  <c r="BU274" i="3" s="1"/>
  <c r="BU275" i="3" s="1"/>
  <c r="BU276" i="3" s="1"/>
  <c r="BU277" i="3" s="1"/>
  <c r="BU278" i="3" s="1"/>
  <c r="BU279" i="3" s="1"/>
  <c r="BU280" i="3" s="1"/>
  <c r="BV241" i="3" s="1" a="1"/>
  <c r="BW241" i="3" a="1"/>
  <c r="DH250" i="3"/>
  <c r="DH251" i="3" s="1"/>
  <c r="DH252" i="3" s="1"/>
  <c r="DH253" i="3" s="1"/>
  <c r="DH254" i="3" s="1"/>
  <c r="DH255" i="3" s="1"/>
  <c r="DH256" i="3" s="1"/>
  <c r="DH257" i="3" s="1"/>
  <c r="DH258" i="3" s="1"/>
  <c r="DH259" i="3" s="1"/>
  <c r="DH260" i="3" s="1"/>
  <c r="DH261" i="3" s="1"/>
  <c r="DH262" i="3" s="1"/>
  <c r="DH263" i="3" s="1"/>
  <c r="DH264" i="3" s="1"/>
  <c r="DH265" i="3" s="1"/>
  <c r="DH266" i="3" s="1"/>
  <c r="DH267" i="3" s="1"/>
  <c r="DH268" i="3" s="1"/>
  <c r="DH269" i="3" s="1"/>
  <c r="DH270" i="3" s="1"/>
  <c r="DH271" i="3" s="1"/>
  <c r="DH272" i="3" s="1"/>
  <c r="DH273" i="3" s="1"/>
  <c r="DH274" i="3" s="1"/>
  <c r="DH275" i="3" s="1"/>
  <c r="DH276" i="3" s="1"/>
  <c r="DH277" i="3" s="1"/>
  <c r="DH278" i="3" s="1"/>
  <c r="DH279" i="3" s="1"/>
  <c r="DH280" i="3" s="1"/>
  <c r="DI241" i="3" s="1" a="1"/>
  <c r="DJ241" i="3" a="1"/>
  <c r="U250" i="3"/>
  <c r="U251" i="3" s="1"/>
  <c r="U252" i="3" s="1"/>
  <c r="U253" i="3" s="1"/>
  <c r="U254" i="3" s="1"/>
  <c r="U255" i="3" s="1"/>
  <c r="U256" i="3" s="1"/>
  <c r="U257" i="3" s="1"/>
  <c r="U258" i="3" s="1"/>
  <c r="U259" i="3" s="1"/>
  <c r="U260" i="3" s="1"/>
  <c r="U261" i="3" s="1"/>
  <c r="U262" i="3" s="1"/>
  <c r="U263" i="3" s="1"/>
  <c r="U264" i="3" s="1"/>
  <c r="U265" i="3" s="1"/>
  <c r="U266" i="3" s="1"/>
  <c r="U267" i="3" s="1"/>
  <c r="U268" i="3" s="1"/>
  <c r="U269" i="3" s="1"/>
  <c r="U270" i="3" s="1"/>
  <c r="U271" i="3" s="1"/>
  <c r="U272" i="3" s="1"/>
  <c r="U273" i="3" s="1"/>
  <c r="U274" i="3" s="1"/>
  <c r="U275" i="3" s="1"/>
  <c r="U276" i="3" s="1"/>
  <c r="U277" i="3" s="1"/>
  <c r="U278" i="3" s="1"/>
  <c r="U279" i="3" s="1"/>
  <c r="U280" i="3" s="1"/>
  <c r="V241" i="3" s="1" a="1"/>
  <c r="W241" i="3" a="1"/>
  <c r="J156" i="6" l="1"/>
  <c r="I157" i="6"/>
  <c r="W267" i="3"/>
  <c r="W251" i="3"/>
  <c r="W278" i="3"/>
  <c r="W262" i="3"/>
  <c r="W246" i="3"/>
  <c r="W268" i="3"/>
  <c r="W249" i="3"/>
  <c r="W266" i="3"/>
  <c r="W248" i="3"/>
  <c r="W274" i="3"/>
  <c r="W254" i="3"/>
  <c r="W273" i="3"/>
  <c r="W253" i="3"/>
  <c r="W272" i="3"/>
  <c r="W252" i="3"/>
  <c r="W271" i="3"/>
  <c r="W250" i="3"/>
  <c r="W270" i="3"/>
  <c r="W247" i="3"/>
  <c r="W265" i="3"/>
  <c r="W244" i="3"/>
  <c r="W264" i="3"/>
  <c r="W243" i="3"/>
  <c r="W256" i="3"/>
  <c r="W255" i="3"/>
  <c r="W245" i="3"/>
  <c r="W242" i="3"/>
  <c r="W280" i="3"/>
  <c r="W241" i="3"/>
  <c r="W279" i="3"/>
  <c r="W276" i="3"/>
  <c r="W275" i="3"/>
  <c r="W277" i="3"/>
  <c r="W269" i="3"/>
  <c r="W263" i="3"/>
  <c r="W261" i="3"/>
  <c r="W260" i="3"/>
  <c r="W259" i="3"/>
  <c r="W258" i="3"/>
  <c r="W257" i="3"/>
  <c r="V276" i="3"/>
  <c r="V260" i="3"/>
  <c r="V244" i="3"/>
  <c r="V271" i="3"/>
  <c r="V255" i="3"/>
  <c r="V272" i="3"/>
  <c r="V253" i="3"/>
  <c r="V270" i="3"/>
  <c r="V252" i="3"/>
  <c r="V274" i="3"/>
  <c r="V251" i="3"/>
  <c r="V273" i="3"/>
  <c r="V250" i="3"/>
  <c r="V269" i="3"/>
  <c r="V249" i="3"/>
  <c r="V268" i="3"/>
  <c r="V248" i="3"/>
  <c r="V267" i="3"/>
  <c r="V247" i="3"/>
  <c r="V265" i="3"/>
  <c r="V245" i="3"/>
  <c r="V264" i="3"/>
  <c r="V243" i="3"/>
  <c r="V258" i="3"/>
  <c r="V257" i="3"/>
  <c r="V256" i="3"/>
  <c r="V254" i="3"/>
  <c r="V246" i="3"/>
  <c r="V279" i="3"/>
  <c r="V278" i="3"/>
  <c r="V242" i="3"/>
  <c r="V241" i="3"/>
  <c r="V280" i="3"/>
  <c r="V277" i="3"/>
  <c r="V275" i="3"/>
  <c r="V262" i="3"/>
  <c r="V261" i="3"/>
  <c r="V259" i="3"/>
  <c r="V266" i="3"/>
  <c r="V263" i="3"/>
  <c r="E237" i="3"/>
  <c r="D237" i="3"/>
  <c r="C237" i="3"/>
  <c r="B237" i="3"/>
  <c r="H237" i="3"/>
  <c r="G237" i="3"/>
  <c r="F237" i="3"/>
  <c r="DJ265" i="3"/>
  <c r="DJ249" i="3"/>
  <c r="DJ280" i="3"/>
  <c r="DJ264" i="3"/>
  <c r="DJ248" i="3"/>
  <c r="DJ279" i="3"/>
  <c r="DJ263" i="3"/>
  <c r="DJ247" i="3"/>
  <c r="DJ278" i="3"/>
  <c r="DJ262" i="3"/>
  <c r="DJ246" i="3"/>
  <c r="DJ273" i="3"/>
  <c r="DJ253" i="3"/>
  <c r="DJ272" i="3"/>
  <c r="DJ252" i="3"/>
  <c r="DJ271" i="3"/>
  <c r="DJ251" i="3"/>
  <c r="DJ270" i="3"/>
  <c r="DJ250" i="3"/>
  <c r="DJ268" i="3"/>
  <c r="DJ244" i="3"/>
  <c r="DJ267" i="3"/>
  <c r="DJ243" i="3"/>
  <c r="DJ266" i="3"/>
  <c r="DJ242" i="3"/>
  <c r="DJ260" i="3"/>
  <c r="DJ277" i="3"/>
  <c r="DJ276" i="3"/>
  <c r="DJ274" i="3"/>
  <c r="DJ254" i="3"/>
  <c r="DJ245" i="3"/>
  <c r="DJ241" i="3"/>
  <c r="DJ275" i="3"/>
  <c r="DJ269" i="3"/>
  <c r="DJ261" i="3"/>
  <c r="DJ259" i="3"/>
  <c r="DJ258" i="3"/>
  <c r="DJ256" i="3"/>
  <c r="DJ255" i="3"/>
  <c r="DJ257" i="3"/>
  <c r="BW277" i="3"/>
  <c r="BW261" i="3"/>
  <c r="BW245" i="3"/>
  <c r="BW274" i="3"/>
  <c r="BW258" i="3"/>
  <c r="BW242" i="3"/>
  <c r="BW267" i="3"/>
  <c r="BW249" i="3"/>
  <c r="BW266" i="3"/>
  <c r="BW248" i="3"/>
  <c r="BW264" i="3"/>
  <c r="BW246" i="3"/>
  <c r="BW280" i="3"/>
  <c r="BW262" i="3"/>
  <c r="BW243" i="3"/>
  <c r="BW278" i="3"/>
  <c r="BW259" i="3"/>
  <c r="BW260" i="3"/>
  <c r="BW257" i="3"/>
  <c r="BW256" i="3"/>
  <c r="BW255" i="3"/>
  <c r="BW269" i="3"/>
  <c r="BW268" i="3"/>
  <c r="BW265" i="3"/>
  <c r="BW263" i="3"/>
  <c r="BW254" i="3"/>
  <c r="BW252" i="3"/>
  <c r="BW251" i="3"/>
  <c r="BW250" i="3"/>
  <c r="BW241" i="3"/>
  <c r="BW276" i="3"/>
  <c r="BW275" i="3"/>
  <c r="BW279" i="3"/>
  <c r="BW273" i="3"/>
  <c r="BW272" i="3"/>
  <c r="BW271" i="3"/>
  <c r="BW270" i="3"/>
  <c r="BW253" i="3"/>
  <c r="BW247" i="3"/>
  <c r="BW244" i="3"/>
  <c r="AJ279" i="3"/>
  <c r="AJ263" i="3"/>
  <c r="AJ247" i="3"/>
  <c r="AJ274" i="3"/>
  <c r="AJ258" i="3"/>
  <c r="AJ242" i="3"/>
  <c r="AJ275" i="3"/>
  <c r="AJ256" i="3"/>
  <c r="AJ273" i="3"/>
  <c r="AJ255" i="3"/>
  <c r="AJ272" i="3"/>
  <c r="AJ252" i="3"/>
  <c r="AJ271" i="3"/>
  <c r="AJ251" i="3"/>
  <c r="AJ270" i="3"/>
  <c r="AJ250" i="3"/>
  <c r="AJ269" i="3"/>
  <c r="AJ249" i="3"/>
  <c r="AJ268" i="3"/>
  <c r="AJ248" i="3"/>
  <c r="AJ266" i="3"/>
  <c r="AJ245" i="3"/>
  <c r="AJ265" i="3"/>
  <c r="AJ244" i="3"/>
  <c r="AJ241" i="3"/>
  <c r="AJ280" i="3"/>
  <c r="AJ278" i="3"/>
  <c r="AJ277" i="3"/>
  <c r="AJ276" i="3"/>
  <c r="AJ267" i="3"/>
  <c r="AJ262" i="3"/>
  <c r="AJ261" i="3"/>
  <c r="AJ264" i="3"/>
  <c r="AJ260" i="3"/>
  <c r="AJ259" i="3"/>
  <c r="AJ257" i="3"/>
  <c r="AJ254" i="3"/>
  <c r="AJ253" i="3"/>
  <c r="AJ246" i="3"/>
  <c r="AJ243" i="3"/>
  <c r="BV270" i="3"/>
  <c r="BV254" i="3"/>
  <c r="BV267" i="3"/>
  <c r="BV251" i="3"/>
  <c r="BV272" i="3"/>
  <c r="BV253" i="3"/>
  <c r="BV271" i="3"/>
  <c r="BV252" i="3"/>
  <c r="BV268" i="3"/>
  <c r="BV249" i="3"/>
  <c r="BV265" i="3"/>
  <c r="BV247" i="3"/>
  <c r="BV276" i="3"/>
  <c r="BV250" i="3"/>
  <c r="BV275" i="3"/>
  <c r="BV248" i="3"/>
  <c r="BV274" i="3"/>
  <c r="BV246" i="3"/>
  <c r="BV273" i="3"/>
  <c r="BV245" i="3"/>
  <c r="BV269" i="3"/>
  <c r="BV266" i="3"/>
  <c r="BV264" i="3"/>
  <c r="BV263" i="3"/>
  <c r="BV262" i="3"/>
  <c r="BV260" i="3"/>
  <c r="BV259" i="3"/>
  <c r="BV258" i="3"/>
  <c r="BV280" i="3"/>
  <c r="BV279" i="3"/>
  <c r="BV278" i="3"/>
  <c r="BV277" i="3"/>
  <c r="BV261" i="3"/>
  <c r="BV256" i="3"/>
  <c r="BV255" i="3"/>
  <c r="BV257" i="3"/>
  <c r="BV244" i="3"/>
  <c r="BV243" i="3"/>
  <c r="BV242" i="3"/>
  <c r="BV241" i="3"/>
  <c r="DI274" i="3"/>
  <c r="DI258" i="3"/>
  <c r="DI242" i="3"/>
  <c r="DI273" i="3"/>
  <c r="DI257" i="3"/>
  <c r="DI241" i="3"/>
  <c r="DI272" i="3"/>
  <c r="DI256" i="3"/>
  <c r="DI271" i="3"/>
  <c r="DI255" i="3"/>
  <c r="DI270" i="3"/>
  <c r="DI250" i="3"/>
  <c r="DI269" i="3"/>
  <c r="DI249" i="3"/>
  <c r="DI268" i="3"/>
  <c r="DI248" i="3"/>
  <c r="DI267" i="3"/>
  <c r="DI247" i="3"/>
  <c r="DI265" i="3"/>
  <c r="DI245" i="3"/>
  <c r="DI264" i="3"/>
  <c r="DI244" i="3"/>
  <c r="DI263" i="3"/>
  <c r="DI243" i="3"/>
  <c r="DI280" i="3"/>
  <c r="DI279" i="3"/>
  <c r="DI278" i="3"/>
  <c r="DI277" i="3"/>
  <c r="DI275" i="3"/>
  <c r="DI276" i="3"/>
  <c r="DI266" i="3"/>
  <c r="DI261" i="3"/>
  <c r="DI260" i="3"/>
  <c r="DI259" i="3"/>
  <c r="DI254" i="3"/>
  <c r="DI262" i="3"/>
  <c r="DI253" i="3"/>
  <c r="DI252" i="3"/>
  <c r="DI251" i="3"/>
  <c r="DI246" i="3"/>
  <c r="AI272" i="3"/>
  <c r="AI256" i="3"/>
  <c r="AI267" i="3"/>
  <c r="AI251" i="3"/>
  <c r="AI279" i="3"/>
  <c r="AI261" i="3"/>
  <c r="AI243" i="3"/>
  <c r="AI278" i="3"/>
  <c r="AI260" i="3"/>
  <c r="AI242" i="3"/>
  <c r="AI273" i="3"/>
  <c r="AI252" i="3"/>
  <c r="AI271" i="3"/>
  <c r="AI250" i="3"/>
  <c r="AI270" i="3"/>
  <c r="AI249" i="3"/>
  <c r="AI269" i="3"/>
  <c r="AI248" i="3"/>
  <c r="AI268" i="3"/>
  <c r="AI247" i="3"/>
  <c r="AI265" i="3"/>
  <c r="AI245" i="3"/>
  <c r="AI264" i="3"/>
  <c r="AI244" i="3"/>
  <c r="AI246" i="3"/>
  <c r="AI241" i="3"/>
  <c r="AI280" i="3"/>
  <c r="AI277" i="3"/>
  <c r="AI276" i="3"/>
  <c r="AI275" i="3"/>
  <c r="AI266" i="3"/>
  <c r="AI263" i="3"/>
  <c r="AI274" i="3"/>
  <c r="AI262" i="3"/>
  <c r="AI259" i="3"/>
  <c r="AI258" i="3"/>
  <c r="AI257" i="3"/>
  <c r="AI255" i="3"/>
  <c r="AI254" i="3"/>
  <c r="AI253" i="3"/>
  <c r="CH250" i="3"/>
  <c r="CH251" i="3" s="1"/>
  <c r="CH252" i="3" s="1"/>
  <c r="CH253" i="3" s="1"/>
  <c r="CH254" i="3" s="1"/>
  <c r="CH255" i="3" s="1"/>
  <c r="CH256" i="3" s="1"/>
  <c r="CH257" i="3" s="1"/>
  <c r="CH258" i="3" s="1"/>
  <c r="CH259" i="3" s="1"/>
  <c r="CH260" i="3" s="1"/>
  <c r="CH261" i="3" s="1"/>
  <c r="CH262" i="3" s="1"/>
  <c r="CH263" i="3" s="1"/>
  <c r="CH264" i="3" s="1"/>
  <c r="CH265" i="3" s="1"/>
  <c r="CH266" i="3" s="1"/>
  <c r="CH267" i="3" s="1"/>
  <c r="CH268" i="3" s="1"/>
  <c r="CH269" i="3" s="1"/>
  <c r="CH270" i="3" s="1"/>
  <c r="CH271" i="3" s="1"/>
  <c r="CH272" i="3" s="1"/>
  <c r="CH273" i="3" s="1"/>
  <c r="CH274" i="3" s="1"/>
  <c r="CH275" i="3" s="1"/>
  <c r="CH276" i="3" s="1"/>
  <c r="CH277" i="3" s="1"/>
  <c r="CH278" i="3" s="1"/>
  <c r="CH279" i="3" s="1"/>
  <c r="CH280" i="3" s="1"/>
  <c r="CI241" i="3" s="1" a="1"/>
  <c r="CJ241" i="3" a="1"/>
  <c r="I158" i="6" l="1"/>
  <c r="J157" i="6"/>
  <c r="CJ273" i="3"/>
  <c r="CJ257" i="3"/>
  <c r="CJ241" i="3"/>
  <c r="CJ272" i="3"/>
  <c r="CJ256" i="3"/>
  <c r="CJ270" i="3"/>
  <c r="CJ254" i="3"/>
  <c r="CJ278" i="3"/>
  <c r="CJ259" i="3"/>
  <c r="CJ277" i="3"/>
  <c r="CJ258" i="3"/>
  <c r="CJ276" i="3"/>
  <c r="CJ255" i="3"/>
  <c r="CJ275" i="3"/>
  <c r="CJ253" i="3"/>
  <c r="CJ271" i="3"/>
  <c r="CJ251" i="3"/>
  <c r="CJ269" i="3"/>
  <c r="CJ250" i="3"/>
  <c r="CJ268" i="3"/>
  <c r="CJ249" i="3"/>
  <c r="CJ264" i="3"/>
  <c r="CJ263" i="3"/>
  <c r="CJ262" i="3"/>
  <c r="CJ261" i="3"/>
  <c r="CJ260" i="3"/>
  <c r="CJ252" i="3"/>
  <c r="CJ248" i="3"/>
  <c r="CJ247" i="3"/>
  <c r="CJ246" i="3"/>
  <c r="CJ244" i="3"/>
  <c r="CJ243" i="3"/>
  <c r="CJ242" i="3"/>
  <c r="CJ280" i="3"/>
  <c r="CJ279" i="3"/>
  <c r="CJ274" i="3"/>
  <c r="CJ267" i="3"/>
  <c r="CJ266" i="3"/>
  <c r="CJ265" i="3"/>
  <c r="CJ245" i="3"/>
  <c r="CI266" i="3"/>
  <c r="CI250" i="3"/>
  <c r="CI279" i="3"/>
  <c r="CI263" i="3"/>
  <c r="CI247" i="3"/>
  <c r="CI278" i="3"/>
  <c r="CI260" i="3"/>
  <c r="CI242" i="3"/>
  <c r="CI277" i="3"/>
  <c r="CI259" i="3"/>
  <c r="CI241" i="3"/>
  <c r="CI276" i="3"/>
  <c r="CI275" i="3"/>
  <c r="CI257" i="3"/>
  <c r="CI273" i="3"/>
  <c r="CI255" i="3"/>
  <c r="CI271" i="3"/>
  <c r="CI253" i="3"/>
  <c r="CI270" i="3"/>
  <c r="CI245" i="3"/>
  <c r="CI269" i="3"/>
  <c r="CI244" i="3"/>
  <c r="CI268" i="3"/>
  <c r="CI243" i="3"/>
  <c r="CI267" i="3"/>
  <c r="CI258" i="3"/>
  <c r="CI256" i="3"/>
  <c r="CI254" i="3"/>
  <c r="CI252" i="3"/>
  <c r="CI251" i="3"/>
  <c r="CI248" i="3"/>
  <c r="CI246" i="3"/>
  <c r="CI280" i="3"/>
  <c r="CI272" i="3"/>
  <c r="CI265" i="3"/>
  <c r="CI264" i="3"/>
  <c r="CI262" i="3"/>
  <c r="CI261" i="3"/>
  <c r="CI249" i="3"/>
  <c r="CI274" i="3"/>
  <c r="D286" i="3" a="1"/>
  <c r="AH237" i="3"/>
  <c r="AG237" i="3"/>
  <c r="AF237" i="3"/>
  <c r="AE237" i="3"/>
  <c r="AC237" i="3"/>
  <c r="AB237" i="3"/>
  <c r="AD237" i="3"/>
  <c r="DD237" i="3"/>
  <c r="DC237" i="3"/>
  <c r="DB237" i="3"/>
  <c r="DH237" i="3"/>
  <c r="DG237" i="3"/>
  <c r="DF237" i="3"/>
  <c r="DE237" i="3"/>
  <c r="S237" i="3"/>
  <c r="R237" i="3"/>
  <c r="O237" i="3"/>
  <c r="T237" i="3"/>
  <c r="Q237" i="3"/>
  <c r="U237" i="3"/>
  <c r="P237" i="3"/>
  <c r="BS237" i="3"/>
  <c r="BT237" i="3"/>
  <c r="BR237" i="3"/>
  <c r="BO237" i="3"/>
  <c r="BQ237" i="3"/>
  <c r="BP237" i="3"/>
  <c r="BU237" i="3"/>
  <c r="I159" i="6" l="1"/>
  <c r="J158" i="6"/>
  <c r="J286" i="3" a="1"/>
  <c r="CH237" i="3"/>
  <c r="CG237" i="3"/>
  <c r="CF237" i="3"/>
  <c r="CE237" i="3"/>
  <c r="CD237" i="3"/>
  <c r="CC237" i="3"/>
  <c r="CB237" i="3"/>
  <c r="G286" i="3" a="1"/>
  <c r="F286" i="3" a="1"/>
  <c r="M286" i="3" a="1"/>
  <c r="D293" i="3"/>
  <c r="D292" i="3"/>
  <c r="D291" i="3"/>
  <c r="D290" i="3"/>
  <c r="D289" i="3"/>
  <c r="D288" i="3"/>
  <c r="D287" i="3"/>
  <c r="D286" i="3"/>
  <c r="I160" i="6" l="1"/>
  <c r="J159" i="6"/>
  <c r="K286" i="3" a="1"/>
  <c r="K290" i="3" s="1"/>
  <c r="G291" i="3"/>
  <c r="G290" i="3"/>
  <c r="G289" i="3"/>
  <c r="G288" i="3"/>
  <c r="G293" i="3"/>
  <c r="G292" i="3"/>
  <c r="G287" i="3"/>
  <c r="G286" i="3"/>
  <c r="P286" i="3" s="1" a="1"/>
  <c r="F293" i="3"/>
  <c r="F292" i="3"/>
  <c r="F291" i="3"/>
  <c r="F290" i="3"/>
  <c r="F289" i="3"/>
  <c r="F286" i="3"/>
  <c r="F288" i="3"/>
  <c r="F287" i="3"/>
  <c r="Q286" i="3" a="1"/>
  <c r="R286" i="3" a="1"/>
  <c r="U286" i="3" a="1"/>
  <c r="M293" i="3"/>
  <c r="M292" i="3"/>
  <c r="M291" i="3"/>
  <c r="M290" i="3"/>
  <c r="M287" i="3"/>
  <c r="M289" i="3"/>
  <c r="M288" i="3"/>
  <c r="M286" i="3"/>
  <c r="V286" i="3" s="1" a="1"/>
  <c r="J293" i="3"/>
  <c r="J288" i="3"/>
  <c r="J287" i="3"/>
  <c r="J286" i="3"/>
  <c r="J290" i="3"/>
  <c r="J292" i="3"/>
  <c r="J291" i="3"/>
  <c r="J289" i="3"/>
  <c r="I161" i="6" l="1"/>
  <c r="J160" i="6"/>
  <c r="K291" i="3"/>
  <c r="K292" i="3"/>
  <c r="K293" i="3"/>
  <c r="K286" i="3"/>
  <c r="K287" i="3"/>
  <c r="K288" i="3"/>
  <c r="K289" i="3"/>
  <c r="V293" i="3"/>
  <c r="V292" i="3"/>
  <c r="V291" i="3"/>
  <c r="V290" i="3"/>
  <c r="V289" i="3"/>
  <c r="V288" i="3"/>
  <c r="V287" i="3"/>
  <c r="V286" i="3"/>
  <c r="T286" i="3" a="1"/>
  <c r="P287" i="3"/>
  <c r="P286" i="3"/>
  <c r="P293" i="3"/>
  <c r="P292" i="3"/>
  <c r="P289" i="3"/>
  <c r="P288" i="3"/>
  <c r="P291" i="3"/>
  <c r="P290" i="3"/>
  <c r="R289" i="3"/>
  <c r="R288" i="3"/>
  <c r="R287" i="3"/>
  <c r="R286" i="3"/>
  <c r="R291" i="3"/>
  <c r="R293" i="3"/>
  <c r="R292" i="3"/>
  <c r="R290" i="3"/>
  <c r="O286" i="3" a="1"/>
  <c r="S286" i="3" a="1"/>
  <c r="U286" i="3"/>
  <c r="U293" i="3"/>
  <c r="U292" i="3"/>
  <c r="U291" i="3"/>
  <c r="U288" i="3"/>
  <c r="U290" i="3"/>
  <c r="U289" i="3"/>
  <c r="U287" i="3"/>
  <c r="Q290" i="3"/>
  <c r="Q289" i="3"/>
  <c r="Q288" i="3"/>
  <c r="Q287" i="3"/>
  <c r="Q293" i="3"/>
  <c r="Q292" i="3"/>
  <c r="Q291" i="3"/>
  <c r="Q286" i="3"/>
  <c r="I162" i="6" l="1"/>
  <c r="J161" i="6"/>
  <c r="O292" i="3"/>
  <c r="O291" i="3"/>
  <c r="O290" i="3"/>
  <c r="O289" i="3"/>
  <c r="O293" i="3"/>
  <c r="O288" i="3"/>
  <c r="O287" i="3"/>
  <c r="O286" i="3"/>
  <c r="S288" i="3"/>
  <c r="S287" i="3"/>
  <c r="S286" i="3"/>
  <c r="S293" i="3"/>
  <c r="S292" i="3"/>
  <c r="S291" i="3"/>
  <c r="S290" i="3"/>
  <c r="S289" i="3"/>
  <c r="T293" i="3"/>
  <c r="T292" i="3"/>
  <c r="T291" i="3"/>
  <c r="T290" i="3"/>
  <c r="T289" i="3"/>
  <c r="T288" i="3"/>
  <c r="T287" i="3"/>
  <c r="T286" i="3"/>
  <c r="I163" i="6" l="1"/>
  <c r="J162" i="6"/>
  <c r="X286" i="3" a="1"/>
  <c r="J163" i="6" l="1"/>
  <c r="I164" i="6"/>
  <c r="AD293" i="3"/>
  <c r="AD291" i="3"/>
  <c r="AD289" i="3"/>
  <c r="AD287" i="3"/>
  <c r="AC293" i="3"/>
  <c r="AC291" i="3"/>
  <c r="AC289" i="3"/>
  <c r="AC287" i="3"/>
  <c r="AB293" i="3"/>
  <c r="AB291" i="3"/>
  <c r="AB289" i="3"/>
  <c r="AB287" i="3"/>
  <c r="AA293" i="3"/>
  <c r="AA291" i="3"/>
  <c r="AA289" i="3"/>
  <c r="AA287" i="3"/>
  <c r="Z291" i="3"/>
  <c r="AD288" i="3"/>
  <c r="Z286" i="3"/>
  <c r="Y291" i="3"/>
  <c r="AC288" i="3"/>
  <c r="Y286" i="3"/>
  <c r="X291" i="3"/>
  <c r="AB288" i="3"/>
  <c r="X286" i="3"/>
  <c r="AE293" i="3"/>
  <c r="AE290" i="3"/>
  <c r="AA288" i="3"/>
  <c r="Z293" i="3"/>
  <c r="AD290" i="3"/>
  <c r="Z288" i="3"/>
  <c r="Y293" i="3"/>
  <c r="AC290" i="3"/>
  <c r="Y288" i="3"/>
  <c r="X293" i="3"/>
  <c r="AB290" i="3"/>
  <c r="X288" i="3"/>
  <c r="AE292" i="3"/>
  <c r="AA290" i="3"/>
  <c r="AE287" i="3"/>
  <c r="AD292" i="3"/>
  <c r="Z290" i="3"/>
  <c r="Z287" i="3"/>
  <c r="AC292" i="3"/>
  <c r="Y290" i="3"/>
  <c r="Y287" i="3"/>
  <c r="AB292" i="3"/>
  <c r="X290" i="3"/>
  <c r="X287" i="3"/>
  <c r="AA292" i="3"/>
  <c r="AE289" i="3"/>
  <c r="AE286" i="3"/>
  <c r="Z292" i="3"/>
  <c r="Z289" i="3"/>
  <c r="AD286" i="3"/>
  <c r="X292" i="3"/>
  <c r="X289" i="3"/>
  <c r="AB286" i="3"/>
  <c r="Y292" i="3"/>
  <c r="AE291" i="3"/>
  <c r="Y289" i="3"/>
  <c r="AE288" i="3"/>
  <c r="AC286" i="3"/>
  <c r="AA286" i="3"/>
  <c r="I165" i="6" l="1"/>
  <c r="J164" i="6"/>
  <c r="AH286" i="3" a="1"/>
  <c r="J165" i="6" l="1"/>
  <c r="I166" i="6"/>
  <c r="AH292" i="3"/>
  <c r="B304" i="3" s="1"/>
  <c r="D303" i="3" s="1"/>
  <c r="AH286" i="3"/>
  <c r="B298" i="3" s="1"/>
  <c r="AH293" i="3"/>
  <c r="B305" i="3" s="1"/>
  <c r="AH291" i="3"/>
  <c r="B303" i="3" s="1"/>
  <c r="AH290" i="3"/>
  <c r="B302" i="3" s="1"/>
  <c r="D301" i="3" s="1"/>
  <c r="AH288" i="3"/>
  <c r="B300" i="3" s="1"/>
  <c r="D299" i="3" s="1"/>
  <c r="AH289" i="3"/>
  <c r="B301" i="3" s="1"/>
  <c r="AH287" i="3"/>
  <c r="B299" i="3" s="1"/>
  <c r="J166" i="6" l="1"/>
  <c r="I167" i="6"/>
  <c r="D300" i="3"/>
  <c r="D298" i="3"/>
  <c r="E299" i="3"/>
  <c r="E301" i="3"/>
  <c r="D302" i="3"/>
  <c r="D305" i="3"/>
  <c r="D304" i="3"/>
  <c r="E304" i="3" s="1"/>
  <c r="E303" i="3"/>
  <c r="I168" i="6" l="1"/>
  <c r="J167" i="6"/>
  <c r="G303" i="3"/>
  <c r="F304" i="3" s="1"/>
  <c r="E302" i="3"/>
  <c r="G302" i="3" s="1"/>
  <c r="F303" i="3" s="1"/>
  <c r="E305" i="3"/>
  <c r="G304" i="3" s="1"/>
  <c r="E298" i="3"/>
  <c r="G298" i="3" s="1"/>
  <c r="E300" i="3"/>
  <c r="G300" i="3" s="1"/>
  <c r="F301" i="3" s="1"/>
  <c r="J168" i="6" l="1"/>
  <c r="I169" i="6"/>
  <c r="G301" i="3"/>
  <c r="F302" i="3" s="1"/>
  <c r="H302" i="3" s="1"/>
  <c r="F305" i="3"/>
  <c r="H304" i="3"/>
  <c r="H298" i="3"/>
  <c r="F299" i="3"/>
  <c r="G299" i="3"/>
  <c r="F300" i="3" s="1"/>
  <c r="H303" i="3"/>
  <c r="I303" i="3" s="1"/>
  <c r="J169" i="6" l="1"/>
  <c r="I170" i="6"/>
  <c r="H301" i="3"/>
  <c r="I301" i="3" s="1"/>
  <c r="C20" i="4"/>
  <c r="C7" i="6"/>
  <c r="J303" i="3"/>
  <c r="H300" i="3"/>
  <c r="I300" i="3" s="1"/>
  <c r="B15" i="4"/>
  <c r="B2" i="6"/>
  <c r="C311" i="3" a="1"/>
  <c r="I298" i="3"/>
  <c r="H305" i="3"/>
  <c r="B7" i="6"/>
  <c r="B20" i="4"/>
  <c r="B19" i="4"/>
  <c r="B6" i="6"/>
  <c r="H299" i="3"/>
  <c r="I299" i="3" s="1"/>
  <c r="I304" i="3"/>
  <c r="B8" i="6"/>
  <c r="B21" i="4"/>
  <c r="I302" i="3"/>
  <c r="I171" i="6" l="1"/>
  <c r="J170" i="6"/>
  <c r="B5" i="6"/>
  <c r="B18" i="4"/>
  <c r="C12" i="6" a="1"/>
  <c r="J298" i="3"/>
  <c r="K298" i="3" s="1"/>
  <c r="C15" i="4"/>
  <c r="C2" i="6"/>
  <c r="C21" i="4"/>
  <c r="C8" i="6"/>
  <c r="J304" i="3"/>
  <c r="C6" i="6"/>
  <c r="C19" i="4"/>
  <c r="J302" i="3"/>
  <c r="D7" i="6"/>
  <c r="D20" i="4"/>
  <c r="C314" i="3"/>
  <c r="C344" i="3"/>
  <c r="C341" i="3"/>
  <c r="C330" i="3"/>
  <c r="C340" i="3"/>
  <c r="C320" i="3"/>
  <c r="C339" i="3"/>
  <c r="C326" i="3"/>
  <c r="C336" i="3"/>
  <c r="C333" i="3"/>
  <c r="C328" i="3"/>
  <c r="C351" i="3"/>
  <c r="C337" i="3"/>
  <c r="C321" i="3"/>
  <c r="C347" i="3"/>
  <c r="C313" i="3"/>
  <c r="C342" i="3"/>
  <c r="C327" i="3"/>
  <c r="C319" i="3"/>
  <c r="C318" i="3"/>
  <c r="C323" i="3"/>
  <c r="C329" i="3"/>
  <c r="C331" i="3"/>
  <c r="C348" i="3"/>
  <c r="C332" i="3"/>
  <c r="C312" i="3"/>
  <c r="C346" i="3"/>
  <c r="C343" i="3"/>
  <c r="C324" i="3"/>
  <c r="C345" i="3"/>
  <c r="C338" i="3"/>
  <c r="C315" i="3"/>
  <c r="C325" i="3"/>
  <c r="C322" i="3"/>
  <c r="C334" i="3"/>
  <c r="C316" i="3"/>
  <c r="C335" i="3"/>
  <c r="C311" i="3"/>
  <c r="C349" i="3"/>
  <c r="C350" i="3"/>
  <c r="C317" i="3"/>
  <c r="C4" i="6"/>
  <c r="C17" i="4"/>
  <c r="B17" i="4"/>
  <c r="B4" i="6"/>
  <c r="B9" i="6"/>
  <c r="B22" i="4"/>
  <c r="C16" i="4"/>
  <c r="C3" i="6"/>
  <c r="J299" i="3"/>
  <c r="K299" i="3" s="1"/>
  <c r="J300" i="3"/>
  <c r="B16" i="4"/>
  <c r="B3" i="6"/>
  <c r="K303" i="3"/>
  <c r="I305" i="3"/>
  <c r="C18" i="4"/>
  <c r="C5" i="6"/>
  <c r="J301" i="3"/>
  <c r="I172" i="6" l="1"/>
  <c r="J171" i="6"/>
  <c r="C26" i="4" a="1"/>
  <c r="C47" i="4" s="1"/>
  <c r="D12" i="6" a="1"/>
  <c r="C12" i="6"/>
  <c r="C27" i="6"/>
  <c r="C51" i="6"/>
  <c r="C71" i="6"/>
  <c r="C91" i="6"/>
  <c r="C115" i="6"/>
  <c r="C135" i="6"/>
  <c r="C155" i="6"/>
  <c r="C179" i="6"/>
  <c r="C199" i="6"/>
  <c r="C219" i="6"/>
  <c r="C242" i="6"/>
  <c r="C261" i="6"/>
  <c r="C280" i="6"/>
  <c r="C299" i="6"/>
  <c r="C321" i="6"/>
  <c r="C340" i="6"/>
  <c r="C359" i="6"/>
  <c r="C378" i="6"/>
  <c r="C397" i="6"/>
  <c r="C415" i="6"/>
  <c r="C434" i="6"/>
  <c r="C452" i="6"/>
  <c r="C470" i="6"/>
  <c r="C488" i="6"/>
  <c r="C506" i="6"/>
  <c r="C525" i="6"/>
  <c r="C543" i="6"/>
  <c r="C562" i="6"/>
  <c r="C580" i="6"/>
  <c r="C598" i="6"/>
  <c r="C616" i="6"/>
  <c r="C634" i="6"/>
  <c r="C653" i="6"/>
  <c r="C671" i="6"/>
  <c r="C690" i="6"/>
  <c r="C708" i="6"/>
  <c r="C726" i="6"/>
  <c r="C744" i="6"/>
  <c r="C762" i="6"/>
  <c r="C781" i="6"/>
  <c r="C799" i="6"/>
  <c r="C818" i="6"/>
  <c r="C836" i="6"/>
  <c r="C854" i="6"/>
  <c r="C872" i="6"/>
  <c r="C890" i="6"/>
  <c r="C909" i="6"/>
  <c r="C927" i="6"/>
  <c r="C946" i="6"/>
  <c r="C964" i="6"/>
  <c r="C982" i="6"/>
  <c r="C1000" i="6"/>
  <c r="C30" i="6"/>
  <c r="C52" i="6"/>
  <c r="C72" i="6"/>
  <c r="C94" i="6"/>
  <c r="C116" i="6"/>
  <c r="C136" i="6"/>
  <c r="C158" i="6"/>
  <c r="C180" i="6"/>
  <c r="C200" i="6"/>
  <c r="C222" i="6"/>
  <c r="C243" i="6"/>
  <c r="C262" i="6"/>
  <c r="C281" i="6"/>
  <c r="C302" i="6"/>
  <c r="C322" i="6"/>
  <c r="C341" i="6"/>
  <c r="C360" i="6"/>
  <c r="C379" i="6"/>
  <c r="C398" i="6"/>
  <c r="C417" i="6"/>
  <c r="C435" i="6"/>
  <c r="C453" i="6"/>
  <c r="C471" i="6"/>
  <c r="C489" i="6"/>
  <c r="C507" i="6"/>
  <c r="C526" i="6"/>
  <c r="C545" i="6"/>
  <c r="C563" i="6"/>
  <c r="C581" i="6"/>
  <c r="C599" i="6"/>
  <c r="C617" i="6"/>
  <c r="C635" i="6"/>
  <c r="C654" i="6"/>
  <c r="C673" i="6"/>
  <c r="C691" i="6"/>
  <c r="C709" i="6"/>
  <c r="C727" i="6"/>
  <c r="C745" i="6"/>
  <c r="C763" i="6"/>
  <c r="C782" i="6"/>
  <c r="C801" i="6"/>
  <c r="C819" i="6"/>
  <c r="C837" i="6"/>
  <c r="C855" i="6"/>
  <c r="C873" i="6"/>
  <c r="C891" i="6"/>
  <c r="C910" i="6"/>
  <c r="C929" i="6"/>
  <c r="C947" i="6"/>
  <c r="C965" i="6"/>
  <c r="C983" i="6"/>
  <c r="C1001" i="6"/>
  <c r="C31" i="6"/>
  <c r="C53" i="6"/>
  <c r="C73" i="6"/>
  <c r="C95" i="6"/>
  <c r="C117" i="6"/>
  <c r="C137" i="6"/>
  <c r="C159" i="6"/>
  <c r="C181" i="6"/>
  <c r="C201" i="6"/>
  <c r="C223" i="6"/>
  <c r="C244" i="6"/>
  <c r="C263" i="6"/>
  <c r="C282" i="6"/>
  <c r="C303" i="6"/>
  <c r="C323" i="6"/>
  <c r="C342" i="6"/>
  <c r="C361" i="6"/>
  <c r="C381" i="6"/>
  <c r="C399" i="6"/>
  <c r="C418" i="6"/>
  <c r="C436" i="6"/>
  <c r="C454" i="6"/>
  <c r="C472" i="6"/>
  <c r="C490" i="6"/>
  <c r="C509" i="6"/>
  <c r="C527" i="6"/>
  <c r="C546" i="6"/>
  <c r="C564" i="6"/>
  <c r="C582" i="6"/>
  <c r="C600" i="6"/>
  <c r="C618" i="6"/>
  <c r="C637" i="6"/>
  <c r="C655" i="6"/>
  <c r="C674" i="6"/>
  <c r="C692" i="6"/>
  <c r="C710" i="6"/>
  <c r="C728" i="6"/>
  <c r="C746" i="6"/>
  <c r="C765" i="6"/>
  <c r="C783" i="6"/>
  <c r="C802" i="6"/>
  <c r="C820" i="6"/>
  <c r="C838" i="6"/>
  <c r="C856" i="6"/>
  <c r="C874" i="6"/>
  <c r="C893" i="6"/>
  <c r="C911" i="6"/>
  <c r="C930" i="6"/>
  <c r="C948" i="6"/>
  <c r="C966" i="6"/>
  <c r="C984" i="6"/>
  <c r="C1002" i="6"/>
  <c r="C34" i="6"/>
  <c r="C54" i="6"/>
  <c r="C74" i="6"/>
  <c r="C98" i="6"/>
  <c r="C118" i="6"/>
  <c r="C138" i="6"/>
  <c r="C162" i="6"/>
  <c r="C182" i="6"/>
  <c r="C202" i="6"/>
  <c r="C226" i="6"/>
  <c r="C245" i="6"/>
  <c r="C264" i="6"/>
  <c r="C283" i="6"/>
  <c r="C305" i="6"/>
  <c r="C324" i="6"/>
  <c r="C343" i="6"/>
  <c r="C362" i="6"/>
  <c r="C382" i="6"/>
  <c r="C401" i="6"/>
  <c r="C419" i="6"/>
  <c r="C437" i="6"/>
  <c r="C455" i="6"/>
  <c r="C473" i="6"/>
  <c r="C491" i="6"/>
  <c r="C510" i="6"/>
  <c r="C529" i="6"/>
  <c r="C547" i="6"/>
  <c r="C565" i="6"/>
  <c r="C583" i="6"/>
  <c r="C601" i="6"/>
  <c r="C619" i="6"/>
  <c r="C638" i="6"/>
  <c r="C657" i="6"/>
  <c r="C675" i="6"/>
  <c r="C693" i="6"/>
  <c r="C711" i="6"/>
  <c r="C729" i="6"/>
  <c r="C747" i="6"/>
  <c r="C766" i="6"/>
  <c r="C785" i="6"/>
  <c r="C803" i="6"/>
  <c r="C821" i="6"/>
  <c r="C839" i="6"/>
  <c r="C857" i="6"/>
  <c r="C875" i="6"/>
  <c r="C894" i="6"/>
  <c r="C913" i="6"/>
  <c r="C931" i="6"/>
  <c r="C949" i="6"/>
  <c r="C967" i="6"/>
  <c r="C985" i="6"/>
  <c r="C1003" i="6"/>
  <c r="C21" i="6"/>
  <c r="C41" i="6"/>
  <c r="C63" i="6"/>
  <c r="C85" i="6"/>
  <c r="C105" i="6"/>
  <c r="C127" i="6"/>
  <c r="C149" i="6"/>
  <c r="C169" i="6"/>
  <c r="C191" i="6"/>
  <c r="C213" i="6"/>
  <c r="C22" i="6"/>
  <c r="C42" i="6"/>
  <c r="C66" i="6"/>
  <c r="C86" i="6"/>
  <c r="C106" i="6"/>
  <c r="C130" i="6"/>
  <c r="C150" i="6"/>
  <c r="C170" i="6"/>
  <c r="C194" i="6"/>
  <c r="C214" i="6"/>
  <c r="C234" i="6"/>
  <c r="C255" i="6"/>
  <c r="C275" i="6"/>
  <c r="C294" i="6"/>
  <c r="C313" i="6"/>
  <c r="C334" i="6"/>
  <c r="C354" i="6"/>
  <c r="C373" i="6"/>
  <c r="C391" i="6"/>
  <c r="C409" i="6"/>
  <c r="C427" i="6"/>
  <c r="C446" i="6"/>
  <c r="C465" i="6"/>
  <c r="C483" i="6"/>
  <c r="C501" i="6"/>
  <c r="C519" i="6"/>
  <c r="C537" i="6"/>
  <c r="C555" i="6"/>
  <c r="C574" i="6"/>
  <c r="C593" i="6"/>
  <c r="C611" i="6"/>
  <c r="C629" i="6"/>
  <c r="C647" i="6"/>
  <c r="C665" i="6"/>
  <c r="C683" i="6"/>
  <c r="C702" i="6"/>
  <c r="C721" i="6"/>
  <c r="C739" i="6"/>
  <c r="C757" i="6"/>
  <c r="C775" i="6"/>
  <c r="C793" i="6"/>
  <c r="C811" i="6"/>
  <c r="C830" i="6"/>
  <c r="C849" i="6"/>
  <c r="C867" i="6"/>
  <c r="C885" i="6"/>
  <c r="C903" i="6"/>
  <c r="C921" i="6"/>
  <c r="C939" i="6"/>
  <c r="C958" i="6"/>
  <c r="C977" i="6"/>
  <c r="C995" i="6"/>
  <c r="C23" i="6"/>
  <c r="C43" i="6"/>
  <c r="C67" i="6"/>
  <c r="C87" i="6"/>
  <c r="C107" i="6"/>
  <c r="C131" i="6"/>
  <c r="C151" i="6"/>
  <c r="C171" i="6"/>
  <c r="C195" i="6"/>
  <c r="C215" i="6"/>
  <c r="C235" i="6"/>
  <c r="C257" i="6"/>
  <c r="C276" i="6"/>
  <c r="C295" i="6"/>
  <c r="C314" i="6"/>
  <c r="C335" i="6"/>
  <c r="C355" i="6"/>
  <c r="C374" i="6"/>
  <c r="C392" i="6"/>
  <c r="C410" i="6"/>
  <c r="C429" i="6"/>
  <c r="C447" i="6"/>
  <c r="C466" i="6"/>
  <c r="C484" i="6"/>
  <c r="C502" i="6"/>
  <c r="C520" i="6"/>
  <c r="C538" i="6"/>
  <c r="C557" i="6"/>
  <c r="C575" i="6"/>
  <c r="C594" i="6"/>
  <c r="C612" i="6"/>
  <c r="C630" i="6"/>
  <c r="C648" i="6"/>
  <c r="C666" i="6"/>
  <c r="C685" i="6"/>
  <c r="C703" i="6"/>
  <c r="C722" i="6"/>
  <c r="C740" i="6"/>
  <c r="C758" i="6"/>
  <c r="C776" i="6"/>
  <c r="C794" i="6"/>
  <c r="C813" i="6"/>
  <c r="C831" i="6"/>
  <c r="C850" i="6"/>
  <c r="C868" i="6"/>
  <c r="C886" i="6"/>
  <c r="C904" i="6"/>
  <c r="C922" i="6"/>
  <c r="C941" i="6"/>
  <c r="C959" i="6"/>
  <c r="C978" i="6"/>
  <c r="C996" i="6"/>
  <c r="C24" i="6"/>
  <c r="C46" i="6"/>
  <c r="C68" i="6"/>
  <c r="C88" i="6"/>
  <c r="C110" i="6"/>
  <c r="C132" i="6"/>
  <c r="C152" i="6"/>
  <c r="C174" i="6"/>
  <c r="C196" i="6"/>
  <c r="C216" i="6"/>
  <c r="C238" i="6"/>
  <c r="C258" i="6"/>
  <c r="C277" i="6"/>
  <c r="C296" i="6"/>
  <c r="C315" i="6"/>
  <c r="C337" i="6"/>
  <c r="C356" i="6"/>
  <c r="C375" i="6"/>
  <c r="C393" i="6"/>
  <c r="C411" i="6"/>
  <c r="C430" i="6"/>
  <c r="C449" i="6"/>
  <c r="C467" i="6"/>
  <c r="C485" i="6"/>
  <c r="C503" i="6"/>
  <c r="C521" i="6"/>
  <c r="C539" i="6"/>
  <c r="C558" i="6"/>
  <c r="C577" i="6"/>
  <c r="C595" i="6"/>
  <c r="C613" i="6"/>
  <c r="C631" i="6"/>
  <c r="C649" i="6"/>
  <c r="C667" i="6"/>
  <c r="C686" i="6"/>
  <c r="C705" i="6"/>
  <c r="C723" i="6"/>
  <c r="C741" i="6"/>
  <c r="C759" i="6"/>
  <c r="C777" i="6"/>
  <c r="C795" i="6"/>
  <c r="C814" i="6"/>
  <c r="C833" i="6"/>
  <c r="C851" i="6"/>
  <c r="C869" i="6"/>
  <c r="C887" i="6"/>
  <c r="C905" i="6"/>
  <c r="C923" i="6"/>
  <c r="C942" i="6"/>
  <c r="C961" i="6"/>
  <c r="C979" i="6"/>
  <c r="C997" i="6"/>
  <c r="C50" i="6"/>
  <c r="C25" i="6"/>
  <c r="C47" i="6"/>
  <c r="C69" i="6"/>
  <c r="C89" i="6"/>
  <c r="C111" i="6"/>
  <c r="C133" i="6"/>
  <c r="C153" i="6"/>
  <c r="C175" i="6"/>
  <c r="C197" i="6"/>
  <c r="C217" i="6"/>
  <c r="C239" i="6"/>
  <c r="C259" i="6"/>
  <c r="C278" i="6"/>
  <c r="C297" i="6"/>
  <c r="C318" i="6"/>
  <c r="C338" i="6"/>
  <c r="C357" i="6"/>
  <c r="C376" i="6"/>
  <c r="C394" i="6"/>
  <c r="C413" i="6"/>
  <c r="C431" i="6"/>
  <c r="C450" i="6"/>
  <c r="C468" i="6"/>
  <c r="C486" i="6"/>
  <c r="C504" i="6"/>
  <c r="C522" i="6"/>
  <c r="C541" i="6"/>
  <c r="C559" i="6"/>
  <c r="C578" i="6"/>
  <c r="C596" i="6"/>
  <c r="C614" i="6"/>
  <c r="C632" i="6"/>
  <c r="C650" i="6"/>
  <c r="C669" i="6"/>
  <c r="C687" i="6"/>
  <c r="C706" i="6"/>
  <c r="C724" i="6"/>
  <c r="C742" i="6"/>
  <c r="C760" i="6"/>
  <c r="C778" i="6"/>
  <c r="C797" i="6"/>
  <c r="C815" i="6"/>
  <c r="C834" i="6"/>
  <c r="C852" i="6"/>
  <c r="C870" i="6"/>
  <c r="C888" i="6"/>
  <c r="C906" i="6"/>
  <c r="C925" i="6"/>
  <c r="C943" i="6"/>
  <c r="C962" i="6"/>
  <c r="C980" i="6"/>
  <c r="C998" i="6"/>
  <c r="C15" i="6"/>
  <c r="C70" i="6"/>
  <c r="C120" i="6"/>
  <c r="C166" i="6"/>
  <c r="C212" i="6"/>
  <c r="C254" i="6"/>
  <c r="C293" i="6"/>
  <c r="C331" i="6"/>
  <c r="C372" i="6"/>
  <c r="C408" i="6"/>
  <c r="C445" i="6"/>
  <c r="C482" i="6"/>
  <c r="C518" i="6"/>
  <c r="C554" i="6"/>
  <c r="C591" i="6"/>
  <c r="C628" i="6"/>
  <c r="C664" i="6"/>
  <c r="C701" i="6"/>
  <c r="C738" i="6"/>
  <c r="C774" i="6"/>
  <c r="C810" i="6"/>
  <c r="C847" i="6"/>
  <c r="C884" i="6"/>
  <c r="C920" i="6"/>
  <c r="C957" i="6"/>
  <c r="C994" i="6"/>
  <c r="C167" i="6"/>
  <c r="C561" i="6"/>
  <c r="C633" i="6"/>
  <c r="C707" i="6"/>
  <c r="C743" i="6"/>
  <c r="C817" i="6"/>
  <c r="C853" i="6"/>
  <c r="C889" i="6"/>
  <c r="C963" i="6"/>
  <c r="C999" i="6"/>
  <c r="C78" i="6"/>
  <c r="C420" i="6"/>
  <c r="C530" i="6"/>
  <c r="C566" i="6"/>
  <c r="C639" i="6"/>
  <c r="C712" i="6"/>
  <c r="C749" i="6"/>
  <c r="C858" i="6"/>
  <c r="C895" i="6"/>
  <c r="C968" i="6"/>
  <c r="C1005" i="6"/>
  <c r="C385" i="6"/>
  <c r="C603" i="6"/>
  <c r="C713" i="6"/>
  <c r="C787" i="6"/>
  <c r="C897" i="6"/>
  <c r="C969" i="6"/>
  <c r="C308" i="6"/>
  <c r="C532" i="6"/>
  <c r="C751" i="6"/>
  <c r="C970" i="6"/>
  <c r="C83" i="6"/>
  <c r="C309" i="6"/>
  <c r="C423" i="6"/>
  <c r="C606" i="6"/>
  <c r="C789" i="6"/>
  <c r="C971" i="6"/>
  <c r="C1010" i="6"/>
  <c r="C462" i="6"/>
  <c r="C865" i="6"/>
  <c r="C798" i="6"/>
  <c r="C101" i="6"/>
  <c r="C950" i="6"/>
  <c r="C102" i="6"/>
  <c r="C659" i="6"/>
  <c r="C951" i="6"/>
  <c r="C19" i="6"/>
  <c r="C75" i="6"/>
  <c r="C121" i="6"/>
  <c r="C218" i="6"/>
  <c r="C260" i="6"/>
  <c r="C298" i="6"/>
  <c r="C339" i="6"/>
  <c r="C377" i="6"/>
  <c r="C414" i="6"/>
  <c r="C451" i="6"/>
  <c r="C487" i="6"/>
  <c r="C523" i="6"/>
  <c r="C597" i="6"/>
  <c r="C670" i="6"/>
  <c r="C779" i="6"/>
  <c r="C926" i="6"/>
  <c r="C227" i="6"/>
  <c r="C676" i="6"/>
  <c r="C822" i="6"/>
  <c r="C932" i="6"/>
  <c r="C345" i="6"/>
  <c r="C641" i="6"/>
  <c r="C750" i="6"/>
  <c r="C859" i="6"/>
  <c r="C933" i="6"/>
  <c r="C35" i="6"/>
  <c r="C126" i="6"/>
  <c r="C229" i="6"/>
  <c r="C386" i="6"/>
  <c r="C605" i="6"/>
  <c r="C824" i="6"/>
  <c r="C36" i="6"/>
  <c r="C134" i="6"/>
  <c r="C347" i="6"/>
  <c r="C459" i="6"/>
  <c r="C569" i="6"/>
  <c r="C679" i="6"/>
  <c r="C825" i="6"/>
  <c r="C935" i="6"/>
  <c r="C90" i="6"/>
  <c r="C311" i="6"/>
  <c r="C499" i="6"/>
  <c r="C645" i="6"/>
  <c r="C901" i="6"/>
  <c r="C542" i="6"/>
  <c r="C474" i="6"/>
  <c r="C914" i="6"/>
  <c r="C366" i="6"/>
  <c r="C987" i="6"/>
  <c r="C20" i="6"/>
  <c r="C122" i="6"/>
  <c r="C168" i="6"/>
  <c r="C265" i="6"/>
  <c r="C306" i="6"/>
  <c r="C344" i="6"/>
  <c r="C383" i="6"/>
  <c r="C456" i="6"/>
  <c r="C493" i="6"/>
  <c r="C602" i="6"/>
  <c r="C786" i="6"/>
  <c r="C823" i="6"/>
  <c r="C1006" i="6"/>
  <c r="C82" i="6"/>
  <c r="C183" i="6"/>
  <c r="C267" i="6"/>
  <c r="C346" i="6"/>
  <c r="C422" i="6"/>
  <c r="C458" i="6"/>
  <c r="C495" i="6"/>
  <c r="C568" i="6"/>
  <c r="C642" i="6"/>
  <c r="C678" i="6"/>
  <c r="C714" i="6"/>
  <c r="C788" i="6"/>
  <c r="C861" i="6"/>
  <c r="C934" i="6"/>
  <c r="C1007" i="6"/>
  <c r="C184" i="6"/>
  <c r="C497" i="6"/>
  <c r="C753" i="6"/>
  <c r="C351" i="6"/>
  <c r="C791" i="6"/>
  <c r="C689" i="6"/>
  <c r="C981" i="6"/>
  <c r="C246" i="6"/>
  <c r="C877" i="6"/>
  <c r="C56" i="6"/>
  <c r="C622" i="6"/>
  <c r="C57" i="6"/>
  <c r="C26" i="6"/>
  <c r="C79" i="6"/>
  <c r="C123" i="6"/>
  <c r="C178" i="6"/>
  <c r="C228" i="6"/>
  <c r="C266" i="6"/>
  <c r="C307" i="6"/>
  <c r="C421" i="6"/>
  <c r="C457" i="6"/>
  <c r="C494" i="6"/>
  <c r="C531" i="6"/>
  <c r="C567" i="6"/>
  <c r="C677" i="6"/>
  <c r="C898" i="6"/>
  <c r="C270" i="6"/>
  <c r="C387" i="6"/>
  <c r="C533" i="6"/>
  <c r="C643" i="6"/>
  <c r="C715" i="6"/>
  <c r="C862" i="6"/>
  <c r="C1009" i="6"/>
  <c r="C936" i="6"/>
  <c r="C273" i="6"/>
  <c r="C425" i="6"/>
  <c r="C535" i="6"/>
  <c r="C609" i="6"/>
  <c r="C681" i="6"/>
  <c r="C827" i="6"/>
  <c r="C974" i="6"/>
  <c r="C651" i="6"/>
  <c r="C871" i="6"/>
  <c r="C147" i="6"/>
  <c r="C658" i="6"/>
  <c r="C247" i="6"/>
  <c r="C695" i="6"/>
  <c r="C186" i="6"/>
  <c r="C718" i="6"/>
  <c r="C1011" i="6"/>
  <c r="C615" i="6"/>
  <c r="C325" i="6"/>
  <c r="C986" i="6"/>
  <c r="C439" i="6"/>
  <c r="C805" i="6"/>
  <c r="C230" i="6"/>
  <c r="C899" i="6"/>
  <c r="C389" i="6"/>
  <c r="C937" i="6"/>
  <c r="C761" i="6"/>
  <c r="C907" i="6"/>
  <c r="C767" i="6"/>
  <c r="C148" i="6"/>
  <c r="C287" i="6"/>
  <c r="C475" i="6"/>
  <c r="C769" i="6"/>
  <c r="C915" i="6"/>
  <c r="C37" i="6"/>
  <c r="C84" i="6"/>
  <c r="C139" i="6"/>
  <c r="C185" i="6"/>
  <c r="C231" i="6"/>
  <c r="C271" i="6"/>
  <c r="C310" i="6"/>
  <c r="C350" i="6"/>
  <c r="C388" i="6"/>
  <c r="C424" i="6"/>
  <c r="C461" i="6"/>
  <c r="C498" i="6"/>
  <c r="C534" i="6"/>
  <c r="C570" i="6"/>
  <c r="C607" i="6"/>
  <c r="C644" i="6"/>
  <c r="C680" i="6"/>
  <c r="C717" i="6"/>
  <c r="C754" i="6"/>
  <c r="C790" i="6"/>
  <c r="C826" i="6"/>
  <c r="C863" i="6"/>
  <c r="C900" i="6"/>
  <c r="C973" i="6"/>
  <c r="C142" i="6"/>
  <c r="C755" i="6"/>
  <c r="C725" i="6"/>
  <c r="C945" i="6"/>
  <c r="C198" i="6"/>
  <c r="C694" i="6"/>
  <c r="C403" i="6"/>
  <c r="C841" i="6"/>
  <c r="C206" i="6"/>
  <c r="C38" i="6"/>
  <c r="C232" i="6"/>
  <c r="C571" i="6"/>
  <c r="C363" i="6"/>
  <c r="C730" i="6"/>
  <c r="C203" i="6"/>
  <c r="C585" i="6"/>
  <c r="C878" i="6"/>
  <c r="C39" i="6"/>
  <c r="C99" i="6"/>
  <c r="C143" i="6"/>
  <c r="C187" i="6"/>
  <c r="C233" i="6"/>
  <c r="C274" i="6"/>
  <c r="C312" i="6"/>
  <c r="C353" i="6"/>
  <c r="C390" i="6"/>
  <c r="C426" i="6"/>
  <c r="C463" i="6"/>
  <c r="C500" i="6"/>
  <c r="C536" i="6"/>
  <c r="C573" i="6"/>
  <c r="C610" i="6"/>
  <c r="C646" i="6"/>
  <c r="C682" i="6"/>
  <c r="C719" i="6"/>
  <c r="C756" i="6"/>
  <c r="C792" i="6"/>
  <c r="C829" i="6"/>
  <c r="C866" i="6"/>
  <c r="C902" i="6"/>
  <c r="C938" i="6"/>
  <c r="C975" i="6"/>
  <c r="C1012" i="6"/>
  <c r="C433" i="6"/>
  <c r="C511" i="6"/>
  <c r="C513" i="6"/>
  <c r="C40" i="6"/>
  <c r="C100" i="6"/>
  <c r="C146" i="6"/>
  <c r="C190" i="6"/>
  <c r="C241" i="6"/>
  <c r="C279" i="6"/>
  <c r="C319" i="6"/>
  <c r="C358" i="6"/>
  <c r="C395" i="6"/>
  <c r="C469" i="6"/>
  <c r="C505" i="6"/>
  <c r="C579" i="6"/>
  <c r="C835" i="6"/>
  <c r="C402" i="6"/>
  <c r="C804" i="6"/>
  <c r="C549" i="6"/>
  <c r="C55" i="6"/>
  <c r="C286" i="6"/>
  <c r="C438" i="6"/>
  <c r="C548" i="6"/>
  <c r="C584" i="6"/>
  <c r="C621" i="6"/>
  <c r="C840" i="6"/>
  <c r="C326" i="6"/>
  <c r="C731" i="6"/>
  <c r="C104" i="6"/>
  <c r="C291" i="6"/>
  <c r="C442" i="6"/>
  <c r="C589" i="6"/>
  <c r="C735" i="6"/>
  <c r="C882" i="6"/>
  <c r="C918" i="6"/>
  <c r="C164" i="6"/>
  <c r="C627" i="6"/>
  <c r="C660" i="6"/>
  <c r="C369" i="6"/>
  <c r="C661" i="6"/>
  <c r="C808" i="6"/>
  <c r="C211" i="6"/>
  <c r="C809" i="6"/>
  <c r="C248" i="6"/>
  <c r="C550" i="6"/>
  <c r="C989" i="6"/>
  <c r="C114" i="6"/>
  <c r="C292" i="6"/>
  <c r="C443" i="6"/>
  <c r="C590" i="6"/>
  <c r="C737" i="6"/>
  <c r="C883" i="6"/>
  <c r="C770" i="6"/>
  <c r="C154" i="6"/>
  <c r="C328" i="6"/>
  <c r="C478" i="6"/>
  <c r="C771" i="6"/>
  <c r="C917" i="6"/>
  <c r="C163" i="6"/>
  <c r="C626" i="6"/>
  <c r="C919" i="6"/>
  <c r="C165" i="6"/>
  <c r="C806" i="6"/>
  <c r="C207" i="6"/>
  <c r="C953" i="6"/>
  <c r="C210" i="6"/>
  <c r="C517" i="6"/>
  <c r="C697" i="6"/>
  <c r="C406" i="6"/>
  <c r="C845" i="6"/>
  <c r="C407" i="6"/>
  <c r="C846" i="6"/>
  <c r="C62" i="6"/>
  <c r="C290" i="6"/>
  <c r="C119" i="6"/>
  <c r="C327" i="6"/>
  <c r="C477" i="6"/>
  <c r="C623" i="6"/>
  <c r="C916" i="6"/>
  <c r="C625" i="6"/>
  <c r="C329" i="6"/>
  <c r="C479" i="6"/>
  <c r="C772" i="6"/>
  <c r="C330" i="6"/>
  <c r="C481" i="6"/>
  <c r="C773" i="6"/>
  <c r="C367" i="6"/>
  <c r="C514" i="6"/>
  <c r="C952" i="6"/>
  <c r="C515" i="6"/>
  <c r="C807" i="6"/>
  <c r="C516" i="6"/>
  <c r="C662" i="6"/>
  <c r="C954" i="6"/>
  <c r="C663" i="6"/>
  <c r="C404" i="6"/>
  <c r="C696" i="6"/>
  <c r="C551" i="6"/>
  <c r="C990" i="6"/>
  <c r="C58" i="6"/>
  <c r="C552" i="6"/>
  <c r="C991" i="6"/>
  <c r="C289" i="6"/>
  <c r="C586" i="6"/>
  <c r="C103" i="6"/>
  <c r="C734" i="6"/>
  <c r="C249" i="6"/>
  <c r="C405" i="6"/>
  <c r="C843" i="6"/>
  <c r="C698" i="6"/>
  <c r="C251" i="6"/>
  <c r="C699" i="6"/>
  <c r="C440" i="6"/>
  <c r="C879" i="6"/>
  <c r="C881" i="6"/>
  <c r="C370" i="6"/>
  <c r="C371" i="6"/>
  <c r="C955" i="6"/>
  <c r="C842" i="6"/>
  <c r="C250" i="6"/>
  <c r="C553" i="6"/>
  <c r="C993" i="6"/>
  <c r="C587" i="6"/>
  <c r="C59" i="6"/>
  <c r="C733" i="6"/>
  <c r="C441" i="6"/>
  <c r="C145" i="6"/>
  <c r="C896" i="6"/>
  <c r="C640" i="6"/>
  <c r="C384" i="6"/>
  <c r="C128" i="6"/>
  <c r="C269" i="6"/>
  <c r="C1004" i="6"/>
  <c r="C748" i="6"/>
  <c r="C492" i="6"/>
  <c r="C236" i="6"/>
  <c r="C129" i="6"/>
  <c r="C880" i="6"/>
  <c r="C624" i="6"/>
  <c r="C368" i="6"/>
  <c r="C112" i="6"/>
  <c r="C253" i="6"/>
  <c r="C988" i="6"/>
  <c r="C732" i="6"/>
  <c r="C476" i="6"/>
  <c r="C220" i="6"/>
  <c r="C113" i="6"/>
  <c r="C864" i="6"/>
  <c r="C608" i="6"/>
  <c r="C352" i="6"/>
  <c r="C96" i="6"/>
  <c r="C237" i="6"/>
  <c r="C972" i="6"/>
  <c r="C716" i="6"/>
  <c r="C460" i="6"/>
  <c r="C204" i="6"/>
  <c r="C528" i="6"/>
  <c r="C892" i="6"/>
  <c r="C97" i="6"/>
  <c r="C848" i="6"/>
  <c r="C592" i="6"/>
  <c r="C336" i="6"/>
  <c r="C80" i="6"/>
  <c r="C221" i="6"/>
  <c r="C956" i="6"/>
  <c r="C700" i="6"/>
  <c r="C444" i="6"/>
  <c r="C188" i="6"/>
  <c r="C272" i="6"/>
  <c r="C81" i="6"/>
  <c r="C832" i="6"/>
  <c r="C576" i="6"/>
  <c r="C320" i="6"/>
  <c r="C64" i="6"/>
  <c r="C205" i="6"/>
  <c r="C940" i="6"/>
  <c r="C684" i="6"/>
  <c r="C428" i="6"/>
  <c r="C172" i="6"/>
  <c r="C16" i="6"/>
  <c r="C124" i="6"/>
  <c r="C65" i="6"/>
  <c r="C816" i="6"/>
  <c r="C560" i="6"/>
  <c r="C304" i="6"/>
  <c r="C48" i="6"/>
  <c r="C189" i="6"/>
  <c r="C924" i="6"/>
  <c r="C668" i="6"/>
  <c r="C412" i="6"/>
  <c r="C156" i="6"/>
  <c r="C784" i="6"/>
  <c r="C636" i="6"/>
  <c r="C49" i="6"/>
  <c r="C800" i="6"/>
  <c r="C544" i="6"/>
  <c r="C288" i="6"/>
  <c r="C32" i="6"/>
  <c r="C173" i="6"/>
  <c r="C908" i="6"/>
  <c r="C652" i="6"/>
  <c r="C396" i="6"/>
  <c r="C140" i="6"/>
  <c r="C33" i="6"/>
  <c r="C380" i="6"/>
  <c r="C157" i="6"/>
  <c r="C1008" i="6"/>
  <c r="C752" i="6"/>
  <c r="C496" i="6"/>
  <c r="C240" i="6"/>
  <c r="C29" i="6"/>
  <c r="C125" i="6"/>
  <c r="C860" i="6"/>
  <c r="C604" i="6"/>
  <c r="C348" i="6"/>
  <c r="C92" i="6"/>
  <c r="C161" i="6"/>
  <c r="C480" i="6"/>
  <c r="C333" i="6"/>
  <c r="C780" i="6"/>
  <c r="C108" i="6"/>
  <c r="C317" i="6"/>
  <c r="C76" i="6"/>
  <c r="C992" i="6"/>
  <c r="C448" i="6"/>
  <c r="C620" i="6"/>
  <c r="C976" i="6"/>
  <c r="C285" i="6"/>
  <c r="C44" i="6"/>
  <c r="C960" i="6"/>
  <c r="C141" i="6"/>
  <c r="C28" i="6"/>
  <c r="C109" i="6"/>
  <c r="C268" i="6"/>
  <c r="C349" i="6"/>
  <c r="C17" i="6"/>
  <c r="C464" i="6"/>
  <c r="C764" i="6"/>
  <c r="C301" i="6"/>
  <c r="C60" i="6"/>
  <c r="C432" i="6"/>
  <c r="C588" i="6"/>
  <c r="C416" i="6"/>
  <c r="C572" i="6"/>
  <c r="C540" i="6"/>
  <c r="C252" i="6"/>
  <c r="C400" i="6"/>
  <c r="C93" i="6"/>
  <c r="C508" i="6"/>
  <c r="C209" i="6"/>
  <c r="C556" i="6"/>
  <c r="C256" i="6"/>
  <c r="C61" i="6"/>
  <c r="C160" i="6"/>
  <c r="C656" i="6"/>
  <c r="C768" i="6"/>
  <c r="C720" i="6"/>
  <c r="C876" i="6"/>
  <c r="C672" i="6"/>
  <c r="C796" i="6"/>
  <c r="C944" i="6"/>
  <c r="C704" i="6"/>
  <c r="C828" i="6"/>
  <c r="C928" i="6"/>
  <c r="C332" i="6"/>
  <c r="C912" i="6"/>
  <c r="C224" i="6"/>
  <c r="C77" i="6"/>
  <c r="C524" i="6"/>
  <c r="C208" i="6"/>
  <c r="C13" i="6"/>
  <c r="C177" i="6"/>
  <c r="C14" i="6"/>
  <c r="C736" i="6"/>
  <c r="C192" i="6"/>
  <c r="C45" i="6"/>
  <c r="C364" i="6"/>
  <c r="C176" i="6"/>
  <c r="C18" i="6"/>
  <c r="C316" i="6"/>
  <c r="C365" i="6"/>
  <c r="C284" i="6"/>
  <c r="C193" i="6"/>
  <c r="C225" i="6"/>
  <c r="C688" i="6"/>
  <c r="C144" i="6"/>
  <c r="C844" i="6"/>
  <c r="C300" i="6"/>
  <c r="C812" i="6"/>
  <c r="C512" i="6"/>
  <c r="C31" i="4"/>
  <c r="C62" i="4"/>
  <c r="C50" i="4"/>
  <c r="C26" i="4"/>
  <c r="C40" i="4"/>
  <c r="C66" i="4"/>
  <c r="C44" i="4"/>
  <c r="C34" i="4"/>
  <c r="C43" i="4"/>
  <c r="C35" i="4"/>
  <c r="C55" i="4"/>
  <c r="C33" i="4"/>
  <c r="C28" i="4"/>
  <c r="C59" i="4"/>
  <c r="C61" i="4"/>
  <c r="C39" i="4"/>
  <c r="C29" i="4"/>
  <c r="C56" i="4"/>
  <c r="C60" i="4"/>
  <c r="C65" i="4"/>
  <c r="C42" i="4"/>
  <c r="E16" i="4"/>
  <c r="E3" i="6"/>
  <c r="E20" i="4"/>
  <c r="E7" i="6"/>
  <c r="K302" i="3"/>
  <c r="D19" i="4"/>
  <c r="D6" i="6"/>
  <c r="K300" i="3"/>
  <c r="D4" i="6"/>
  <c r="D17" i="4"/>
  <c r="E2" i="6"/>
  <c r="E15" i="4"/>
  <c r="D16" i="4"/>
  <c r="D3" i="6"/>
  <c r="K304" i="3"/>
  <c r="D8" i="6"/>
  <c r="D21" i="4"/>
  <c r="C22" i="4"/>
  <c r="D26" i="4" s="1" a="1"/>
  <c r="C9" i="6"/>
  <c r="J305" i="3"/>
  <c r="K305" i="3" s="1"/>
  <c r="D311" i="3" a="1"/>
  <c r="D18" i="4"/>
  <c r="D5" i="6"/>
  <c r="K301" i="3"/>
  <c r="D15" i="4"/>
  <c r="D2" i="6"/>
  <c r="I173" i="6" l="1"/>
  <c r="J172" i="6"/>
  <c r="C45" i="4"/>
  <c r="C32" i="4"/>
  <c r="C46" i="4"/>
  <c r="C30" i="4"/>
  <c r="C58" i="4"/>
  <c r="C37" i="4"/>
  <c r="C36" i="4"/>
  <c r="C27" i="4"/>
  <c r="C41" i="4"/>
  <c r="C49" i="4"/>
  <c r="C38" i="4"/>
  <c r="C53" i="4"/>
  <c r="C48" i="4"/>
  <c r="C52" i="4"/>
  <c r="C63" i="4"/>
  <c r="C54" i="4"/>
  <c r="C57" i="4"/>
  <c r="C64" i="4"/>
  <c r="C51" i="4"/>
  <c r="E311" i="3" a="1"/>
  <c r="E350" i="3" s="1"/>
  <c r="E12" i="6" a="1"/>
  <c r="D1012" i="6"/>
  <c r="D1000" i="6"/>
  <c r="D936" i="6"/>
  <c r="D872" i="6"/>
  <c r="D809" i="6"/>
  <c r="D758" i="6"/>
  <c r="D696" i="6"/>
  <c r="D646" i="6"/>
  <c r="D597" i="6"/>
  <c r="D543" i="6"/>
  <c r="D502" i="6"/>
  <c r="D456" i="6"/>
  <c r="D415" i="6"/>
  <c r="D374" i="6"/>
  <c r="D328" i="6"/>
  <c r="D287" i="6"/>
  <c r="D246" i="6"/>
  <c r="D207" i="6"/>
  <c r="D168" i="6"/>
  <c r="D134" i="6"/>
  <c r="D96" i="6"/>
  <c r="D57" i="6"/>
  <c r="D23" i="6"/>
  <c r="D582" i="6"/>
  <c r="D999" i="6"/>
  <c r="D935" i="6"/>
  <c r="D871" i="6"/>
  <c r="D808" i="6"/>
  <c r="D757" i="6"/>
  <c r="D695" i="6"/>
  <c r="D645" i="6"/>
  <c r="D591" i="6"/>
  <c r="D537" i="6"/>
  <c r="D501" i="6"/>
  <c r="D455" i="6"/>
  <c r="D409" i="6"/>
  <c r="D373" i="6"/>
  <c r="D327" i="6"/>
  <c r="D281" i="6"/>
  <c r="D245" i="6"/>
  <c r="D201" i="6"/>
  <c r="D167" i="6"/>
  <c r="D133" i="6"/>
  <c r="D95" i="6"/>
  <c r="D56" i="6"/>
  <c r="D22" i="6"/>
  <c r="D984" i="6"/>
  <c r="D856" i="6"/>
  <c r="D805" i="6"/>
  <c r="D680" i="6"/>
  <c r="D998" i="6"/>
  <c r="D934" i="6"/>
  <c r="D870" i="6"/>
  <c r="D807" i="6"/>
  <c r="D745" i="6"/>
  <c r="D694" i="6"/>
  <c r="D639" i="6"/>
  <c r="D584" i="6"/>
  <c r="D536" i="6"/>
  <c r="D495" i="6"/>
  <c r="D454" i="6"/>
  <c r="D408" i="6"/>
  <c r="D367" i="6"/>
  <c r="D326" i="6"/>
  <c r="D280" i="6"/>
  <c r="D239" i="6"/>
  <c r="D200" i="6"/>
  <c r="D166" i="6"/>
  <c r="D128" i="6"/>
  <c r="D89" i="6"/>
  <c r="D55" i="6"/>
  <c r="D21" i="6"/>
  <c r="D920" i="6"/>
  <c r="D743" i="6"/>
  <c r="D534" i="6"/>
  <c r="D488" i="6"/>
  <c r="D447" i="6"/>
  <c r="D997" i="6"/>
  <c r="D933" i="6"/>
  <c r="D869" i="6"/>
  <c r="D806" i="6"/>
  <c r="D744" i="6"/>
  <c r="D693" i="6"/>
  <c r="D632" i="6"/>
  <c r="D583" i="6"/>
  <c r="D535" i="6"/>
  <c r="D489" i="6"/>
  <c r="D453" i="6"/>
  <c r="D407" i="6"/>
  <c r="D361" i="6"/>
  <c r="D325" i="6"/>
  <c r="D279" i="6"/>
  <c r="D233" i="6"/>
  <c r="D199" i="6"/>
  <c r="D165" i="6"/>
  <c r="D127" i="6"/>
  <c r="D88" i="6"/>
  <c r="D54" i="6"/>
  <c r="D16" i="6"/>
  <c r="D631" i="6"/>
  <c r="D966" i="6"/>
  <c r="D902" i="6"/>
  <c r="D838" i="6"/>
  <c r="D776" i="6"/>
  <c r="D726" i="6"/>
  <c r="D663" i="6"/>
  <c r="D614" i="6"/>
  <c r="D565" i="6"/>
  <c r="D518" i="6"/>
  <c r="D472" i="6"/>
  <c r="D431" i="6"/>
  <c r="D390" i="6"/>
  <c r="D344" i="6"/>
  <c r="D303" i="6"/>
  <c r="D262" i="6"/>
  <c r="D217" i="6"/>
  <c r="D183" i="6"/>
  <c r="D149" i="6"/>
  <c r="D111" i="6"/>
  <c r="D72" i="6"/>
  <c r="D38" i="6"/>
  <c r="D965" i="6"/>
  <c r="D901" i="6"/>
  <c r="D837" i="6"/>
  <c r="D775" i="6"/>
  <c r="D725" i="6"/>
  <c r="D662" i="6"/>
  <c r="D613" i="6"/>
  <c r="D559" i="6"/>
  <c r="D517" i="6"/>
  <c r="D471" i="6"/>
  <c r="D425" i="6"/>
  <c r="D389" i="6"/>
  <c r="D343" i="6"/>
  <c r="D297" i="6"/>
  <c r="D261" i="6"/>
  <c r="D216" i="6"/>
  <c r="D182" i="6"/>
  <c r="D144" i="6"/>
  <c r="D105" i="6"/>
  <c r="D71" i="6"/>
  <c r="D37" i="6"/>
  <c r="D952" i="6"/>
  <c r="D888" i="6"/>
  <c r="D824" i="6"/>
  <c r="D774" i="6"/>
  <c r="D712" i="6"/>
  <c r="D661" i="6"/>
  <c r="D607" i="6"/>
  <c r="D552" i="6"/>
  <c r="D511" i="6"/>
  <c r="D470" i="6"/>
  <c r="D424" i="6"/>
  <c r="D383" i="6"/>
  <c r="D342" i="6"/>
  <c r="D296" i="6"/>
  <c r="D255" i="6"/>
  <c r="D215" i="6"/>
  <c r="D181" i="6"/>
  <c r="D143" i="6"/>
  <c r="D104" i="6"/>
  <c r="D70" i="6"/>
  <c r="D32" i="6"/>
  <c r="D885" i="6"/>
  <c r="D759" i="6"/>
  <c r="D647" i="6"/>
  <c r="D503" i="6"/>
  <c r="D293" i="6"/>
  <c r="D135" i="6"/>
  <c r="D63" i="6"/>
  <c r="D951" i="6"/>
  <c r="D887" i="6"/>
  <c r="D823" i="6"/>
  <c r="D773" i="6"/>
  <c r="D711" i="6"/>
  <c r="D655" i="6"/>
  <c r="D600" i="6"/>
  <c r="D551" i="6"/>
  <c r="D505" i="6"/>
  <c r="D469" i="6"/>
  <c r="D423" i="6"/>
  <c r="D377" i="6"/>
  <c r="D341" i="6"/>
  <c r="D295" i="6"/>
  <c r="D249" i="6"/>
  <c r="D214" i="6"/>
  <c r="D176" i="6"/>
  <c r="D137" i="6"/>
  <c r="D103" i="6"/>
  <c r="D69" i="6"/>
  <c r="D31" i="6"/>
  <c r="D949" i="6"/>
  <c r="D549" i="6"/>
  <c r="D375" i="6"/>
  <c r="D208" i="6"/>
  <c r="D101" i="6"/>
  <c r="D24" i="6"/>
  <c r="D950" i="6"/>
  <c r="D886" i="6"/>
  <c r="D822" i="6"/>
  <c r="D760" i="6"/>
  <c r="D710" i="6"/>
  <c r="D648" i="6"/>
  <c r="D599" i="6"/>
  <c r="D550" i="6"/>
  <c r="D504" i="6"/>
  <c r="D463" i="6"/>
  <c r="D422" i="6"/>
  <c r="D376" i="6"/>
  <c r="D335" i="6"/>
  <c r="D294" i="6"/>
  <c r="D248" i="6"/>
  <c r="D213" i="6"/>
  <c r="D175" i="6"/>
  <c r="D136" i="6"/>
  <c r="D102" i="6"/>
  <c r="D64" i="6"/>
  <c r="D25" i="6"/>
  <c r="D821" i="6"/>
  <c r="D709" i="6"/>
  <c r="D598" i="6"/>
  <c r="D457" i="6"/>
  <c r="D421" i="6"/>
  <c r="D329" i="6"/>
  <c r="D247" i="6"/>
  <c r="D917" i="6"/>
  <c r="D728" i="6"/>
  <c r="D566" i="6"/>
  <c r="D406" i="6"/>
  <c r="D310" i="6"/>
  <c r="D192" i="6"/>
  <c r="D112" i="6"/>
  <c r="D677" i="6"/>
  <c r="D671" i="6"/>
  <c r="D79" i="6"/>
  <c r="D153" i="6"/>
  <c r="D904" i="6"/>
  <c r="D727" i="6"/>
  <c r="D533" i="6"/>
  <c r="D405" i="6"/>
  <c r="D309" i="6"/>
  <c r="D191" i="6"/>
  <c r="D87" i="6"/>
  <c r="D271" i="6"/>
  <c r="D519" i="6"/>
  <c r="D981" i="6"/>
  <c r="D903" i="6"/>
  <c r="D679" i="6"/>
  <c r="D527" i="6"/>
  <c r="D399" i="6"/>
  <c r="D278" i="6"/>
  <c r="D185" i="6"/>
  <c r="D86" i="6"/>
  <c r="D392" i="6"/>
  <c r="D169" i="6"/>
  <c r="D80" i="6"/>
  <c r="D263" i="6"/>
  <c r="D855" i="6"/>
  <c r="D678" i="6"/>
  <c r="D521" i="6"/>
  <c r="D393" i="6"/>
  <c r="D277" i="6"/>
  <c r="D184" i="6"/>
  <c r="D85" i="6"/>
  <c r="D520" i="6"/>
  <c r="D265" i="6"/>
  <c r="D53" i="6"/>
  <c r="D790" i="6"/>
  <c r="D440" i="6"/>
  <c r="D854" i="6"/>
  <c r="D121" i="6"/>
  <c r="D581" i="6"/>
  <c r="D853" i="6"/>
  <c r="D391" i="6"/>
  <c r="D160" i="6"/>
  <c r="D41" i="6"/>
  <c r="D40" i="6"/>
  <c r="D968" i="6"/>
  <c r="D840" i="6"/>
  <c r="D664" i="6"/>
  <c r="D487" i="6"/>
  <c r="D360" i="6"/>
  <c r="D264" i="6"/>
  <c r="D159" i="6"/>
  <c r="D73" i="6"/>
  <c r="D441" i="6"/>
  <c r="D120" i="6"/>
  <c r="D839" i="6"/>
  <c r="D630" i="6"/>
  <c r="D486" i="6"/>
  <c r="D359" i="6"/>
  <c r="D789" i="6"/>
  <c r="D793" i="6"/>
  <c r="D629" i="6"/>
  <c r="D485" i="6"/>
  <c r="D358" i="6"/>
  <c r="D232" i="6"/>
  <c r="D152" i="6"/>
  <c r="D48" i="6"/>
  <c r="D615" i="6"/>
  <c r="D983" i="6"/>
  <c r="D792" i="6"/>
  <c r="D623" i="6"/>
  <c r="D479" i="6"/>
  <c r="D357" i="6"/>
  <c r="D231" i="6"/>
  <c r="D151" i="6"/>
  <c r="D47" i="6"/>
  <c r="D345" i="6"/>
  <c r="D39" i="6"/>
  <c r="D982" i="6"/>
  <c r="D791" i="6"/>
  <c r="D616" i="6"/>
  <c r="D473" i="6"/>
  <c r="D351" i="6"/>
  <c r="D230" i="6"/>
  <c r="D150" i="6"/>
  <c r="D229" i="6"/>
  <c r="D319" i="6"/>
  <c r="D312" i="6"/>
  <c r="D919" i="6"/>
  <c r="D119" i="6"/>
  <c r="D729" i="6"/>
  <c r="D311" i="6"/>
  <c r="D967" i="6"/>
  <c r="D223" i="6"/>
  <c r="D197" i="6"/>
  <c r="D568" i="6"/>
  <c r="D224" i="6"/>
  <c r="D198" i="6"/>
  <c r="D918" i="6"/>
  <c r="D742" i="6"/>
  <c r="D118" i="6"/>
  <c r="D117" i="6"/>
  <c r="D575" i="6"/>
  <c r="D567" i="6"/>
  <c r="D438" i="6"/>
  <c r="D15" i="6"/>
  <c r="D439" i="6"/>
  <c r="D313" i="6"/>
  <c r="D741" i="6"/>
  <c r="D437" i="6"/>
  <c r="D697" i="6"/>
  <c r="D26" i="6"/>
  <c r="D282" i="6"/>
  <c r="D538" i="6"/>
  <c r="D794" i="6"/>
  <c r="D59" i="6"/>
  <c r="D315" i="6"/>
  <c r="D571" i="6"/>
  <c r="D827" i="6"/>
  <c r="D316" i="6"/>
  <c r="D668" i="6"/>
  <c r="D924" i="6"/>
  <c r="D220" i="6"/>
  <c r="D109" i="6"/>
  <c r="D365" i="6"/>
  <c r="D621" i="6"/>
  <c r="D877" i="6"/>
  <c r="D110" i="6"/>
  <c r="D366" i="6"/>
  <c r="D622" i="6"/>
  <c r="D878" i="6"/>
  <c r="D799" i="6"/>
  <c r="D272" i="6"/>
  <c r="D576" i="6"/>
  <c r="D832" i="6"/>
  <c r="D577" i="6"/>
  <c r="D913" i="6"/>
  <c r="D114" i="6"/>
  <c r="D402" i="6"/>
  <c r="D658" i="6"/>
  <c r="D914" i="6"/>
  <c r="D321" i="6"/>
  <c r="D67" i="6"/>
  <c r="D323" i="6"/>
  <c r="D579" i="6"/>
  <c r="D835" i="6"/>
  <c r="D145" i="6"/>
  <c r="D84" i="6"/>
  <c r="D340" i="6"/>
  <c r="D596" i="6"/>
  <c r="D852" i="6"/>
  <c r="D990" i="6"/>
  <c r="D452" i="6"/>
  <c r="D713" i="6"/>
  <c r="D42" i="6"/>
  <c r="D298" i="6"/>
  <c r="D554" i="6"/>
  <c r="D810" i="6"/>
  <c r="D75" i="6"/>
  <c r="D331" i="6"/>
  <c r="D587" i="6"/>
  <c r="D843" i="6"/>
  <c r="D348" i="6"/>
  <c r="D684" i="6"/>
  <c r="D940" i="6"/>
  <c r="D252" i="6"/>
  <c r="D125" i="6"/>
  <c r="D381" i="6"/>
  <c r="D637" i="6"/>
  <c r="D893" i="6"/>
  <c r="D126" i="6"/>
  <c r="D382" i="6"/>
  <c r="D638" i="6"/>
  <c r="D894" i="6"/>
  <c r="D815" i="6"/>
  <c r="D288" i="6"/>
  <c r="D592" i="6"/>
  <c r="D848" i="6"/>
  <c r="D609" i="6"/>
  <c r="D929" i="6"/>
  <c r="D130" i="6"/>
  <c r="D418" i="6"/>
  <c r="D674" i="6"/>
  <c r="D930" i="6"/>
  <c r="D369" i="6"/>
  <c r="D83" i="6"/>
  <c r="D339" i="6"/>
  <c r="D595" i="6"/>
  <c r="D851" i="6"/>
  <c r="D193" i="6"/>
  <c r="D100" i="6"/>
  <c r="D356" i="6"/>
  <c r="D612" i="6"/>
  <c r="D868" i="6"/>
  <c r="D734" i="6"/>
  <c r="D196" i="6"/>
  <c r="D761" i="6"/>
  <c r="D58" i="6"/>
  <c r="D314" i="6"/>
  <c r="D570" i="6"/>
  <c r="D826" i="6"/>
  <c r="D91" i="6"/>
  <c r="D347" i="6"/>
  <c r="D603" i="6"/>
  <c r="D859" i="6"/>
  <c r="D380" i="6"/>
  <c r="D700" i="6"/>
  <c r="D956" i="6"/>
  <c r="D284" i="6"/>
  <c r="D141" i="6"/>
  <c r="D397" i="6"/>
  <c r="D653" i="6"/>
  <c r="D909" i="6"/>
  <c r="D142" i="6"/>
  <c r="D398" i="6"/>
  <c r="D654" i="6"/>
  <c r="D910" i="6"/>
  <c r="D831" i="6"/>
  <c r="D304" i="6"/>
  <c r="D608" i="6"/>
  <c r="D864" i="6"/>
  <c r="D657" i="6"/>
  <c r="D945" i="6"/>
  <c r="D146" i="6"/>
  <c r="D434" i="6"/>
  <c r="D690" i="6"/>
  <c r="D946" i="6"/>
  <c r="D401" i="6"/>
  <c r="D99" i="6"/>
  <c r="D355" i="6"/>
  <c r="D611" i="6"/>
  <c r="D867" i="6"/>
  <c r="D241" i="6"/>
  <c r="D116" i="6"/>
  <c r="D372" i="6"/>
  <c r="D628" i="6"/>
  <c r="D884" i="6"/>
  <c r="D911" i="6"/>
  <c r="D400" i="6"/>
  <c r="D691" i="6"/>
  <c r="D708" i="6"/>
  <c r="D60" i="6"/>
  <c r="D777" i="6"/>
  <c r="D74" i="6"/>
  <c r="D330" i="6"/>
  <c r="D586" i="6"/>
  <c r="D842" i="6"/>
  <c r="D107" i="6"/>
  <c r="D363" i="6"/>
  <c r="D619" i="6"/>
  <c r="D875" i="6"/>
  <c r="D412" i="6"/>
  <c r="D716" i="6"/>
  <c r="D972" i="6"/>
  <c r="D300" i="6"/>
  <c r="D157" i="6"/>
  <c r="D413" i="6"/>
  <c r="D669" i="6"/>
  <c r="D925" i="6"/>
  <c r="D158" i="6"/>
  <c r="D414" i="6"/>
  <c r="D670" i="6"/>
  <c r="D926" i="6"/>
  <c r="D847" i="6"/>
  <c r="D320" i="6"/>
  <c r="D624" i="6"/>
  <c r="D880" i="6"/>
  <c r="D689" i="6"/>
  <c r="D1009" i="6"/>
  <c r="D162" i="6"/>
  <c r="D450" i="6"/>
  <c r="D706" i="6"/>
  <c r="D962" i="6"/>
  <c r="D449" i="6"/>
  <c r="D115" i="6"/>
  <c r="D371" i="6"/>
  <c r="D627" i="6"/>
  <c r="D883" i="6"/>
  <c r="D289" i="6"/>
  <c r="D132" i="6"/>
  <c r="D388" i="6"/>
  <c r="D644" i="6"/>
  <c r="D900" i="6"/>
  <c r="D432" i="6"/>
  <c r="D947" i="6"/>
  <c r="D493" i="6"/>
  <c r="D825" i="6"/>
  <c r="D90" i="6"/>
  <c r="D346" i="6"/>
  <c r="D602" i="6"/>
  <c r="D858" i="6"/>
  <c r="D123" i="6"/>
  <c r="D379" i="6"/>
  <c r="D635" i="6"/>
  <c r="D891" i="6"/>
  <c r="D428" i="6"/>
  <c r="D732" i="6"/>
  <c r="D1004" i="6"/>
  <c r="D332" i="6"/>
  <c r="D173" i="6"/>
  <c r="D429" i="6"/>
  <c r="D685" i="6"/>
  <c r="D941" i="6"/>
  <c r="D174" i="6"/>
  <c r="D430" i="6"/>
  <c r="D686" i="6"/>
  <c r="D942" i="6"/>
  <c r="D863" i="6"/>
  <c r="D336" i="6"/>
  <c r="D640" i="6"/>
  <c r="D896" i="6"/>
  <c r="D705" i="6"/>
  <c r="D352" i="6"/>
  <c r="D210" i="6"/>
  <c r="D466" i="6"/>
  <c r="D722" i="6"/>
  <c r="D978" i="6"/>
  <c r="D497" i="6"/>
  <c r="D131" i="6"/>
  <c r="D387" i="6"/>
  <c r="D643" i="6"/>
  <c r="D899" i="6"/>
  <c r="D337" i="6"/>
  <c r="D148" i="6"/>
  <c r="D404" i="6"/>
  <c r="D660" i="6"/>
  <c r="D916" i="6"/>
  <c r="D944" i="6"/>
  <c r="D435" i="6"/>
  <c r="D964" i="6"/>
  <c r="D237" i="6"/>
  <c r="D841" i="6"/>
  <c r="D106" i="6"/>
  <c r="D362" i="6"/>
  <c r="D618" i="6"/>
  <c r="D874" i="6"/>
  <c r="D139" i="6"/>
  <c r="D395" i="6"/>
  <c r="D651" i="6"/>
  <c r="D907" i="6"/>
  <c r="D460" i="6"/>
  <c r="D748" i="6"/>
  <c r="D12" i="6"/>
  <c r="D364" i="6"/>
  <c r="D189" i="6"/>
  <c r="D445" i="6"/>
  <c r="D701" i="6"/>
  <c r="D957" i="6"/>
  <c r="D190" i="6"/>
  <c r="D446" i="6"/>
  <c r="D702" i="6"/>
  <c r="D958" i="6"/>
  <c r="D879" i="6"/>
  <c r="D384" i="6"/>
  <c r="D656" i="6"/>
  <c r="D912" i="6"/>
  <c r="D721" i="6"/>
  <c r="D33" i="6"/>
  <c r="D226" i="6"/>
  <c r="D482" i="6"/>
  <c r="D738" i="6"/>
  <c r="D994" i="6"/>
  <c r="D545" i="6"/>
  <c r="D147" i="6"/>
  <c r="D403" i="6"/>
  <c r="D659" i="6"/>
  <c r="D915" i="6"/>
  <c r="D385" i="6"/>
  <c r="D164" i="6"/>
  <c r="D420" i="6"/>
  <c r="D676" i="6"/>
  <c r="D932" i="6"/>
  <c r="D514" i="6"/>
  <c r="D796" i="6"/>
  <c r="D857" i="6"/>
  <c r="D122" i="6"/>
  <c r="D378" i="6"/>
  <c r="D634" i="6"/>
  <c r="D890" i="6"/>
  <c r="D155" i="6"/>
  <c r="D411" i="6"/>
  <c r="D667" i="6"/>
  <c r="D923" i="6"/>
  <c r="D492" i="6"/>
  <c r="D764" i="6"/>
  <c r="D28" i="6"/>
  <c r="D396" i="6"/>
  <c r="D205" i="6"/>
  <c r="D461" i="6"/>
  <c r="D717" i="6"/>
  <c r="D973" i="6"/>
  <c r="D206" i="6"/>
  <c r="D462" i="6"/>
  <c r="D718" i="6"/>
  <c r="D974" i="6"/>
  <c r="D895" i="6"/>
  <c r="D416" i="6"/>
  <c r="D672" i="6"/>
  <c r="D928" i="6"/>
  <c r="D753" i="6"/>
  <c r="D161" i="6"/>
  <c r="D242" i="6"/>
  <c r="D498" i="6"/>
  <c r="D754" i="6"/>
  <c r="D1010" i="6"/>
  <c r="D561" i="6"/>
  <c r="D163" i="6"/>
  <c r="D419" i="6"/>
  <c r="D675" i="6"/>
  <c r="D931" i="6"/>
  <c r="D417" i="6"/>
  <c r="D180" i="6"/>
  <c r="D436" i="6"/>
  <c r="D692" i="6"/>
  <c r="D948" i="6"/>
  <c r="D478" i="6"/>
  <c r="D593" i="6"/>
  <c r="D749" i="6"/>
  <c r="D553" i="6"/>
  <c r="D873" i="6"/>
  <c r="D138" i="6"/>
  <c r="D394" i="6"/>
  <c r="D650" i="6"/>
  <c r="D906" i="6"/>
  <c r="D171" i="6"/>
  <c r="D427" i="6"/>
  <c r="D683" i="6"/>
  <c r="D939" i="6"/>
  <c r="D508" i="6"/>
  <c r="D780" i="6"/>
  <c r="D44" i="6"/>
  <c r="D444" i="6"/>
  <c r="D221" i="6"/>
  <c r="D477" i="6"/>
  <c r="D733" i="6"/>
  <c r="D989" i="6"/>
  <c r="D222" i="6"/>
  <c r="D688" i="6"/>
  <c r="D769" i="6"/>
  <c r="D305" i="6"/>
  <c r="D258" i="6"/>
  <c r="D770" i="6"/>
  <c r="D179" i="6"/>
  <c r="D465" i="6"/>
  <c r="D569" i="6"/>
  <c r="D889" i="6"/>
  <c r="D154" i="6"/>
  <c r="D410" i="6"/>
  <c r="D666" i="6"/>
  <c r="D922" i="6"/>
  <c r="D187" i="6"/>
  <c r="D443" i="6"/>
  <c r="D699" i="6"/>
  <c r="D955" i="6"/>
  <c r="D524" i="6"/>
  <c r="D572" i="6"/>
  <c r="D1005" i="6"/>
  <c r="D750" i="6"/>
  <c r="D1006" i="6"/>
  <c r="D927" i="6"/>
  <c r="D448" i="6"/>
  <c r="D585" i="6"/>
  <c r="D905" i="6"/>
  <c r="D170" i="6"/>
  <c r="D426" i="6"/>
  <c r="D682" i="6"/>
  <c r="D938" i="6"/>
  <c r="D203" i="6"/>
  <c r="D459" i="6"/>
  <c r="D715" i="6"/>
  <c r="D971" i="6"/>
  <c r="D540" i="6"/>
  <c r="D812" i="6"/>
  <c r="D76" i="6"/>
  <c r="D988" i="6"/>
  <c r="D253" i="6"/>
  <c r="D509" i="6"/>
  <c r="D765" i="6"/>
  <c r="D476" i="6"/>
  <c r="D254" i="6"/>
  <c r="D510" i="6"/>
  <c r="D766" i="6"/>
  <c r="D687" i="6"/>
  <c r="D943" i="6"/>
  <c r="D464" i="6"/>
  <c r="D720" i="6"/>
  <c r="D976" i="6"/>
  <c r="D801" i="6"/>
  <c r="D961" i="6"/>
  <c r="D290" i="6"/>
  <c r="D546" i="6"/>
  <c r="D802" i="6"/>
  <c r="D81" i="6"/>
  <c r="D673" i="6"/>
  <c r="D211" i="6"/>
  <c r="D467" i="6"/>
  <c r="D723" i="6"/>
  <c r="D979" i="6"/>
  <c r="D641" i="6"/>
  <c r="D228" i="6"/>
  <c r="D484" i="6"/>
  <c r="D740" i="6"/>
  <c r="D996" i="6"/>
  <c r="D633" i="6"/>
  <c r="D953" i="6"/>
  <c r="D218" i="6"/>
  <c r="D474" i="6"/>
  <c r="D730" i="6"/>
  <c r="D986" i="6"/>
  <c r="D251" i="6"/>
  <c r="D507" i="6"/>
  <c r="D763" i="6"/>
  <c r="D140" i="6"/>
  <c r="D604" i="6"/>
  <c r="D860" i="6"/>
  <c r="D124" i="6"/>
  <c r="D45" i="6"/>
  <c r="D301" i="6"/>
  <c r="D557" i="6"/>
  <c r="D813" i="6"/>
  <c r="D46" i="6"/>
  <c r="D302" i="6"/>
  <c r="D558" i="6"/>
  <c r="D814" i="6"/>
  <c r="D735" i="6"/>
  <c r="D991" i="6"/>
  <c r="D512" i="6"/>
  <c r="D768" i="6"/>
  <c r="D113" i="6"/>
  <c r="D849" i="6"/>
  <c r="D50" i="6"/>
  <c r="D338" i="6"/>
  <c r="D594" i="6"/>
  <c r="D850" i="6"/>
  <c r="D209" i="6"/>
  <c r="D178" i="6"/>
  <c r="D259" i="6"/>
  <c r="D649" i="6"/>
  <c r="D969" i="6"/>
  <c r="D234" i="6"/>
  <c r="D490" i="6"/>
  <c r="D746" i="6"/>
  <c r="D1002" i="6"/>
  <c r="D267" i="6"/>
  <c r="D523" i="6"/>
  <c r="D779" i="6"/>
  <c r="D204" i="6"/>
  <c r="D620" i="6"/>
  <c r="D876" i="6"/>
  <c r="D156" i="6"/>
  <c r="D601" i="6"/>
  <c r="D698" i="6"/>
  <c r="D731" i="6"/>
  <c r="D92" i="6"/>
  <c r="D573" i="6"/>
  <c r="D318" i="6"/>
  <c r="D751" i="6"/>
  <c r="D784" i="6"/>
  <c r="D18" i="6"/>
  <c r="D642" i="6"/>
  <c r="D19" i="6"/>
  <c r="D707" i="6"/>
  <c r="D194" i="6"/>
  <c r="D548" i="6"/>
  <c r="D795" i="6"/>
  <c r="D783" i="6"/>
  <c r="D51" i="6"/>
  <c r="D580" i="6"/>
  <c r="D960" i="6"/>
  <c r="D195" i="6"/>
  <c r="D52" i="6"/>
  <c r="D992" i="6"/>
  <c r="D866" i="6"/>
  <c r="D68" i="6"/>
  <c r="D29" i="6"/>
  <c r="D882" i="6"/>
  <c r="D212" i="6"/>
  <c r="D306" i="6"/>
  <c r="D788" i="6"/>
  <c r="D307" i="6"/>
  <c r="D283" i="6"/>
  <c r="D483" i="6"/>
  <c r="D652" i="6"/>
  <c r="D17" i="6"/>
  <c r="D97" i="6"/>
  <c r="D506" i="6"/>
  <c r="D737" i="6"/>
  <c r="D617" i="6"/>
  <c r="D714" i="6"/>
  <c r="D747" i="6"/>
  <c r="D108" i="6"/>
  <c r="D589" i="6"/>
  <c r="D334" i="6"/>
  <c r="D767" i="6"/>
  <c r="D800" i="6"/>
  <c r="D34" i="6"/>
  <c r="D786" i="6"/>
  <c r="D35" i="6"/>
  <c r="D739" i="6"/>
  <c r="D20" i="6"/>
  <c r="D564" i="6"/>
  <c r="D605" i="6"/>
  <c r="D350" i="6"/>
  <c r="D816" i="6"/>
  <c r="D66" i="6"/>
  <c r="D755" i="6"/>
  <c r="D36" i="6"/>
  <c r="D82" i="6"/>
  <c r="D771" i="6"/>
  <c r="D724" i="6"/>
  <c r="D526" i="6"/>
  <c r="D98" i="6"/>
  <c r="D227" i="6"/>
  <c r="D756" i="6"/>
  <c r="D829" i="6"/>
  <c r="D274" i="6"/>
  <c r="D243" i="6"/>
  <c r="D803" i="6"/>
  <c r="D772" i="6"/>
  <c r="D353" i="6"/>
  <c r="D244" i="6"/>
  <c r="D129" i="6"/>
  <c r="D636" i="6"/>
  <c r="D308" i="6"/>
  <c r="D833" i="6"/>
  <c r="D531" i="6"/>
  <c r="D513" i="6"/>
  <c r="D522" i="6"/>
  <c r="D977" i="6"/>
  <c r="D665" i="6"/>
  <c r="D762" i="6"/>
  <c r="D172" i="6"/>
  <c r="D818" i="6"/>
  <c r="D1007" i="6"/>
  <c r="D898" i="6"/>
  <c r="D819" i="6"/>
  <c r="D354" i="6"/>
  <c r="D798" i="6"/>
  <c r="D980" i="6"/>
  <c r="D317" i="6"/>
  <c r="D458" i="6"/>
  <c r="D516" i="6"/>
  <c r="D481" i="6"/>
  <c r="D681" i="6"/>
  <c r="D778" i="6"/>
  <c r="D811" i="6"/>
  <c r="D188" i="6"/>
  <c r="D781" i="6"/>
  <c r="D494" i="6"/>
  <c r="D959" i="6"/>
  <c r="D834" i="6"/>
  <c r="D1008" i="6"/>
  <c r="D574" i="6"/>
  <c r="D606" i="6"/>
  <c r="D276" i="6"/>
  <c r="D225" i="6"/>
  <c r="D78" i="6"/>
  <c r="D270" i="6"/>
  <c r="D719" i="6"/>
  <c r="D921" i="6"/>
  <c r="D954" i="6"/>
  <c r="D987" i="6"/>
  <c r="D13" i="6"/>
  <c r="D797" i="6"/>
  <c r="D975" i="6"/>
  <c r="D787" i="6"/>
  <c r="D275" i="6"/>
  <c r="D529" i="6"/>
  <c r="D285" i="6"/>
  <c r="D530" i="6"/>
  <c r="D547" i="6"/>
  <c r="D626" i="6"/>
  <c r="D937" i="6"/>
  <c r="D970" i="6"/>
  <c r="D1003" i="6"/>
  <c r="D542" i="6"/>
  <c r="D820" i="6"/>
  <c r="D386" i="6"/>
  <c r="D266" i="6"/>
  <c r="D257" i="6"/>
  <c r="D897" i="6"/>
  <c r="D541" i="6"/>
  <c r="D985" i="6"/>
  <c r="D27" i="6"/>
  <c r="D236" i="6"/>
  <c r="D61" i="6"/>
  <c r="D845" i="6"/>
  <c r="D240" i="6"/>
  <c r="D817" i="6"/>
  <c r="D299" i="6"/>
  <c r="D499" i="6"/>
  <c r="D578" i="6"/>
  <c r="D892" i="6"/>
  <c r="D555" i="6"/>
  <c r="D563" i="6"/>
  <c r="D1001" i="6"/>
  <c r="D43" i="6"/>
  <c r="D268" i="6"/>
  <c r="D77" i="6"/>
  <c r="D861" i="6"/>
  <c r="D590" i="6"/>
  <c r="D256" i="6"/>
  <c r="D433" i="6"/>
  <c r="D322" i="6"/>
  <c r="D49" i="6"/>
  <c r="D291" i="6"/>
  <c r="D963" i="6"/>
  <c r="D260" i="6"/>
  <c r="D804" i="6"/>
  <c r="D186" i="6"/>
  <c r="D556" i="6"/>
  <c r="D93" i="6"/>
  <c r="D14" i="6"/>
  <c r="D480" i="6"/>
  <c r="D995" i="6"/>
  <c r="D62" i="6"/>
  <c r="D368" i="6"/>
  <c r="D830" i="6"/>
  <c r="D324" i="6"/>
  <c r="D881" i="6"/>
  <c r="D610" i="6"/>
  <c r="D908" i="6"/>
  <c r="D219" i="6"/>
  <c r="D539" i="6"/>
  <c r="D752" i="6"/>
  <c r="D202" i="6"/>
  <c r="D235" i="6"/>
  <c r="D588" i="6"/>
  <c r="D269" i="6"/>
  <c r="D30" i="6"/>
  <c r="D782" i="6"/>
  <c r="D496" i="6"/>
  <c r="D785" i="6"/>
  <c r="D370" i="6"/>
  <c r="D177" i="6"/>
  <c r="D451" i="6"/>
  <c r="D1011" i="6"/>
  <c r="D292" i="6"/>
  <c r="D836" i="6"/>
  <c r="D250" i="6"/>
  <c r="D544" i="6"/>
  <c r="D704" i="6"/>
  <c r="D703" i="6"/>
  <c r="D532" i="6"/>
  <c r="D528" i="6"/>
  <c r="D844" i="6"/>
  <c r="D625" i="6"/>
  <c r="D525" i="6"/>
  <c r="D993" i="6"/>
  <c r="D442" i="6"/>
  <c r="D475" i="6"/>
  <c r="D828" i="6"/>
  <c r="D333" i="6"/>
  <c r="D94" i="6"/>
  <c r="D846" i="6"/>
  <c r="D560" i="6"/>
  <c r="D865" i="6"/>
  <c r="D562" i="6"/>
  <c r="D273" i="6"/>
  <c r="D515" i="6"/>
  <c r="D65" i="6"/>
  <c r="D468" i="6"/>
  <c r="D491" i="6"/>
  <c r="D349" i="6"/>
  <c r="D238" i="6"/>
  <c r="D862" i="6"/>
  <c r="D500" i="6"/>
  <c r="D736" i="6"/>
  <c r="D286" i="6"/>
  <c r="E9" i="6"/>
  <c r="E22" i="4"/>
  <c r="E8" i="6"/>
  <c r="E21" i="4"/>
  <c r="F311" i="3" a="1"/>
  <c r="E17" i="4"/>
  <c r="E4" i="6"/>
  <c r="F12" i="6" s="1" a="1"/>
  <c r="E6" i="6"/>
  <c r="E19" i="4"/>
  <c r="E18" i="4"/>
  <c r="E5" i="6"/>
  <c r="D319" i="3"/>
  <c r="D327" i="3"/>
  <c r="D325" i="3"/>
  <c r="D313" i="3"/>
  <c r="D351" i="3"/>
  <c r="D312" i="3"/>
  <c r="D335" i="3"/>
  <c r="D346" i="3"/>
  <c r="D311" i="3"/>
  <c r="D332" i="3"/>
  <c r="D334" i="3"/>
  <c r="D350" i="3"/>
  <c r="D340" i="3"/>
  <c r="D318" i="3"/>
  <c r="D329" i="3"/>
  <c r="D341" i="3"/>
  <c r="D333" i="3"/>
  <c r="D331" i="3"/>
  <c r="D315" i="3"/>
  <c r="D322" i="3"/>
  <c r="D326" i="3"/>
  <c r="D317" i="3"/>
  <c r="D321" i="3"/>
  <c r="D336" i="3"/>
  <c r="D324" i="3"/>
  <c r="D323" i="3"/>
  <c r="D316" i="3"/>
  <c r="D337" i="3"/>
  <c r="D348" i="3"/>
  <c r="D314" i="3"/>
  <c r="D347" i="3"/>
  <c r="D338" i="3"/>
  <c r="D349" i="3"/>
  <c r="D345" i="3"/>
  <c r="D330" i="3"/>
  <c r="D343" i="3"/>
  <c r="D339" i="3"/>
  <c r="D320" i="3"/>
  <c r="D344" i="3"/>
  <c r="D328" i="3"/>
  <c r="D342" i="3"/>
  <c r="D46" i="4"/>
  <c r="D61" i="4"/>
  <c r="D30" i="4"/>
  <c r="D27" i="4"/>
  <c r="D50" i="4"/>
  <c r="D54" i="4"/>
  <c r="D44" i="4"/>
  <c r="D38" i="4"/>
  <c r="D62" i="4"/>
  <c r="D43" i="4"/>
  <c r="D37" i="4"/>
  <c r="D57" i="4"/>
  <c r="D35" i="4"/>
  <c r="D56" i="4"/>
  <c r="D58" i="4"/>
  <c r="D33" i="4"/>
  <c r="D52" i="4"/>
  <c r="D64" i="4"/>
  <c r="D36" i="4"/>
  <c r="D34" i="4"/>
  <c r="D65" i="4"/>
  <c r="D53" i="4"/>
  <c r="D49" i="4"/>
  <c r="D29" i="4"/>
  <c r="D66" i="4"/>
  <c r="D32" i="4"/>
  <c r="D59" i="4"/>
  <c r="D55" i="4"/>
  <c r="D40" i="4"/>
  <c r="D45" i="4"/>
  <c r="D39" i="4"/>
  <c r="D60" i="4"/>
  <c r="D28" i="4"/>
  <c r="D48" i="4"/>
  <c r="D41" i="4"/>
  <c r="D51" i="4"/>
  <c r="D42" i="4"/>
  <c r="D31" i="4"/>
  <c r="D26" i="4"/>
  <c r="D47" i="4"/>
  <c r="D63" i="4"/>
  <c r="D22" i="4"/>
  <c r="E26" i="4" s="1" a="1"/>
  <c r="D9" i="6"/>
  <c r="I174" i="6" l="1"/>
  <c r="J173" i="6"/>
  <c r="E333" i="3"/>
  <c r="E351" i="3"/>
  <c r="E326" i="3"/>
  <c r="E316" i="3"/>
  <c r="E349" i="3"/>
  <c r="E314" i="3"/>
  <c r="E346" i="3"/>
  <c r="E313" i="3"/>
  <c r="E323" i="3"/>
  <c r="E317" i="3"/>
  <c r="E338" i="3"/>
  <c r="E344" i="3"/>
  <c r="E336" i="3"/>
  <c r="E335" i="3"/>
  <c r="E334" i="3"/>
  <c r="E329" i="3"/>
  <c r="E312" i="3"/>
  <c r="E341" i="3"/>
  <c r="E337" i="3"/>
  <c r="E322" i="3"/>
  <c r="E342" i="3"/>
  <c r="E347" i="3"/>
  <c r="E319" i="3"/>
  <c r="E311" i="3"/>
  <c r="E332" i="3"/>
  <c r="E318" i="3"/>
  <c r="E340" i="3"/>
  <c r="E325" i="3"/>
  <c r="E320" i="3"/>
  <c r="E348" i="3"/>
  <c r="E321" i="3"/>
  <c r="E315" i="3"/>
  <c r="E331" i="3"/>
  <c r="E345" i="3"/>
  <c r="E327" i="3"/>
  <c r="E328" i="3"/>
  <c r="E339" i="3"/>
  <c r="E324" i="3"/>
  <c r="E343" i="3"/>
  <c r="E330" i="3"/>
  <c r="F1012" i="6"/>
  <c r="F693" i="6"/>
  <c r="F373" i="6"/>
  <c r="F117" i="6"/>
  <c r="F53" i="6"/>
  <c r="F677" i="6"/>
  <c r="F357" i="6"/>
  <c r="F101" i="6"/>
  <c r="F309" i="6"/>
  <c r="F613" i="6"/>
  <c r="F341" i="6"/>
  <c r="F85" i="6"/>
  <c r="F581" i="6"/>
  <c r="F325" i="6"/>
  <c r="F69" i="6"/>
  <c r="F565" i="6"/>
  <c r="F469" i="6"/>
  <c r="F213" i="6"/>
  <c r="F453" i="6"/>
  <c r="F197" i="6"/>
  <c r="F437" i="6"/>
  <c r="F181" i="6"/>
  <c r="F421" i="6"/>
  <c r="F165" i="6"/>
  <c r="F405" i="6"/>
  <c r="F149" i="6"/>
  <c r="F389" i="6"/>
  <c r="F133" i="6"/>
  <c r="F549" i="6"/>
  <c r="F533" i="6"/>
  <c r="F517" i="6"/>
  <c r="F485" i="6"/>
  <c r="F501" i="6"/>
  <c r="F293" i="6"/>
  <c r="F277" i="6"/>
  <c r="F261" i="6"/>
  <c r="F21" i="6"/>
  <c r="F245" i="6"/>
  <c r="F229" i="6"/>
  <c r="F37" i="6"/>
  <c r="F597" i="6"/>
  <c r="F901" i="6"/>
  <c r="F166" i="6"/>
  <c r="F422" i="6"/>
  <c r="F678" i="6"/>
  <c r="F934" i="6"/>
  <c r="F311" i="6"/>
  <c r="F567" i="6"/>
  <c r="F823" i="6"/>
  <c r="F72" i="6"/>
  <c r="F328" i="6"/>
  <c r="F584" i="6"/>
  <c r="F840" i="6"/>
  <c r="F89" i="6"/>
  <c r="F345" i="6"/>
  <c r="F601" i="6"/>
  <c r="F857" i="6"/>
  <c r="F106" i="6"/>
  <c r="F362" i="6"/>
  <c r="F618" i="6"/>
  <c r="F874" i="6"/>
  <c r="F139" i="6"/>
  <c r="F395" i="6"/>
  <c r="F651" i="6"/>
  <c r="F907" i="6"/>
  <c r="F156" i="6"/>
  <c r="F412" i="6"/>
  <c r="F668" i="6"/>
  <c r="F924" i="6"/>
  <c r="F157" i="6"/>
  <c r="F413" i="6"/>
  <c r="F669" i="6"/>
  <c r="F925" i="6"/>
  <c r="F158" i="6"/>
  <c r="F414" i="6"/>
  <c r="F670" i="6"/>
  <c r="F926" i="6"/>
  <c r="F159" i="6"/>
  <c r="F415" i="6"/>
  <c r="F671" i="6"/>
  <c r="F927" i="6"/>
  <c r="F176" i="6"/>
  <c r="F432" i="6"/>
  <c r="F688" i="6"/>
  <c r="F944" i="6"/>
  <c r="F193" i="6"/>
  <c r="F449" i="6"/>
  <c r="F705" i="6"/>
  <c r="F961" i="6"/>
  <c r="F194" i="6"/>
  <c r="F450" i="6"/>
  <c r="F706" i="6"/>
  <c r="F962" i="6"/>
  <c r="F211" i="6"/>
  <c r="F467" i="6"/>
  <c r="F723" i="6"/>
  <c r="F979" i="6"/>
  <c r="F228" i="6"/>
  <c r="F484" i="6"/>
  <c r="F740" i="6"/>
  <c r="F996" i="6"/>
  <c r="F629" i="6"/>
  <c r="F917" i="6"/>
  <c r="F182" i="6"/>
  <c r="F438" i="6"/>
  <c r="F694" i="6"/>
  <c r="F950" i="6"/>
  <c r="F327" i="6"/>
  <c r="F583" i="6"/>
  <c r="F839" i="6"/>
  <c r="F88" i="6"/>
  <c r="F344" i="6"/>
  <c r="F600" i="6"/>
  <c r="F856" i="6"/>
  <c r="F105" i="6"/>
  <c r="F361" i="6"/>
  <c r="F617" i="6"/>
  <c r="F873" i="6"/>
  <c r="F122" i="6"/>
  <c r="F378" i="6"/>
  <c r="F634" i="6"/>
  <c r="F890" i="6"/>
  <c r="F155" i="6"/>
  <c r="F411" i="6"/>
  <c r="F667" i="6"/>
  <c r="F923" i="6"/>
  <c r="F172" i="6"/>
  <c r="F428" i="6"/>
  <c r="F684" i="6"/>
  <c r="F940" i="6"/>
  <c r="F173" i="6"/>
  <c r="F429" i="6"/>
  <c r="F685" i="6"/>
  <c r="F941" i="6"/>
  <c r="F174" i="6"/>
  <c r="F430" i="6"/>
  <c r="F686" i="6"/>
  <c r="F942" i="6"/>
  <c r="F175" i="6"/>
  <c r="F431" i="6"/>
  <c r="F687" i="6"/>
  <c r="F943" i="6"/>
  <c r="F192" i="6"/>
  <c r="F448" i="6"/>
  <c r="F704" i="6"/>
  <c r="F960" i="6"/>
  <c r="F209" i="6"/>
  <c r="F465" i="6"/>
  <c r="F721" i="6"/>
  <c r="F977" i="6"/>
  <c r="F210" i="6"/>
  <c r="F466" i="6"/>
  <c r="F722" i="6"/>
  <c r="F978" i="6"/>
  <c r="F227" i="6"/>
  <c r="F483" i="6"/>
  <c r="F739" i="6"/>
  <c r="F995" i="6"/>
  <c r="F244" i="6"/>
  <c r="F500" i="6"/>
  <c r="F756" i="6"/>
  <c r="F645" i="6"/>
  <c r="F933" i="6"/>
  <c r="F198" i="6"/>
  <c r="F454" i="6"/>
  <c r="F710" i="6"/>
  <c r="F966" i="6"/>
  <c r="F343" i="6"/>
  <c r="F599" i="6"/>
  <c r="F855" i="6"/>
  <c r="F104" i="6"/>
  <c r="F360" i="6"/>
  <c r="F616" i="6"/>
  <c r="F872" i="6"/>
  <c r="F121" i="6"/>
  <c r="F377" i="6"/>
  <c r="F633" i="6"/>
  <c r="F889" i="6"/>
  <c r="F138" i="6"/>
  <c r="F394" i="6"/>
  <c r="F650" i="6"/>
  <c r="F906" i="6"/>
  <c r="F171" i="6"/>
  <c r="F427" i="6"/>
  <c r="F683" i="6"/>
  <c r="F939" i="6"/>
  <c r="F188" i="6"/>
  <c r="F444" i="6"/>
  <c r="F700" i="6"/>
  <c r="F956" i="6"/>
  <c r="F189" i="6"/>
  <c r="F445" i="6"/>
  <c r="F701" i="6"/>
  <c r="F957" i="6"/>
  <c r="F190" i="6"/>
  <c r="F446" i="6"/>
  <c r="F702" i="6"/>
  <c r="F958" i="6"/>
  <c r="F191" i="6"/>
  <c r="F447" i="6"/>
  <c r="F703" i="6"/>
  <c r="F959" i="6"/>
  <c r="F208" i="6"/>
  <c r="F464" i="6"/>
  <c r="F720" i="6"/>
  <c r="F976" i="6"/>
  <c r="F225" i="6"/>
  <c r="F481" i="6"/>
  <c r="F737" i="6"/>
  <c r="F993" i="6"/>
  <c r="F226" i="6"/>
  <c r="F482" i="6"/>
  <c r="F738" i="6"/>
  <c r="F994" i="6"/>
  <c r="F243" i="6"/>
  <c r="F499" i="6"/>
  <c r="F755" i="6"/>
  <c r="F1011" i="6"/>
  <c r="F260" i="6"/>
  <c r="F516" i="6"/>
  <c r="F772" i="6"/>
  <c r="F661" i="6"/>
  <c r="F949" i="6"/>
  <c r="F214" i="6"/>
  <c r="F470" i="6"/>
  <c r="F726" i="6"/>
  <c r="F982" i="6"/>
  <c r="F359" i="6"/>
  <c r="F615" i="6"/>
  <c r="F871" i="6"/>
  <c r="F120" i="6"/>
  <c r="F376" i="6"/>
  <c r="F632" i="6"/>
  <c r="F888" i="6"/>
  <c r="F137" i="6"/>
  <c r="F393" i="6"/>
  <c r="F649" i="6"/>
  <c r="F905" i="6"/>
  <c r="F154" i="6"/>
  <c r="F410" i="6"/>
  <c r="F666" i="6"/>
  <c r="F922" i="6"/>
  <c r="F187" i="6"/>
  <c r="F443" i="6"/>
  <c r="F699" i="6"/>
  <c r="F955" i="6"/>
  <c r="F204" i="6"/>
  <c r="F460" i="6"/>
  <c r="F716" i="6"/>
  <c r="F972" i="6"/>
  <c r="F205" i="6"/>
  <c r="F461" i="6"/>
  <c r="F717" i="6"/>
  <c r="F973" i="6"/>
  <c r="F206" i="6"/>
  <c r="F462" i="6"/>
  <c r="F718" i="6"/>
  <c r="F974" i="6"/>
  <c r="F207" i="6"/>
  <c r="F463" i="6"/>
  <c r="F719" i="6"/>
  <c r="F975" i="6"/>
  <c r="F224" i="6"/>
  <c r="F480" i="6"/>
  <c r="F736" i="6"/>
  <c r="F992" i="6"/>
  <c r="F241" i="6"/>
  <c r="F497" i="6"/>
  <c r="F753" i="6"/>
  <c r="F1009" i="6"/>
  <c r="F242" i="6"/>
  <c r="F498" i="6"/>
  <c r="F754" i="6"/>
  <c r="F1010" i="6"/>
  <c r="F259" i="6"/>
  <c r="F515" i="6"/>
  <c r="F771" i="6"/>
  <c r="F20" i="6"/>
  <c r="F276" i="6"/>
  <c r="F532" i="6"/>
  <c r="F788" i="6"/>
  <c r="F709" i="6"/>
  <c r="F965" i="6"/>
  <c r="F230" i="6"/>
  <c r="F486" i="6"/>
  <c r="F742" i="6"/>
  <c r="F998" i="6"/>
  <c r="F375" i="6"/>
  <c r="F631" i="6"/>
  <c r="F887" i="6"/>
  <c r="F136" i="6"/>
  <c r="F392" i="6"/>
  <c r="F648" i="6"/>
  <c r="F904" i="6"/>
  <c r="F153" i="6"/>
  <c r="F409" i="6"/>
  <c r="F665" i="6"/>
  <c r="F921" i="6"/>
  <c r="F170" i="6"/>
  <c r="F426" i="6"/>
  <c r="F682" i="6"/>
  <c r="F938" i="6"/>
  <c r="F203" i="6"/>
  <c r="F459" i="6"/>
  <c r="F715" i="6"/>
  <c r="F971" i="6"/>
  <c r="F220" i="6"/>
  <c r="F476" i="6"/>
  <c r="F732" i="6"/>
  <c r="F988" i="6"/>
  <c r="F221" i="6"/>
  <c r="F477" i="6"/>
  <c r="F733" i="6"/>
  <c r="F989" i="6"/>
  <c r="F222" i="6"/>
  <c r="F478" i="6"/>
  <c r="F734" i="6"/>
  <c r="F990" i="6"/>
  <c r="F223" i="6"/>
  <c r="F479" i="6"/>
  <c r="F735" i="6"/>
  <c r="F991" i="6"/>
  <c r="F240" i="6"/>
  <c r="F496" i="6"/>
  <c r="F752" i="6"/>
  <c r="F1008" i="6"/>
  <c r="F257" i="6"/>
  <c r="F513" i="6"/>
  <c r="F769" i="6"/>
  <c r="F71" i="6"/>
  <c r="F258" i="6"/>
  <c r="F514" i="6"/>
  <c r="F770" i="6"/>
  <c r="F19" i="6"/>
  <c r="F275" i="6"/>
  <c r="F531" i="6"/>
  <c r="F787" i="6"/>
  <c r="F36" i="6"/>
  <c r="F292" i="6"/>
  <c r="F548" i="6"/>
  <c r="F804" i="6"/>
  <c r="F725" i="6"/>
  <c r="F981" i="6"/>
  <c r="F246" i="6"/>
  <c r="F502" i="6"/>
  <c r="F758" i="6"/>
  <c r="F39" i="6"/>
  <c r="F391" i="6"/>
  <c r="F647" i="6"/>
  <c r="F903" i="6"/>
  <c r="F152" i="6"/>
  <c r="F408" i="6"/>
  <c r="F664" i="6"/>
  <c r="F920" i="6"/>
  <c r="F169" i="6"/>
  <c r="F425" i="6"/>
  <c r="F681" i="6"/>
  <c r="F937" i="6"/>
  <c r="F186" i="6"/>
  <c r="F442" i="6"/>
  <c r="F698" i="6"/>
  <c r="F954" i="6"/>
  <c r="F219" i="6"/>
  <c r="F475" i="6"/>
  <c r="F731" i="6"/>
  <c r="F987" i="6"/>
  <c r="F236" i="6"/>
  <c r="F492" i="6"/>
  <c r="F748" i="6"/>
  <c r="F1004" i="6"/>
  <c r="F237" i="6"/>
  <c r="F493" i="6"/>
  <c r="F749" i="6"/>
  <c r="F1005" i="6"/>
  <c r="F238" i="6"/>
  <c r="F494" i="6"/>
  <c r="F750" i="6"/>
  <c r="F1006" i="6"/>
  <c r="F239" i="6"/>
  <c r="F495" i="6"/>
  <c r="F751" i="6"/>
  <c r="F1007" i="6"/>
  <c r="F256" i="6"/>
  <c r="F512" i="6"/>
  <c r="F768" i="6"/>
  <c r="F17" i="6"/>
  <c r="F273" i="6"/>
  <c r="F529" i="6"/>
  <c r="F785" i="6"/>
  <c r="F18" i="6"/>
  <c r="F274" i="6"/>
  <c r="F530" i="6"/>
  <c r="F786" i="6"/>
  <c r="F35" i="6"/>
  <c r="F291" i="6"/>
  <c r="F547" i="6"/>
  <c r="F803" i="6"/>
  <c r="F52" i="6"/>
  <c r="F308" i="6"/>
  <c r="F564" i="6"/>
  <c r="F820" i="6"/>
  <c r="F741" i="6"/>
  <c r="F997" i="6"/>
  <c r="F262" i="6"/>
  <c r="F518" i="6"/>
  <c r="F774" i="6"/>
  <c r="F55" i="6"/>
  <c r="F407" i="6"/>
  <c r="F663" i="6"/>
  <c r="F919" i="6"/>
  <c r="F168" i="6"/>
  <c r="F424" i="6"/>
  <c r="F680" i="6"/>
  <c r="F936" i="6"/>
  <c r="F185" i="6"/>
  <c r="F441" i="6"/>
  <c r="F697" i="6"/>
  <c r="F953" i="6"/>
  <c r="F202" i="6"/>
  <c r="F458" i="6"/>
  <c r="F714" i="6"/>
  <c r="F970" i="6"/>
  <c r="F235" i="6"/>
  <c r="F491" i="6"/>
  <c r="F747" i="6"/>
  <c r="F1003" i="6"/>
  <c r="F252" i="6"/>
  <c r="F508" i="6"/>
  <c r="F764" i="6"/>
  <c r="F167" i="6"/>
  <c r="F253" i="6"/>
  <c r="F509" i="6"/>
  <c r="F765" i="6"/>
  <c r="F103" i="6"/>
  <c r="F254" i="6"/>
  <c r="F510" i="6"/>
  <c r="F766" i="6"/>
  <c r="F215" i="6"/>
  <c r="F255" i="6"/>
  <c r="F511" i="6"/>
  <c r="F767" i="6"/>
  <c r="F16" i="6"/>
  <c r="F272" i="6"/>
  <c r="F528" i="6"/>
  <c r="F784" i="6"/>
  <c r="F33" i="6"/>
  <c r="F289" i="6"/>
  <c r="F545" i="6"/>
  <c r="F801" i="6"/>
  <c r="F34" i="6"/>
  <c r="F290" i="6"/>
  <c r="F546" i="6"/>
  <c r="F802" i="6"/>
  <c r="F51" i="6"/>
  <c r="F307" i="6"/>
  <c r="F563" i="6"/>
  <c r="F819" i="6"/>
  <c r="F68" i="6"/>
  <c r="F324" i="6"/>
  <c r="F580" i="6"/>
  <c r="F836" i="6"/>
  <c r="F757" i="6"/>
  <c r="F22" i="6"/>
  <c r="F278" i="6"/>
  <c r="F534" i="6"/>
  <c r="F790" i="6"/>
  <c r="F87" i="6"/>
  <c r="F423" i="6"/>
  <c r="F679" i="6"/>
  <c r="F935" i="6"/>
  <c r="F184" i="6"/>
  <c r="F440" i="6"/>
  <c r="F696" i="6"/>
  <c r="F952" i="6"/>
  <c r="F201" i="6"/>
  <c r="F457" i="6"/>
  <c r="F713" i="6"/>
  <c r="F969" i="6"/>
  <c r="F218" i="6"/>
  <c r="F474" i="6"/>
  <c r="F730" i="6"/>
  <c r="F986" i="6"/>
  <c r="F251" i="6"/>
  <c r="F507" i="6"/>
  <c r="F763" i="6"/>
  <c r="F12" i="6"/>
  <c r="F268" i="6"/>
  <c r="F524" i="6"/>
  <c r="F780" i="6"/>
  <c r="F13" i="6"/>
  <c r="F269" i="6"/>
  <c r="F525" i="6"/>
  <c r="F781" i="6"/>
  <c r="F14" i="6"/>
  <c r="F270" i="6"/>
  <c r="F526" i="6"/>
  <c r="F782" i="6"/>
  <c r="F15" i="6"/>
  <c r="F271" i="6"/>
  <c r="F527" i="6"/>
  <c r="F783" i="6"/>
  <c r="F32" i="6"/>
  <c r="F288" i="6"/>
  <c r="F544" i="6"/>
  <c r="F800" i="6"/>
  <c r="F49" i="6"/>
  <c r="F305" i="6"/>
  <c r="F561" i="6"/>
  <c r="F817" i="6"/>
  <c r="F50" i="6"/>
  <c r="F306" i="6"/>
  <c r="F562" i="6"/>
  <c r="F818" i="6"/>
  <c r="F67" i="6"/>
  <c r="F323" i="6"/>
  <c r="F579" i="6"/>
  <c r="F835" i="6"/>
  <c r="F84" i="6"/>
  <c r="F340" i="6"/>
  <c r="F596" i="6"/>
  <c r="F852" i="6"/>
  <c r="F773" i="6"/>
  <c r="F38" i="6"/>
  <c r="F294" i="6"/>
  <c r="F550" i="6"/>
  <c r="F806" i="6"/>
  <c r="F119" i="6"/>
  <c r="F439" i="6"/>
  <c r="F695" i="6"/>
  <c r="F951" i="6"/>
  <c r="F200" i="6"/>
  <c r="F456" i="6"/>
  <c r="F712" i="6"/>
  <c r="F968" i="6"/>
  <c r="F217" i="6"/>
  <c r="F473" i="6"/>
  <c r="F729" i="6"/>
  <c r="F985" i="6"/>
  <c r="F234" i="6"/>
  <c r="F490" i="6"/>
  <c r="F746" i="6"/>
  <c r="F1002" i="6"/>
  <c r="F267" i="6"/>
  <c r="F523" i="6"/>
  <c r="F779" i="6"/>
  <c r="F28" i="6"/>
  <c r="F284" i="6"/>
  <c r="F540" i="6"/>
  <c r="F796" i="6"/>
  <c r="F29" i="6"/>
  <c r="F285" i="6"/>
  <c r="F541" i="6"/>
  <c r="F797" i="6"/>
  <c r="F30" i="6"/>
  <c r="F286" i="6"/>
  <c r="F542" i="6"/>
  <c r="F789" i="6"/>
  <c r="F54" i="6"/>
  <c r="F310" i="6"/>
  <c r="F566" i="6"/>
  <c r="F822" i="6"/>
  <c r="F151" i="6"/>
  <c r="F455" i="6"/>
  <c r="F711" i="6"/>
  <c r="F967" i="6"/>
  <c r="F216" i="6"/>
  <c r="F472" i="6"/>
  <c r="F728" i="6"/>
  <c r="F984" i="6"/>
  <c r="F233" i="6"/>
  <c r="F489" i="6"/>
  <c r="F745" i="6"/>
  <c r="F1001" i="6"/>
  <c r="F250" i="6"/>
  <c r="F506" i="6"/>
  <c r="F762" i="6"/>
  <c r="F27" i="6"/>
  <c r="F283" i="6"/>
  <c r="F539" i="6"/>
  <c r="F795" i="6"/>
  <c r="F44" i="6"/>
  <c r="F300" i="6"/>
  <c r="F556" i="6"/>
  <c r="F812" i="6"/>
  <c r="F45" i="6"/>
  <c r="F301" i="6"/>
  <c r="F557" i="6"/>
  <c r="F813" i="6"/>
  <c r="F46" i="6"/>
  <c r="F302" i="6"/>
  <c r="F558" i="6"/>
  <c r="F814" i="6"/>
  <c r="F47" i="6"/>
  <c r="F303" i="6"/>
  <c r="F559" i="6"/>
  <c r="F815" i="6"/>
  <c r="F64" i="6"/>
  <c r="F320" i="6"/>
  <c r="F576" i="6"/>
  <c r="F832" i="6"/>
  <c r="F81" i="6"/>
  <c r="F337" i="6"/>
  <c r="F593" i="6"/>
  <c r="F849" i="6"/>
  <c r="F82" i="6"/>
  <c r="F338" i="6"/>
  <c r="F594" i="6"/>
  <c r="F850" i="6"/>
  <c r="F99" i="6"/>
  <c r="F355" i="6"/>
  <c r="F611" i="6"/>
  <c r="F867" i="6"/>
  <c r="F116" i="6"/>
  <c r="F372" i="6"/>
  <c r="F628" i="6"/>
  <c r="F884" i="6"/>
  <c r="F837" i="6"/>
  <c r="F102" i="6"/>
  <c r="F358" i="6"/>
  <c r="F614" i="6"/>
  <c r="F870" i="6"/>
  <c r="F247" i="6"/>
  <c r="F503" i="6"/>
  <c r="F759" i="6"/>
  <c r="F135" i="6"/>
  <c r="F264" i="6"/>
  <c r="F520" i="6"/>
  <c r="F776" i="6"/>
  <c r="F25" i="6"/>
  <c r="F281" i="6"/>
  <c r="F537" i="6"/>
  <c r="F793" i="6"/>
  <c r="F42" i="6"/>
  <c r="F298" i="6"/>
  <c r="F554" i="6"/>
  <c r="F810" i="6"/>
  <c r="F75" i="6"/>
  <c r="F331" i="6"/>
  <c r="F587" i="6"/>
  <c r="F843" i="6"/>
  <c r="F805" i="6"/>
  <c r="F598" i="6"/>
  <c r="F519" i="6"/>
  <c r="F296" i="6"/>
  <c r="F73" i="6"/>
  <c r="F199" i="6"/>
  <c r="F794" i="6"/>
  <c r="F603" i="6"/>
  <c r="F348" i="6"/>
  <c r="F61" i="6"/>
  <c r="F637" i="6"/>
  <c r="F350" i="6"/>
  <c r="F910" i="6"/>
  <c r="F575" i="6"/>
  <c r="F112" i="6"/>
  <c r="F656" i="6"/>
  <c r="F321" i="6"/>
  <c r="F881" i="6"/>
  <c r="F402" i="6"/>
  <c r="F946" i="6"/>
  <c r="F627" i="6"/>
  <c r="F164" i="6"/>
  <c r="F708" i="6"/>
  <c r="F821" i="6"/>
  <c r="F630" i="6"/>
  <c r="F535" i="6"/>
  <c r="F312" i="6"/>
  <c r="F249" i="6"/>
  <c r="F26" i="6"/>
  <c r="F826" i="6"/>
  <c r="F619" i="6"/>
  <c r="F364" i="6"/>
  <c r="F77" i="6"/>
  <c r="F653" i="6"/>
  <c r="F366" i="6"/>
  <c r="F31" i="6"/>
  <c r="F591" i="6"/>
  <c r="F128" i="6"/>
  <c r="F672" i="6"/>
  <c r="F353" i="6"/>
  <c r="F897" i="6"/>
  <c r="F418" i="6"/>
  <c r="F83" i="6"/>
  <c r="F643" i="6"/>
  <c r="F180" i="6"/>
  <c r="F724" i="6"/>
  <c r="F853" i="6"/>
  <c r="F646" i="6"/>
  <c r="F551" i="6"/>
  <c r="F488" i="6"/>
  <c r="F265" i="6"/>
  <c r="F58" i="6"/>
  <c r="F842" i="6"/>
  <c r="F635" i="6"/>
  <c r="F380" i="6"/>
  <c r="F93" i="6"/>
  <c r="F829" i="6"/>
  <c r="F382" i="6"/>
  <c r="F63" i="6"/>
  <c r="F607" i="6"/>
  <c r="F144" i="6"/>
  <c r="F816" i="6"/>
  <c r="F369" i="6"/>
  <c r="F913" i="6"/>
  <c r="F434" i="6"/>
  <c r="F115" i="6"/>
  <c r="F659" i="6"/>
  <c r="F196" i="6"/>
  <c r="F868" i="6"/>
  <c r="F869" i="6"/>
  <c r="F662" i="6"/>
  <c r="F727" i="6"/>
  <c r="F504" i="6"/>
  <c r="F297" i="6"/>
  <c r="F74" i="6"/>
  <c r="F858" i="6"/>
  <c r="F811" i="6"/>
  <c r="F396" i="6"/>
  <c r="F109" i="6"/>
  <c r="F845" i="6"/>
  <c r="F398" i="6"/>
  <c r="F79" i="6"/>
  <c r="F623" i="6"/>
  <c r="F160" i="6"/>
  <c r="F848" i="6"/>
  <c r="F385" i="6"/>
  <c r="F929" i="6"/>
  <c r="F578" i="6"/>
  <c r="F131" i="6"/>
  <c r="F675" i="6"/>
  <c r="F212" i="6"/>
  <c r="F900" i="6"/>
  <c r="F885" i="6"/>
  <c r="F838" i="6"/>
  <c r="F743" i="6"/>
  <c r="F536" i="6"/>
  <c r="F313" i="6"/>
  <c r="F90" i="6"/>
  <c r="F43" i="6"/>
  <c r="F827" i="6"/>
  <c r="F572" i="6"/>
  <c r="F125" i="6"/>
  <c r="F861" i="6"/>
  <c r="F574" i="6"/>
  <c r="F95" i="6"/>
  <c r="F639" i="6"/>
  <c r="F304" i="6"/>
  <c r="F864" i="6"/>
  <c r="F401" i="6"/>
  <c r="F945" i="6"/>
  <c r="F610" i="6"/>
  <c r="F147" i="6"/>
  <c r="F691" i="6"/>
  <c r="F356" i="6"/>
  <c r="F916" i="6"/>
  <c r="F70" i="6"/>
  <c r="F854" i="6"/>
  <c r="F775" i="6"/>
  <c r="F552" i="6"/>
  <c r="F329" i="6"/>
  <c r="F266" i="6"/>
  <c r="F59" i="6"/>
  <c r="F859" i="6"/>
  <c r="F588" i="6"/>
  <c r="F141" i="6"/>
  <c r="F877" i="6"/>
  <c r="F590" i="6"/>
  <c r="F111" i="6"/>
  <c r="F655" i="6"/>
  <c r="F336" i="6"/>
  <c r="F880" i="6"/>
  <c r="F417" i="6"/>
  <c r="F66" i="6"/>
  <c r="F626" i="6"/>
  <c r="F163" i="6"/>
  <c r="F707" i="6"/>
  <c r="F388" i="6"/>
  <c r="F932" i="6"/>
  <c r="F86" i="6"/>
  <c r="F886" i="6"/>
  <c r="F791" i="6"/>
  <c r="F568" i="6"/>
  <c r="F505" i="6"/>
  <c r="F282" i="6"/>
  <c r="F91" i="6"/>
  <c r="F875" i="6"/>
  <c r="F604" i="6"/>
  <c r="F317" i="6"/>
  <c r="F893" i="6"/>
  <c r="F606" i="6"/>
  <c r="F127" i="6"/>
  <c r="F799" i="6"/>
  <c r="F352" i="6"/>
  <c r="F896" i="6"/>
  <c r="F433" i="6"/>
  <c r="F98" i="6"/>
  <c r="F642" i="6"/>
  <c r="F179" i="6"/>
  <c r="F851" i="6"/>
  <c r="F404" i="6"/>
  <c r="F948" i="6"/>
  <c r="F118" i="6"/>
  <c r="F902" i="6"/>
  <c r="F807" i="6"/>
  <c r="F744" i="6"/>
  <c r="F521" i="6"/>
  <c r="F314" i="6"/>
  <c r="F107" i="6"/>
  <c r="F891" i="6"/>
  <c r="F620" i="6"/>
  <c r="F333" i="6"/>
  <c r="F909" i="6"/>
  <c r="F622" i="6"/>
  <c r="F143" i="6"/>
  <c r="F831" i="6"/>
  <c r="F368" i="6"/>
  <c r="F912" i="6"/>
  <c r="F577" i="6"/>
  <c r="F114" i="6"/>
  <c r="F658" i="6"/>
  <c r="F195" i="6"/>
  <c r="F883" i="6"/>
  <c r="F420" i="6"/>
  <c r="F964" i="6"/>
  <c r="F134" i="6"/>
  <c r="F918" i="6"/>
  <c r="F983" i="6"/>
  <c r="F760" i="6"/>
  <c r="F553" i="6"/>
  <c r="F330" i="6"/>
  <c r="F123" i="6"/>
  <c r="F60" i="6"/>
  <c r="F636" i="6"/>
  <c r="F349" i="6"/>
  <c r="F62" i="6"/>
  <c r="F638" i="6"/>
  <c r="F287" i="6"/>
  <c r="F847" i="6"/>
  <c r="F384" i="6"/>
  <c r="F928" i="6"/>
  <c r="F609" i="6"/>
  <c r="F130" i="6"/>
  <c r="F674" i="6"/>
  <c r="F339" i="6"/>
  <c r="F899" i="6"/>
  <c r="F436" i="6"/>
  <c r="F980" i="6"/>
  <c r="F150" i="6"/>
  <c r="F183" i="6"/>
  <c r="F999" i="6"/>
  <c r="F792" i="6"/>
  <c r="F569" i="6"/>
  <c r="F346" i="6"/>
  <c r="F299" i="6"/>
  <c r="F76" i="6"/>
  <c r="F652" i="6"/>
  <c r="F365" i="6"/>
  <c r="F78" i="6"/>
  <c r="F654" i="6"/>
  <c r="F319" i="6"/>
  <c r="F863" i="6"/>
  <c r="F400" i="6"/>
  <c r="F65" i="6"/>
  <c r="F625" i="6"/>
  <c r="F146" i="6"/>
  <c r="F690" i="6"/>
  <c r="F371" i="6"/>
  <c r="F915" i="6"/>
  <c r="F452" i="6"/>
  <c r="F374" i="6"/>
  <c r="F279" i="6"/>
  <c r="F56" i="6"/>
  <c r="F1000" i="6"/>
  <c r="F777" i="6"/>
  <c r="F570" i="6"/>
  <c r="F363" i="6"/>
  <c r="F124" i="6"/>
  <c r="F860" i="6"/>
  <c r="F573" i="6"/>
  <c r="F126" i="6"/>
  <c r="F846" i="6"/>
  <c r="F367" i="6"/>
  <c r="F911" i="6"/>
  <c r="F592" i="6"/>
  <c r="F129" i="6"/>
  <c r="F673" i="6"/>
  <c r="F322" i="6"/>
  <c r="F882" i="6"/>
  <c r="F419" i="6"/>
  <c r="F963" i="6"/>
  <c r="F644" i="6"/>
  <c r="F390" i="6"/>
  <c r="F295" i="6"/>
  <c r="F232" i="6"/>
  <c r="F23" i="6"/>
  <c r="F809" i="6"/>
  <c r="F586" i="6"/>
  <c r="F379" i="6"/>
  <c r="F140" i="6"/>
  <c r="F876" i="6"/>
  <c r="F589" i="6"/>
  <c r="F142" i="6"/>
  <c r="F862" i="6"/>
  <c r="F383" i="6"/>
  <c r="F48" i="6"/>
  <c r="F608" i="6"/>
  <c r="F145" i="6"/>
  <c r="F689" i="6"/>
  <c r="F354" i="6"/>
  <c r="F898" i="6"/>
  <c r="F435" i="6"/>
  <c r="F100" i="6"/>
  <c r="F660" i="6"/>
  <c r="F326" i="6"/>
  <c r="F585" i="6"/>
  <c r="F828" i="6"/>
  <c r="F335" i="6"/>
  <c r="F641" i="6"/>
  <c r="F931" i="6"/>
  <c r="F930" i="6"/>
  <c r="F57" i="6"/>
  <c r="F342" i="6"/>
  <c r="F761" i="6"/>
  <c r="F844" i="6"/>
  <c r="F351" i="6"/>
  <c r="F657" i="6"/>
  <c r="F947" i="6"/>
  <c r="F571" i="6"/>
  <c r="F161" i="6"/>
  <c r="F406" i="6"/>
  <c r="F825" i="6"/>
  <c r="F892" i="6"/>
  <c r="F399" i="6"/>
  <c r="F833" i="6"/>
  <c r="F132" i="6"/>
  <c r="F334" i="6"/>
  <c r="F878" i="6"/>
  <c r="F582" i="6"/>
  <c r="F841" i="6"/>
  <c r="F908" i="6"/>
  <c r="F543" i="6"/>
  <c r="F865" i="6"/>
  <c r="F148" i="6"/>
  <c r="F624" i="6"/>
  <c r="F640" i="6"/>
  <c r="F231" i="6"/>
  <c r="F522" i="6"/>
  <c r="F381" i="6"/>
  <c r="F879" i="6"/>
  <c r="F162" i="6"/>
  <c r="F468" i="6"/>
  <c r="F263" i="6"/>
  <c r="F538" i="6"/>
  <c r="F397" i="6"/>
  <c r="F895" i="6"/>
  <c r="F178" i="6"/>
  <c r="F612" i="6"/>
  <c r="F555" i="6"/>
  <c r="F595" i="6"/>
  <c r="F471" i="6"/>
  <c r="F602" i="6"/>
  <c r="F605" i="6"/>
  <c r="F80" i="6"/>
  <c r="F370" i="6"/>
  <c r="F676" i="6"/>
  <c r="F248" i="6"/>
  <c r="F451" i="6"/>
  <c r="F487" i="6"/>
  <c r="F778" i="6"/>
  <c r="F621" i="6"/>
  <c r="F96" i="6"/>
  <c r="F386" i="6"/>
  <c r="F692" i="6"/>
  <c r="F94" i="6"/>
  <c r="F914" i="6"/>
  <c r="F280" i="6"/>
  <c r="F24" i="6"/>
  <c r="F315" i="6"/>
  <c r="F416" i="6"/>
  <c r="F834" i="6"/>
  <c r="F41" i="6"/>
  <c r="F40" i="6"/>
  <c r="F347" i="6"/>
  <c r="F110" i="6"/>
  <c r="F560" i="6"/>
  <c r="F866" i="6"/>
  <c r="F318" i="6"/>
  <c r="F894" i="6"/>
  <c r="F316" i="6"/>
  <c r="F177" i="6"/>
  <c r="F808" i="6"/>
  <c r="F92" i="6"/>
  <c r="F798" i="6"/>
  <c r="F97" i="6"/>
  <c r="F387" i="6"/>
  <c r="F824" i="6"/>
  <c r="F108" i="6"/>
  <c r="F830" i="6"/>
  <c r="F113" i="6"/>
  <c r="F403" i="6"/>
  <c r="F332" i="6"/>
  <c r="E1012" i="6"/>
  <c r="E805" i="6"/>
  <c r="E245" i="6"/>
  <c r="E549" i="6"/>
  <c r="E229" i="6"/>
  <c r="E181" i="6"/>
  <c r="E501" i="6"/>
  <c r="E213" i="6"/>
  <c r="E437" i="6"/>
  <c r="E469" i="6"/>
  <c r="E197" i="6"/>
  <c r="G197" i="6" s="1"/>
  <c r="E949" i="6"/>
  <c r="E341" i="6"/>
  <c r="E85" i="6"/>
  <c r="E917" i="6"/>
  <c r="E325" i="6"/>
  <c r="E69" i="6"/>
  <c r="E901" i="6"/>
  <c r="E309" i="6"/>
  <c r="E53" i="6"/>
  <c r="E885" i="6"/>
  <c r="E293" i="6"/>
  <c r="G293" i="6" s="1"/>
  <c r="E37" i="6"/>
  <c r="E853" i="6"/>
  <c r="E277" i="6"/>
  <c r="E21" i="6"/>
  <c r="E821" i="6"/>
  <c r="E261" i="6"/>
  <c r="E405" i="6"/>
  <c r="E389" i="6"/>
  <c r="E165" i="6"/>
  <c r="G165" i="6" s="1"/>
  <c r="E373" i="6"/>
  <c r="E149" i="6"/>
  <c r="E357" i="6"/>
  <c r="E133" i="6"/>
  <c r="G133" i="6" s="1"/>
  <c r="E117" i="6"/>
  <c r="E101" i="6"/>
  <c r="E981" i="6"/>
  <c r="E965" i="6"/>
  <c r="E421" i="6"/>
  <c r="E741" i="6"/>
  <c r="G741" i="6" s="1"/>
  <c r="E150" i="6"/>
  <c r="E406" i="6"/>
  <c r="E662" i="6"/>
  <c r="E918" i="6"/>
  <c r="E231" i="6"/>
  <c r="E487" i="6"/>
  <c r="G487" i="6" s="1"/>
  <c r="E743" i="6"/>
  <c r="E999" i="6"/>
  <c r="E296" i="6"/>
  <c r="E600" i="6"/>
  <c r="E856" i="6"/>
  <c r="E265" i="6"/>
  <c r="E585" i="6"/>
  <c r="E841" i="6"/>
  <c r="E74" i="6"/>
  <c r="E330" i="6"/>
  <c r="E586" i="6"/>
  <c r="E842" i="6"/>
  <c r="E107" i="6"/>
  <c r="E363" i="6"/>
  <c r="E619" i="6"/>
  <c r="E875" i="6"/>
  <c r="E28" i="6"/>
  <c r="E284" i="6"/>
  <c r="G284" i="6" s="1"/>
  <c r="E453" i="6"/>
  <c r="E757" i="6"/>
  <c r="E166" i="6"/>
  <c r="E422" i="6"/>
  <c r="E678" i="6"/>
  <c r="E934" i="6"/>
  <c r="E247" i="6"/>
  <c r="E503" i="6"/>
  <c r="E759" i="6"/>
  <c r="E24" i="6"/>
  <c r="E328" i="6"/>
  <c r="E616" i="6"/>
  <c r="E872" i="6"/>
  <c r="E281" i="6"/>
  <c r="E601" i="6"/>
  <c r="E857" i="6"/>
  <c r="G857" i="6" s="1"/>
  <c r="E90" i="6"/>
  <c r="G90" i="6" s="1"/>
  <c r="E346" i="6"/>
  <c r="E602" i="6"/>
  <c r="E858" i="6"/>
  <c r="E123" i="6"/>
  <c r="E379" i="6"/>
  <c r="E635" i="6"/>
  <c r="E891" i="6"/>
  <c r="E44" i="6"/>
  <c r="E300" i="6"/>
  <c r="E485" i="6"/>
  <c r="E773" i="6"/>
  <c r="E182" i="6"/>
  <c r="E438" i="6"/>
  <c r="E694" i="6"/>
  <c r="E950" i="6"/>
  <c r="E263" i="6"/>
  <c r="E519" i="6"/>
  <c r="E775" i="6"/>
  <c r="E40" i="6"/>
  <c r="E376" i="6"/>
  <c r="E632" i="6"/>
  <c r="E888" i="6"/>
  <c r="E345" i="6"/>
  <c r="E617" i="6"/>
  <c r="E873" i="6"/>
  <c r="E106" i="6"/>
  <c r="E362" i="6"/>
  <c r="E618" i="6"/>
  <c r="E874" i="6"/>
  <c r="E139" i="6"/>
  <c r="E395" i="6"/>
  <c r="E651" i="6"/>
  <c r="E907" i="6"/>
  <c r="E60" i="6"/>
  <c r="E316" i="6"/>
  <c r="E517" i="6"/>
  <c r="G517" i="6" s="1"/>
  <c r="E789" i="6"/>
  <c r="E198" i="6"/>
  <c r="E454" i="6"/>
  <c r="E710" i="6"/>
  <c r="E966" i="6"/>
  <c r="E279" i="6"/>
  <c r="E535" i="6"/>
  <c r="E791" i="6"/>
  <c r="E56" i="6"/>
  <c r="G56" i="6" s="1"/>
  <c r="E392" i="6"/>
  <c r="E648" i="6"/>
  <c r="E904" i="6"/>
  <c r="E377" i="6"/>
  <c r="E633" i="6"/>
  <c r="E937" i="6"/>
  <c r="E122" i="6"/>
  <c r="E378" i="6"/>
  <c r="E634" i="6"/>
  <c r="E890" i="6"/>
  <c r="E155" i="6"/>
  <c r="E411" i="6"/>
  <c r="E667" i="6"/>
  <c r="E923" i="6"/>
  <c r="E76" i="6"/>
  <c r="G76" i="6" s="1"/>
  <c r="E533" i="6"/>
  <c r="E837" i="6"/>
  <c r="G837" i="6" s="1"/>
  <c r="E214" i="6"/>
  <c r="E470" i="6"/>
  <c r="E726" i="6"/>
  <c r="G726" i="6" s="1"/>
  <c r="E982" i="6"/>
  <c r="E295" i="6"/>
  <c r="E551" i="6"/>
  <c r="E807" i="6"/>
  <c r="E88" i="6"/>
  <c r="E408" i="6"/>
  <c r="E664" i="6"/>
  <c r="E920" i="6"/>
  <c r="E393" i="6"/>
  <c r="E649" i="6"/>
  <c r="E969" i="6"/>
  <c r="E138" i="6"/>
  <c r="E394" i="6"/>
  <c r="E650" i="6"/>
  <c r="E906" i="6"/>
  <c r="E171" i="6"/>
  <c r="E427" i="6"/>
  <c r="E683" i="6"/>
  <c r="E939" i="6"/>
  <c r="E92" i="6"/>
  <c r="G92" i="6" s="1"/>
  <c r="E565" i="6"/>
  <c r="E869" i="6"/>
  <c r="E230" i="6"/>
  <c r="E486" i="6"/>
  <c r="E742" i="6"/>
  <c r="E998" i="6"/>
  <c r="E311" i="6"/>
  <c r="E567" i="6"/>
  <c r="E823" i="6"/>
  <c r="E104" i="6"/>
  <c r="E424" i="6"/>
  <c r="E680" i="6"/>
  <c r="E936" i="6"/>
  <c r="E409" i="6"/>
  <c r="E665" i="6"/>
  <c r="E985" i="6"/>
  <c r="E154" i="6"/>
  <c r="E410" i="6"/>
  <c r="E666" i="6"/>
  <c r="E922" i="6"/>
  <c r="E187" i="6"/>
  <c r="E443" i="6"/>
  <c r="E699" i="6"/>
  <c r="E955" i="6"/>
  <c r="E108" i="6"/>
  <c r="E581" i="6"/>
  <c r="E933" i="6"/>
  <c r="E246" i="6"/>
  <c r="G246" i="6" s="1"/>
  <c r="E502" i="6"/>
  <c r="E758" i="6"/>
  <c r="E39" i="6"/>
  <c r="E327" i="6"/>
  <c r="E583" i="6"/>
  <c r="E839" i="6"/>
  <c r="E120" i="6"/>
  <c r="E440" i="6"/>
  <c r="E696" i="6"/>
  <c r="E952" i="6"/>
  <c r="E425" i="6"/>
  <c r="E681" i="6"/>
  <c r="E1001" i="6"/>
  <c r="E170" i="6"/>
  <c r="E426" i="6"/>
  <c r="E682" i="6"/>
  <c r="E938" i="6"/>
  <c r="E203" i="6"/>
  <c r="E459" i="6"/>
  <c r="E715" i="6"/>
  <c r="E971" i="6"/>
  <c r="E124" i="6"/>
  <c r="E597" i="6"/>
  <c r="E997" i="6"/>
  <c r="E262" i="6"/>
  <c r="E518" i="6"/>
  <c r="E774" i="6"/>
  <c r="E87" i="6"/>
  <c r="E343" i="6"/>
  <c r="E599" i="6"/>
  <c r="G599" i="6" s="1"/>
  <c r="E855" i="6"/>
  <c r="E136" i="6"/>
  <c r="E456" i="6"/>
  <c r="E712" i="6"/>
  <c r="E968" i="6"/>
  <c r="E441" i="6"/>
  <c r="G441" i="6" s="1"/>
  <c r="E697" i="6"/>
  <c r="G697" i="6" s="1"/>
  <c r="E55" i="6"/>
  <c r="E186" i="6"/>
  <c r="E442" i="6"/>
  <c r="E698" i="6"/>
  <c r="E954" i="6"/>
  <c r="E219" i="6"/>
  <c r="E475" i="6"/>
  <c r="E731" i="6"/>
  <c r="E987" i="6"/>
  <c r="E140" i="6"/>
  <c r="E629" i="6"/>
  <c r="E38" i="6"/>
  <c r="E294" i="6"/>
  <c r="E550" i="6"/>
  <c r="E806" i="6"/>
  <c r="E119" i="6"/>
  <c r="E375" i="6"/>
  <c r="E631" i="6"/>
  <c r="E887" i="6"/>
  <c r="E168" i="6"/>
  <c r="E488" i="6"/>
  <c r="E744" i="6"/>
  <c r="E1000" i="6"/>
  <c r="E473" i="6"/>
  <c r="E729" i="6"/>
  <c r="G729" i="6" s="1"/>
  <c r="E73" i="6"/>
  <c r="E218" i="6"/>
  <c r="E474" i="6"/>
  <c r="E730" i="6"/>
  <c r="E986" i="6"/>
  <c r="E251" i="6"/>
  <c r="E507" i="6"/>
  <c r="E763" i="6"/>
  <c r="E280" i="6"/>
  <c r="E172" i="6"/>
  <c r="E22" i="6"/>
  <c r="E582" i="6"/>
  <c r="E183" i="6"/>
  <c r="E727" i="6"/>
  <c r="E504" i="6"/>
  <c r="G504" i="6" s="1"/>
  <c r="E153" i="6"/>
  <c r="E809" i="6"/>
  <c r="E458" i="6"/>
  <c r="E27" i="6"/>
  <c r="E571" i="6"/>
  <c r="E12" i="6"/>
  <c r="E460" i="6"/>
  <c r="E716" i="6"/>
  <c r="E972" i="6"/>
  <c r="E109" i="6"/>
  <c r="E365" i="6"/>
  <c r="E621" i="6"/>
  <c r="E877" i="6"/>
  <c r="E30" i="6"/>
  <c r="E286" i="6"/>
  <c r="E542" i="6"/>
  <c r="E798" i="6"/>
  <c r="E47" i="6"/>
  <c r="E303" i="6"/>
  <c r="G303" i="6" s="1"/>
  <c r="E559" i="6"/>
  <c r="E815" i="6"/>
  <c r="E64" i="6"/>
  <c r="E368" i="6"/>
  <c r="G368" i="6" s="1"/>
  <c r="E624" i="6"/>
  <c r="E880" i="6"/>
  <c r="E177" i="6"/>
  <c r="E433" i="6"/>
  <c r="E737" i="6"/>
  <c r="E993" i="6"/>
  <c r="E194" i="6"/>
  <c r="E450" i="6"/>
  <c r="E706" i="6"/>
  <c r="E962" i="6"/>
  <c r="E163" i="6"/>
  <c r="E419" i="6"/>
  <c r="E675" i="6"/>
  <c r="E931" i="6"/>
  <c r="E132" i="6"/>
  <c r="E388" i="6"/>
  <c r="E644" i="6"/>
  <c r="E900" i="6"/>
  <c r="E54" i="6"/>
  <c r="E598" i="6"/>
  <c r="E199" i="6"/>
  <c r="E871" i="6"/>
  <c r="G871" i="6" s="1"/>
  <c r="E520" i="6"/>
  <c r="E201" i="6"/>
  <c r="E825" i="6"/>
  <c r="E490" i="6"/>
  <c r="E43" i="6"/>
  <c r="E587" i="6"/>
  <c r="E156" i="6"/>
  <c r="E476" i="6"/>
  <c r="E732" i="6"/>
  <c r="E988" i="6"/>
  <c r="E125" i="6"/>
  <c r="E381" i="6"/>
  <c r="E637" i="6"/>
  <c r="E893" i="6"/>
  <c r="E46" i="6"/>
  <c r="E302" i="6"/>
  <c r="E558" i="6"/>
  <c r="E814" i="6"/>
  <c r="E63" i="6"/>
  <c r="E319" i="6"/>
  <c r="E575" i="6"/>
  <c r="E831" i="6"/>
  <c r="E80" i="6"/>
  <c r="E384" i="6"/>
  <c r="E640" i="6"/>
  <c r="E896" i="6"/>
  <c r="E193" i="6"/>
  <c r="E449" i="6"/>
  <c r="E753" i="6"/>
  <c r="E1009" i="6"/>
  <c r="E210" i="6"/>
  <c r="E466" i="6"/>
  <c r="E722" i="6"/>
  <c r="E978" i="6"/>
  <c r="E179" i="6"/>
  <c r="E435" i="6"/>
  <c r="E691" i="6"/>
  <c r="E947" i="6"/>
  <c r="E148" i="6"/>
  <c r="E404" i="6"/>
  <c r="E660" i="6"/>
  <c r="E916" i="6"/>
  <c r="E70" i="6"/>
  <c r="E614" i="6"/>
  <c r="E215" i="6"/>
  <c r="E903" i="6"/>
  <c r="E536" i="6"/>
  <c r="E233" i="6"/>
  <c r="E344" i="6"/>
  <c r="E506" i="6"/>
  <c r="E59" i="6"/>
  <c r="E603" i="6"/>
  <c r="G603" i="6" s="1"/>
  <c r="E188" i="6"/>
  <c r="G188" i="6" s="1"/>
  <c r="E492" i="6"/>
  <c r="E748" i="6"/>
  <c r="E1004" i="6"/>
  <c r="E141" i="6"/>
  <c r="E397" i="6"/>
  <c r="E653" i="6"/>
  <c r="E909" i="6"/>
  <c r="E62" i="6"/>
  <c r="G62" i="6" s="1"/>
  <c r="E318" i="6"/>
  <c r="E574" i="6"/>
  <c r="E830" i="6"/>
  <c r="G830" i="6" s="1"/>
  <c r="E79" i="6"/>
  <c r="E335" i="6"/>
  <c r="E591" i="6"/>
  <c r="E847" i="6"/>
  <c r="E96" i="6"/>
  <c r="E400" i="6"/>
  <c r="E656" i="6"/>
  <c r="E912" i="6"/>
  <c r="E209" i="6"/>
  <c r="E465" i="6"/>
  <c r="E769" i="6"/>
  <c r="E224" i="6"/>
  <c r="E226" i="6"/>
  <c r="G226" i="6" s="1"/>
  <c r="E482" i="6"/>
  <c r="G482" i="6" s="1"/>
  <c r="E738" i="6"/>
  <c r="G738" i="6" s="1"/>
  <c r="E994" i="6"/>
  <c r="E195" i="6"/>
  <c r="E451" i="6"/>
  <c r="E707" i="6"/>
  <c r="E963" i="6"/>
  <c r="E164" i="6"/>
  <c r="E420" i="6"/>
  <c r="E676" i="6"/>
  <c r="E932" i="6"/>
  <c r="E86" i="6"/>
  <c r="E630" i="6"/>
  <c r="E359" i="6"/>
  <c r="E919" i="6"/>
  <c r="E552" i="6"/>
  <c r="E249" i="6"/>
  <c r="E169" i="6"/>
  <c r="E522" i="6"/>
  <c r="E75" i="6"/>
  <c r="E747" i="6"/>
  <c r="E204" i="6"/>
  <c r="E508" i="6"/>
  <c r="E764" i="6"/>
  <c r="E71" i="6"/>
  <c r="E157" i="6"/>
  <c r="E413" i="6"/>
  <c r="E669" i="6"/>
  <c r="E925" i="6"/>
  <c r="E78" i="6"/>
  <c r="E334" i="6"/>
  <c r="E590" i="6"/>
  <c r="E846" i="6"/>
  <c r="E95" i="6"/>
  <c r="E351" i="6"/>
  <c r="E607" i="6"/>
  <c r="E863" i="6"/>
  <c r="E112" i="6"/>
  <c r="E416" i="6"/>
  <c r="E672" i="6"/>
  <c r="E928" i="6"/>
  <c r="E225" i="6"/>
  <c r="E481" i="6"/>
  <c r="E785" i="6"/>
  <c r="E81" i="6"/>
  <c r="E242" i="6"/>
  <c r="E498" i="6"/>
  <c r="E754" i="6"/>
  <c r="E1010" i="6"/>
  <c r="E211" i="6"/>
  <c r="E467" i="6"/>
  <c r="E723" i="6"/>
  <c r="E979" i="6"/>
  <c r="E180" i="6"/>
  <c r="E436" i="6"/>
  <c r="E692" i="6"/>
  <c r="E948" i="6"/>
  <c r="E102" i="6"/>
  <c r="E646" i="6"/>
  <c r="E391" i="6"/>
  <c r="E935" i="6"/>
  <c r="E568" i="6"/>
  <c r="E457" i="6"/>
  <c r="E313" i="6"/>
  <c r="E538" i="6"/>
  <c r="E91" i="6"/>
  <c r="E779" i="6"/>
  <c r="E220" i="6"/>
  <c r="G220" i="6" s="1"/>
  <c r="E524" i="6"/>
  <c r="G524" i="6" s="1"/>
  <c r="E780" i="6"/>
  <c r="G780" i="6" s="1"/>
  <c r="E312" i="6"/>
  <c r="E173" i="6"/>
  <c r="E429" i="6"/>
  <c r="E685" i="6"/>
  <c r="E941" i="6"/>
  <c r="E94" i="6"/>
  <c r="E350" i="6"/>
  <c r="E606" i="6"/>
  <c r="E862" i="6"/>
  <c r="E111" i="6"/>
  <c r="E367" i="6"/>
  <c r="E623" i="6"/>
  <c r="E879" i="6"/>
  <c r="E128" i="6"/>
  <c r="E432" i="6"/>
  <c r="E688" i="6"/>
  <c r="E944" i="6"/>
  <c r="E241" i="6"/>
  <c r="E497" i="6"/>
  <c r="G497" i="6" s="1"/>
  <c r="E801" i="6"/>
  <c r="E657" i="6"/>
  <c r="G657" i="6" s="1"/>
  <c r="E258" i="6"/>
  <c r="E514" i="6"/>
  <c r="E770" i="6"/>
  <c r="E208" i="6"/>
  <c r="E227" i="6"/>
  <c r="E483" i="6"/>
  <c r="E739" i="6"/>
  <c r="E995" i="6"/>
  <c r="E196" i="6"/>
  <c r="E452" i="6"/>
  <c r="E708" i="6"/>
  <c r="E964" i="6"/>
  <c r="E118" i="6"/>
  <c r="G118" i="6" s="1"/>
  <c r="E790" i="6"/>
  <c r="G790" i="6" s="1"/>
  <c r="E407" i="6"/>
  <c r="E951" i="6"/>
  <c r="E584" i="6"/>
  <c r="E489" i="6"/>
  <c r="E921" i="6"/>
  <c r="E554" i="6"/>
  <c r="E235" i="6"/>
  <c r="E795" i="6"/>
  <c r="G795" i="6" s="1"/>
  <c r="E236" i="6"/>
  <c r="E540" i="6"/>
  <c r="E796" i="6"/>
  <c r="E41" i="6"/>
  <c r="E189" i="6"/>
  <c r="E445" i="6"/>
  <c r="E701" i="6"/>
  <c r="E957" i="6"/>
  <c r="G957" i="6" s="1"/>
  <c r="E110" i="6"/>
  <c r="E366" i="6"/>
  <c r="E622" i="6"/>
  <c r="E878" i="6"/>
  <c r="E127" i="6"/>
  <c r="E383" i="6"/>
  <c r="E639" i="6"/>
  <c r="E895" i="6"/>
  <c r="E144" i="6"/>
  <c r="E448" i="6"/>
  <c r="E704" i="6"/>
  <c r="E960" i="6"/>
  <c r="G960" i="6" s="1"/>
  <c r="E257" i="6"/>
  <c r="E513" i="6"/>
  <c r="G513" i="6" s="1"/>
  <c r="E817" i="6"/>
  <c r="E18" i="6"/>
  <c r="E274" i="6"/>
  <c r="E530" i="6"/>
  <c r="E786" i="6"/>
  <c r="E129" i="6"/>
  <c r="E243" i="6"/>
  <c r="E499" i="6"/>
  <c r="E755" i="6"/>
  <c r="E1011" i="6"/>
  <c r="E212" i="6"/>
  <c r="E468" i="6"/>
  <c r="E724" i="6"/>
  <c r="E980" i="6"/>
  <c r="E134" i="6"/>
  <c r="E822" i="6"/>
  <c r="E423" i="6"/>
  <c r="E967" i="6"/>
  <c r="E728" i="6"/>
  <c r="E505" i="6"/>
  <c r="E26" i="6"/>
  <c r="E570" i="6"/>
  <c r="E267" i="6"/>
  <c r="E811" i="6"/>
  <c r="E252" i="6"/>
  <c r="E556" i="6"/>
  <c r="E812" i="6"/>
  <c r="E121" i="6"/>
  <c r="E205" i="6"/>
  <c r="E461" i="6"/>
  <c r="E717" i="6"/>
  <c r="E973" i="6"/>
  <c r="E126" i="6"/>
  <c r="E382" i="6"/>
  <c r="E638" i="6"/>
  <c r="E894" i="6"/>
  <c r="E143" i="6"/>
  <c r="E399" i="6"/>
  <c r="E655" i="6"/>
  <c r="G655" i="6" s="1"/>
  <c r="E911" i="6"/>
  <c r="E160" i="6"/>
  <c r="E464" i="6"/>
  <c r="E720" i="6"/>
  <c r="E976" i="6"/>
  <c r="E273" i="6"/>
  <c r="G273" i="6" s="1"/>
  <c r="E529" i="6"/>
  <c r="E833" i="6"/>
  <c r="E34" i="6"/>
  <c r="G34" i="6" s="1"/>
  <c r="E290" i="6"/>
  <c r="E546" i="6"/>
  <c r="E802" i="6"/>
  <c r="E641" i="6"/>
  <c r="E259" i="6"/>
  <c r="E515" i="6"/>
  <c r="E771" i="6"/>
  <c r="E176" i="6"/>
  <c r="G176" i="6" s="1"/>
  <c r="E228" i="6"/>
  <c r="G228" i="6" s="1"/>
  <c r="E484" i="6"/>
  <c r="E740" i="6"/>
  <c r="G740" i="6" s="1"/>
  <c r="E996" i="6"/>
  <c r="E278" i="6"/>
  <c r="E838" i="6"/>
  <c r="E439" i="6"/>
  <c r="E983" i="6"/>
  <c r="E760" i="6"/>
  <c r="E521" i="6"/>
  <c r="E42" i="6"/>
  <c r="E714" i="6"/>
  <c r="E283" i="6"/>
  <c r="E827" i="6"/>
  <c r="E268" i="6"/>
  <c r="E572" i="6"/>
  <c r="E828" i="6"/>
  <c r="E217" i="6"/>
  <c r="E221" i="6"/>
  <c r="E477" i="6"/>
  <c r="E733" i="6"/>
  <c r="E989" i="6"/>
  <c r="E142" i="6"/>
  <c r="E398" i="6"/>
  <c r="E654" i="6"/>
  <c r="G654" i="6" s="1"/>
  <c r="E910" i="6"/>
  <c r="E159" i="6"/>
  <c r="E415" i="6"/>
  <c r="E671" i="6"/>
  <c r="E927" i="6"/>
  <c r="E192" i="6"/>
  <c r="E480" i="6"/>
  <c r="E736" i="6"/>
  <c r="E992" i="6"/>
  <c r="E289" i="6"/>
  <c r="E545" i="6"/>
  <c r="E849" i="6"/>
  <c r="E50" i="6"/>
  <c r="E306" i="6"/>
  <c r="E562" i="6"/>
  <c r="E818" i="6"/>
  <c r="E19" i="6"/>
  <c r="E275" i="6"/>
  <c r="E531" i="6"/>
  <c r="E787" i="6"/>
  <c r="E17" i="6"/>
  <c r="G17" i="6" s="1"/>
  <c r="E244" i="6"/>
  <c r="E500" i="6"/>
  <c r="E756" i="6"/>
  <c r="E310" i="6"/>
  <c r="E854" i="6"/>
  <c r="G854" i="6" s="1"/>
  <c r="E455" i="6"/>
  <c r="G455" i="6" s="1"/>
  <c r="E152" i="6"/>
  <c r="E776" i="6"/>
  <c r="E537" i="6"/>
  <c r="E58" i="6"/>
  <c r="E746" i="6"/>
  <c r="E299" i="6"/>
  <c r="E843" i="6"/>
  <c r="E332" i="6"/>
  <c r="E588" i="6"/>
  <c r="E844" i="6"/>
  <c r="E361" i="6"/>
  <c r="E237" i="6"/>
  <c r="E493" i="6"/>
  <c r="E749" i="6"/>
  <c r="E1005" i="6"/>
  <c r="E158" i="6"/>
  <c r="E414" i="6"/>
  <c r="E670" i="6"/>
  <c r="E926" i="6"/>
  <c r="E175" i="6"/>
  <c r="E431" i="6"/>
  <c r="E687" i="6"/>
  <c r="E943" i="6"/>
  <c r="E240" i="6"/>
  <c r="E496" i="6"/>
  <c r="E752" i="6"/>
  <c r="E1008" i="6"/>
  <c r="E305" i="6"/>
  <c r="E561" i="6"/>
  <c r="E865" i="6"/>
  <c r="E66" i="6"/>
  <c r="G66" i="6" s="1"/>
  <c r="E322" i="6"/>
  <c r="E578" i="6"/>
  <c r="E834" i="6"/>
  <c r="E35" i="6"/>
  <c r="E291" i="6"/>
  <c r="E547" i="6"/>
  <c r="E803" i="6"/>
  <c r="E609" i="6"/>
  <c r="E260" i="6"/>
  <c r="E516" i="6"/>
  <c r="E772" i="6"/>
  <c r="E613" i="6"/>
  <c r="E326" i="6"/>
  <c r="G326" i="6" s="1"/>
  <c r="E870" i="6"/>
  <c r="E471" i="6"/>
  <c r="E184" i="6"/>
  <c r="E792" i="6"/>
  <c r="E553" i="6"/>
  <c r="E202" i="6"/>
  <c r="E762" i="6"/>
  <c r="E315" i="6"/>
  <c r="G315" i="6" s="1"/>
  <c r="E859" i="6"/>
  <c r="E348" i="6"/>
  <c r="E604" i="6"/>
  <c r="E860" i="6"/>
  <c r="G860" i="6" s="1"/>
  <c r="E953" i="6"/>
  <c r="G953" i="6" s="1"/>
  <c r="E253" i="6"/>
  <c r="E509" i="6"/>
  <c r="E765" i="6"/>
  <c r="E23" i="6"/>
  <c r="E174" i="6"/>
  <c r="E430" i="6"/>
  <c r="E686" i="6"/>
  <c r="E942" i="6"/>
  <c r="E191" i="6"/>
  <c r="E447" i="6"/>
  <c r="E703" i="6"/>
  <c r="G703" i="6" s="1"/>
  <c r="E959" i="6"/>
  <c r="E256" i="6"/>
  <c r="E512" i="6"/>
  <c r="E768" i="6"/>
  <c r="E33" i="6"/>
  <c r="G33" i="6" s="1"/>
  <c r="E321" i="6"/>
  <c r="E577" i="6"/>
  <c r="E881" i="6"/>
  <c r="G881" i="6" s="1"/>
  <c r="E82" i="6"/>
  <c r="E338" i="6"/>
  <c r="E594" i="6"/>
  <c r="E850" i="6"/>
  <c r="E51" i="6"/>
  <c r="E307" i="6"/>
  <c r="E563" i="6"/>
  <c r="E819" i="6"/>
  <c r="G819" i="6" s="1"/>
  <c r="E20" i="6"/>
  <c r="E276" i="6"/>
  <c r="E532" i="6"/>
  <c r="E788" i="6"/>
  <c r="E677" i="6"/>
  <c r="E374" i="6"/>
  <c r="E103" i="6"/>
  <c r="E663" i="6"/>
  <c r="E232" i="6"/>
  <c r="E840" i="6"/>
  <c r="E745" i="6"/>
  <c r="E266" i="6"/>
  <c r="E810" i="6"/>
  <c r="E491" i="6"/>
  <c r="G491" i="6" s="1"/>
  <c r="E105" i="6"/>
  <c r="E396" i="6"/>
  <c r="E652" i="6"/>
  <c r="E908" i="6"/>
  <c r="E45" i="6"/>
  <c r="E301" i="6"/>
  <c r="E557" i="6"/>
  <c r="E813" i="6"/>
  <c r="E137" i="6"/>
  <c r="E222" i="6"/>
  <c r="E478" i="6"/>
  <c r="E734" i="6"/>
  <c r="E990" i="6"/>
  <c r="E239" i="6"/>
  <c r="E495" i="6"/>
  <c r="E751" i="6"/>
  <c r="E1007" i="6"/>
  <c r="E304" i="6"/>
  <c r="E560" i="6"/>
  <c r="E816" i="6"/>
  <c r="E97" i="6"/>
  <c r="E369" i="6"/>
  <c r="E673" i="6"/>
  <c r="E929" i="6"/>
  <c r="E130" i="6"/>
  <c r="E386" i="6"/>
  <c r="E642" i="6"/>
  <c r="E898" i="6"/>
  <c r="E99" i="6"/>
  <c r="E355" i="6"/>
  <c r="G355" i="6" s="1"/>
  <c r="E611" i="6"/>
  <c r="E867" i="6"/>
  <c r="E68" i="6"/>
  <c r="E324" i="6"/>
  <c r="E580" i="6"/>
  <c r="E836" i="6"/>
  <c r="E693" i="6"/>
  <c r="E390" i="6"/>
  <c r="E135" i="6"/>
  <c r="E679" i="6"/>
  <c r="E248" i="6"/>
  <c r="E984" i="6"/>
  <c r="E761" i="6"/>
  <c r="E282" i="6"/>
  <c r="E826" i="6"/>
  <c r="E523" i="6"/>
  <c r="E185" i="6"/>
  <c r="E412" i="6"/>
  <c r="E668" i="6"/>
  <c r="E924" i="6"/>
  <c r="E61" i="6"/>
  <c r="E317" i="6"/>
  <c r="E573" i="6"/>
  <c r="E829" i="6"/>
  <c r="E297" i="6"/>
  <c r="E238" i="6"/>
  <c r="E494" i="6"/>
  <c r="E750" i="6"/>
  <c r="E1006" i="6"/>
  <c r="E255" i="6"/>
  <c r="E511" i="6"/>
  <c r="E767" i="6"/>
  <c r="E16" i="6"/>
  <c r="E320" i="6"/>
  <c r="E576" i="6"/>
  <c r="E832" i="6"/>
  <c r="G832" i="6" s="1"/>
  <c r="E113" i="6"/>
  <c r="E385" i="6"/>
  <c r="E689" i="6"/>
  <c r="E945" i="6"/>
  <c r="E146" i="6"/>
  <c r="E402" i="6"/>
  <c r="E658" i="6"/>
  <c r="E914" i="6"/>
  <c r="E115" i="6"/>
  <c r="E371" i="6"/>
  <c r="E627" i="6"/>
  <c r="G627" i="6" s="1"/>
  <c r="E883" i="6"/>
  <c r="G883" i="6" s="1"/>
  <c r="E84" i="6"/>
  <c r="E340" i="6"/>
  <c r="E596" i="6"/>
  <c r="E852" i="6"/>
  <c r="G852" i="6" s="1"/>
  <c r="E886" i="6"/>
  <c r="E569" i="6"/>
  <c r="E1003" i="6"/>
  <c r="E13" i="6"/>
  <c r="E360" i="6"/>
  <c r="E958" i="6"/>
  <c r="E975" i="6"/>
  <c r="E49" i="6"/>
  <c r="E98" i="6"/>
  <c r="E67" i="6"/>
  <c r="E36" i="6"/>
  <c r="G36" i="6" s="1"/>
  <c r="E620" i="6"/>
  <c r="E684" i="6"/>
  <c r="E851" i="6"/>
  <c r="E534" i="6"/>
  <c r="E961" i="6"/>
  <c r="G961" i="6" s="1"/>
  <c r="E915" i="6"/>
  <c r="E902" i="6"/>
  <c r="G902" i="6" s="1"/>
  <c r="E713" i="6"/>
  <c r="G713" i="6" s="1"/>
  <c r="E25" i="6"/>
  <c r="E29" i="6"/>
  <c r="E57" i="6"/>
  <c r="E974" i="6"/>
  <c r="E991" i="6"/>
  <c r="E65" i="6"/>
  <c r="E114" i="6"/>
  <c r="E83" i="6"/>
  <c r="E52" i="6"/>
  <c r="E446" i="6"/>
  <c r="E970" i="6"/>
  <c r="E543" i="6"/>
  <c r="E820" i="6"/>
  <c r="E930" i="6"/>
  <c r="E782" i="6"/>
  <c r="E151" i="6"/>
  <c r="E777" i="6"/>
  <c r="E329" i="6"/>
  <c r="E77" i="6"/>
  <c r="E889" i="6"/>
  <c r="E15" i="6"/>
  <c r="G15" i="6" s="1"/>
  <c r="E32" i="6"/>
  <c r="E145" i="6"/>
  <c r="E162" i="6"/>
  <c r="E131" i="6"/>
  <c r="E100" i="6"/>
  <c r="E463" i="6"/>
  <c r="E264" i="6"/>
  <c r="G264" i="6" s="1"/>
  <c r="E510" i="6"/>
  <c r="E612" i="6"/>
  <c r="E868" i="6"/>
  <c r="E89" i="6"/>
  <c r="E167" i="6"/>
  <c r="G167" i="6" s="1"/>
  <c r="E793" i="6"/>
  <c r="E905" i="6"/>
  <c r="E93" i="6"/>
  <c r="E14" i="6"/>
  <c r="E31" i="6"/>
  <c r="E48" i="6"/>
  <c r="E161" i="6"/>
  <c r="E178" i="6"/>
  <c r="E147" i="6"/>
  <c r="E116" i="6"/>
  <c r="E528" i="6"/>
  <c r="E643" i="6"/>
  <c r="E608" i="6"/>
  <c r="E800" i="6"/>
  <c r="E783" i="6"/>
  <c r="E566" i="6"/>
  <c r="E615" i="6"/>
  <c r="E234" i="6"/>
  <c r="E364" i="6"/>
  <c r="E269" i="6"/>
  <c r="E190" i="6"/>
  <c r="G190" i="6" s="1"/>
  <c r="E207" i="6"/>
  <c r="E272" i="6"/>
  <c r="E337" i="6"/>
  <c r="E354" i="6"/>
  <c r="E323" i="6"/>
  <c r="E292" i="6"/>
  <c r="E593" i="6"/>
  <c r="E709" i="6"/>
  <c r="E527" i="6"/>
  <c r="E725" i="6"/>
  <c r="E690" i="6"/>
  <c r="E735" i="6"/>
  <c r="E940" i="6"/>
  <c r="G940" i="6" s="1"/>
  <c r="E861" i="6"/>
  <c r="E884" i="6"/>
  <c r="E647" i="6"/>
  <c r="E250" i="6"/>
  <c r="E380" i="6"/>
  <c r="E285" i="6"/>
  <c r="E206" i="6"/>
  <c r="E223" i="6"/>
  <c r="E288" i="6"/>
  <c r="E353" i="6"/>
  <c r="G353" i="6" s="1"/>
  <c r="E370" i="6"/>
  <c r="E339" i="6"/>
  <c r="G339" i="6" s="1"/>
  <c r="E308" i="6"/>
  <c r="E592" i="6"/>
  <c r="E1002" i="6"/>
  <c r="E526" i="6"/>
  <c r="G526" i="6" s="1"/>
  <c r="E797" i="6"/>
  <c r="E766" i="6"/>
  <c r="E695" i="6"/>
  <c r="E298" i="6"/>
  <c r="E428" i="6"/>
  <c r="E333" i="6"/>
  <c r="E254" i="6"/>
  <c r="E271" i="6"/>
  <c r="E336" i="6"/>
  <c r="G336" i="6" s="1"/>
  <c r="E401" i="6"/>
  <c r="E418" i="6"/>
  <c r="E387" i="6"/>
  <c r="E356" i="6"/>
  <c r="E705" i="6"/>
  <c r="E472" i="6"/>
  <c r="E882" i="6"/>
  <c r="E799" i="6"/>
  <c r="E711" i="6"/>
  <c r="E314" i="6"/>
  <c r="E444" i="6"/>
  <c r="E349" i="6"/>
  <c r="E270" i="6"/>
  <c r="E287" i="6"/>
  <c r="E352" i="6"/>
  <c r="E417" i="6"/>
  <c r="E434" i="6"/>
  <c r="E403" i="6"/>
  <c r="E372" i="6"/>
  <c r="E200" i="6"/>
  <c r="E525" i="6"/>
  <c r="E610" i="6"/>
  <c r="G610" i="6" s="1"/>
  <c r="E579" i="6"/>
  <c r="E548" i="6"/>
  <c r="E589" i="6"/>
  <c r="E674" i="6"/>
  <c r="E605" i="6"/>
  <c r="E659" i="6"/>
  <c r="E892" i="6"/>
  <c r="E539" i="6"/>
  <c r="E956" i="6"/>
  <c r="E645" i="6"/>
  <c r="G645" i="6" s="1"/>
  <c r="E778" i="6"/>
  <c r="G778" i="6" s="1"/>
  <c r="E555" i="6"/>
  <c r="E661" i="6"/>
  <c r="E216" i="6"/>
  <c r="E794" i="6"/>
  <c r="E636" i="6"/>
  <c r="E541" i="6"/>
  <c r="E462" i="6"/>
  <c r="E479" i="6"/>
  <c r="E544" i="6"/>
  <c r="E625" i="6"/>
  <c r="E626" i="6"/>
  <c r="E595" i="6"/>
  <c r="E564" i="6"/>
  <c r="E700" i="6"/>
  <c r="E628" i="6"/>
  <c r="E347" i="6"/>
  <c r="E845" i="6"/>
  <c r="E977" i="6"/>
  <c r="E721" i="6"/>
  <c r="E848" i="6"/>
  <c r="E946" i="6"/>
  <c r="E342" i="6"/>
  <c r="E808" i="6"/>
  <c r="E331" i="6"/>
  <c r="E876" i="6"/>
  <c r="E781" i="6"/>
  <c r="E702" i="6"/>
  <c r="G702" i="6" s="1"/>
  <c r="E719" i="6"/>
  <c r="E784" i="6"/>
  <c r="E897" i="6"/>
  <c r="E866" i="6"/>
  <c r="E835" i="6"/>
  <c r="E804" i="6"/>
  <c r="E358" i="6"/>
  <c r="E824" i="6"/>
  <c r="E718" i="6"/>
  <c r="E913" i="6"/>
  <c r="E72" i="6"/>
  <c r="G72" i="6" s="1"/>
  <c r="E899" i="6"/>
  <c r="E864" i="6"/>
  <c r="F26" i="4" a="1"/>
  <c r="F53" i="4" s="1"/>
  <c r="E61" i="4"/>
  <c r="E42" i="4"/>
  <c r="E60" i="4"/>
  <c r="E52" i="4"/>
  <c r="E51" i="4"/>
  <c r="E47" i="4"/>
  <c r="E58" i="4"/>
  <c r="E36" i="4"/>
  <c r="E32" i="4"/>
  <c r="E56" i="4"/>
  <c r="E63" i="4"/>
  <c r="E37" i="4"/>
  <c r="E49" i="4"/>
  <c r="E30" i="4"/>
  <c r="E46" i="4"/>
  <c r="E55" i="4"/>
  <c r="E28" i="4"/>
  <c r="E50" i="4"/>
  <c r="E57" i="4"/>
  <c r="E43" i="4"/>
  <c r="E59" i="4"/>
  <c r="E31" i="4"/>
  <c r="E44" i="4"/>
  <c r="E39" i="4"/>
  <c r="E62" i="4"/>
  <c r="E45" i="4"/>
  <c r="E38" i="4"/>
  <c r="E29" i="4"/>
  <c r="E27" i="4"/>
  <c r="E65" i="4"/>
  <c r="E34" i="4"/>
  <c r="E33" i="4"/>
  <c r="E48" i="4"/>
  <c r="E64" i="4"/>
  <c r="E53" i="4"/>
  <c r="E26" i="4"/>
  <c r="E41" i="4"/>
  <c r="E35" i="4"/>
  <c r="E54" i="4"/>
  <c r="E66" i="4"/>
  <c r="E40" i="4"/>
  <c r="F331" i="3"/>
  <c r="G331" i="3" s="1"/>
  <c r="F321" i="3"/>
  <c r="F342" i="3"/>
  <c r="F338" i="3"/>
  <c r="G338" i="3" s="1"/>
  <c r="F311" i="3"/>
  <c r="F345" i="3"/>
  <c r="F319" i="3"/>
  <c r="G319" i="3" s="1"/>
  <c r="F349" i="3"/>
  <c r="G349" i="3" s="1"/>
  <c r="F335" i="3"/>
  <c r="F340" i="3"/>
  <c r="F326" i="3"/>
  <c r="G326" i="3" s="1"/>
  <c r="F343" i="3"/>
  <c r="F313" i="3"/>
  <c r="G313" i="3" s="1"/>
  <c r="F339" i="3"/>
  <c r="F333" i="3"/>
  <c r="G333" i="3" s="1"/>
  <c r="F332" i="3"/>
  <c r="F320" i="3"/>
  <c r="F334" i="3"/>
  <c r="F318" i="3"/>
  <c r="F329" i="3"/>
  <c r="F322" i="3"/>
  <c r="F348" i="3"/>
  <c r="F328" i="3"/>
  <c r="F315" i="3"/>
  <c r="F337" i="3"/>
  <c r="F341" i="3"/>
  <c r="F327" i="3"/>
  <c r="F312" i="3"/>
  <c r="F314" i="3"/>
  <c r="G314" i="3" s="1"/>
  <c r="F325" i="3"/>
  <c r="F344" i="3"/>
  <c r="G344" i="3" s="1"/>
  <c r="F317" i="3"/>
  <c r="G317" i="3" s="1"/>
  <c r="F350" i="3"/>
  <c r="G350" i="3" s="1"/>
  <c r="F330" i="3"/>
  <c r="F351" i="3"/>
  <c r="F347" i="3"/>
  <c r="G347" i="3" s="1"/>
  <c r="F324" i="3"/>
  <c r="F346" i="3"/>
  <c r="G346" i="3" s="1"/>
  <c r="F336" i="3"/>
  <c r="F316" i="3"/>
  <c r="G316" i="3" s="1"/>
  <c r="F323" i="3"/>
  <c r="G323" i="3" s="1"/>
  <c r="I175" i="6" l="1"/>
  <c r="J174" i="6"/>
  <c r="G207" i="6"/>
  <c r="G484" i="6"/>
  <c r="G283" i="6"/>
  <c r="G727" i="6"/>
  <c r="G864" i="6"/>
  <c r="G900" i="6"/>
  <c r="G457" i="6"/>
  <c r="G478" i="6"/>
  <c r="G560" i="6"/>
  <c r="G349" i="6"/>
  <c r="G241" i="6"/>
  <c r="G889" i="6"/>
  <c r="G974" i="6"/>
  <c r="G103" i="6"/>
  <c r="G577" i="6"/>
  <c r="G971" i="6"/>
  <c r="G213" i="6"/>
  <c r="G986" i="6"/>
  <c r="G690" i="6"/>
  <c r="G693" i="6"/>
  <c r="G96" i="6"/>
  <c r="G963" i="6"/>
  <c r="G134" i="6"/>
  <c r="G653" i="6"/>
  <c r="G897" i="6"/>
  <c r="G964" i="6"/>
  <c r="G908" i="6"/>
  <c r="G169" i="6"/>
  <c r="G187" i="6"/>
  <c r="G328" i="6"/>
  <c r="G859" i="6"/>
  <c r="G67" i="6"/>
  <c r="G115" i="6"/>
  <c r="G356" i="6"/>
  <c r="G151" i="6"/>
  <c r="G156" i="6"/>
  <c r="G114" i="6"/>
  <c r="G371" i="6"/>
  <c r="G706" i="6"/>
  <c r="G891" i="6"/>
  <c r="G201" i="6"/>
  <c r="G475" i="6"/>
  <c r="G875" i="6"/>
  <c r="G79" i="6"/>
  <c r="G488" i="6"/>
  <c r="G605" i="6"/>
  <c r="G367" i="6"/>
  <c r="G598" i="6"/>
  <c r="G887" i="6"/>
  <c r="G922" i="6"/>
  <c r="G920" i="6"/>
  <c r="G856" i="6"/>
  <c r="G403" i="6"/>
  <c r="G930" i="6"/>
  <c r="G886" i="6"/>
  <c r="G580" i="6"/>
  <c r="G652" i="6"/>
  <c r="G431" i="6"/>
  <c r="G760" i="6"/>
  <c r="G426" i="6"/>
  <c r="G424" i="6"/>
  <c r="G263" i="6"/>
  <c r="G596" i="6"/>
  <c r="G563" i="6"/>
  <c r="G447" i="6"/>
  <c r="G707" i="6"/>
  <c r="G473" i="6"/>
  <c r="G343" i="6"/>
  <c r="G601" i="6"/>
  <c r="G438" i="6"/>
  <c r="G810" i="6"/>
  <c r="G849" i="6"/>
  <c r="G477" i="6"/>
  <c r="G466" i="6"/>
  <c r="G511" i="6"/>
  <c r="G745" i="6"/>
  <c r="G430" i="6"/>
  <c r="G812" i="6"/>
  <c r="G393" i="6"/>
  <c r="G444" i="6"/>
  <c r="G464" i="6"/>
  <c r="G483" i="6"/>
  <c r="G249" i="6"/>
  <c r="G411" i="6"/>
  <c r="G884" i="6"/>
  <c r="G480" i="6"/>
  <c r="G499" i="6"/>
  <c r="G541" i="6"/>
  <c r="G882" i="6"/>
  <c r="G813" i="6"/>
  <c r="G461" i="6"/>
  <c r="G360" i="6"/>
  <c r="G329" i="3"/>
  <c r="G532" i="6"/>
  <c r="G728" i="6"/>
  <c r="G407" i="6"/>
  <c r="G753" i="6"/>
  <c r="G104" i="6"/>
  <c r="G110" i="6"/>
  <c r="G427" i="6"/>
  <c r="G124" i="6"/>
  <c r="G811" i="6"/>
  <c r="G751" i="6"/>
  <c r="G731" i="6"/>
  <c r="G700" i="6"/>
  <c r="G874" i="6"/>
  <c r="G800" i="6"/>
  <c r="G928" i="6"/>
  <c r="G336" i="3"/>
  <c r="G733" i="6"/>
  <c r="G686" i="6"/>
  <c r="G405" i="6"/>
  <c r="G95" i="6"/>
  <c r="G698" i="6"/>
  <c r="G696" i="6"/>
  <c r="G107" i="6"/>
  <c r="G108" i="6"/>
  <c r="G365" i="6"/>
  <c r="G442" i="6"/>
  <c r="G440" i="6"/>
  <c r="G406" i="6"/>
  <c r="G821" i="6"/>
  <c r="G381" i="6"/>
  <c r="G544" i="6"/>
  <c r="G98" i="6"/>
  <c r="G561" i="6"/>
  <c r="G736" i="6"/>
  <c r="G252" i="6"/>
  <c r="G755" i="6"/>
  <c r="G597" i="6"/>
  <c r="G230" i="6"/>
  <c r="G155" i="6"/>
  <c r="G984" i="6"/>
  <c r="G266" i="6"/>
  <c r="G750" i="6"/>
  <c r="G799" i="6"/>
  <c r="G797" i="6"/>
  <c r="G93" i="6"/>
  <c r="G494" i="6"/>
  <c r="G769" i="6"/>
  <c r="G716" i="6"/>
  <c r="G57" i="6"/>
  <c r="G878" i="6"/>
  <c r="G925" i="6"/>
  <c r="G388" i="6"/>
  <c r="G460" i="6"/>
  <c r="G378" i="6"/>
  <c r="G37" i="6"/>
  <c r="G786" i="6"/>
  <c r="G669" i="6"/>
  <c r="G376" i="6"/>
  <c r="G767" i="6"/>
  <c r="G793" i="6"/>
  <c r="G329" i="6"/>
  <c r="G705" i="6"/>
  <c r="G829" i="6"/>
  <c r="G788" i="6"/>
  <c r="G332" i="6"/>
  <c r="G951" i="6"/>
  <c r="G409" i="6"/>
  <c r="G422" i="6"/>
  <c r="G101" i="6"/>
  <c r="G312" i="3"/>
  <c r="G205" i="6"/>
  <c r="G869" i="6"/>
  <c r="G281" i="6"/>
  <c r="G335" i="6"/>
  <c r="G343" i="3"/>
  <c r="G400" i="6"/>
  <c r="G839" i="6"/>
  <c r="G549" i="6"/>
  <c r="G972" i="6"/>
  <c r="G694" i="6"/>
  <c r="G844" i="6"/>
  <c r="G379" i="6"/>
  <c r="G141" i="6"/>
  <c r="G325" i="3"/>
  <c r="G932" i="6"/>
  <c r="G885" i="6"/>
  <c r="G418" i="6"/>
  <c r="G709" i="6"/>
  <c r="G608" i="6"/>
  <c r="G612" i="6"/>
  <c r="G61" i="6"/>
  <c r="G959" i="6"/>
  <c r="G746" i="6"/>
  <c r="G817" i="6"/>
  <c r="G692" i="6"/>
  <c r="G764" i="6"/>
  <c r="G855" i="6"/>
  <c r="G901" i="6"/>
  <c r="G581" i="6"/>
  <c r="G149" i="6"/>
  <c r="G543" i="6"/>
  <c r="G926" i="6"/>
  <c r="G717" i="6"/>
  <c r="G180" i="6"/>
  <c r="G401" i="6"/>
  <c r="G158" i="6"/>
  <c r="G351" i="6"/>
  <c r="G775" i="6"/>
  <c r="G955" i="6"/>
  <c r="G720" i="6"/>
  <c r="G144" i="6"/>
  <c r="G739" i="6"/>
  <c r="G962" i="6"/>
  <c r="G734" i="6"/>
  <c r="G486" i="6"/>
  <c r="G647" i="6"/>
  <c r="G870" i="6"/>
  <c r="G642" i="6"/>
  <c r="G82" i="6"/>
  <c r="G919" i="6"/>
  <c r="G781" i="6"/>
  <c r="G298" i="6"/>
  <c r="G899" i="6"/>
  <c r="G770" i="6"/>
  <c r="G772" i="6"/>
  <c r="G789" i="6"/>
  <c r="G943" i="6"/>
  <c r="G396" i="6"/>
  <c r="G863" i="6"/>
  <c r="G923" i="6"/>
  <c r="G945" i="6"/>
  <c r="G826" i="6"/>
  <c r="G763" i="6"/>
  <c r="G437" i="6"/>
  <c r="G232" i="6"/>
  <c r="G905" i="6"/>
  <c r="G253" i="6"/>
  <c r="G934" i="6"/>
  <c r="G470" i="6"/>
  <c r="G970" i="6"/>
  <c r="G245" i="6"/>
  <c r="G91" i="6"/>
  <c r="G737" i="6"/>
  <c r="G452" i="6"/>
  <c r="G160" i="6"/>
  <c r="G31" i="6"/>
  <c r="G867" i="6"/>
  <c r="G711" i="6"/>
  <c r="G456" i="6"/>
  <c r="G392" i="6"/>
  <c r="G117" i="6"/>
  <c r="G383" i="6"/>
  <c r="G806" i="6"/>
  <c r="G143" i="6"/>
  <c r="G325" i="6"/>
  <c r="G216" i="6"/>
  <c r="G937" i="6"/>
  <c r="G725" i="6"/>
  <c r="G262" i="6"/>
  <c r="G261" i="6"/>
  <c r="G967" i="6"/>
  <c r="G783" i="6"/>
  <c r="G802" i="6"/>
  <c r="G766" i="6"/>
  <c r="G721" i="6"/>
  <c r="G318" i="3"/>
  <c r="G316" i="6"/>
  <c r="G909" i="6"/>
  <c r="G84" i="6"/>
  <c r="G51" i="6"/>
  <c r="G774" i="6"/>
  <c r="G791" i="6"/>
  <c r="G231" i="6"/>
  <c r="G862" i="6"/>
  <c r="G322" i="6"/>
  <c r="G314" i="6"/>
  <c r="G285" i="6"/>
  <c r="G274" i="6"/>
  <c r="G186" i="6"/>
  <c r="G276" i="6"/>
  <c r="G224" i="6"/>
  <c r="G204" i="6"/>
  <c r="G120" i="6"/>
  <c r="G191" i="6"/>
  <c r="G171" i="6"/>
  <c r="G917" i="6"/>
  <c r="G449" i="6"/>
  <c r="G345" i="6"/>
  <c r="G162" i="6"/>
  <c r="G174" i="6"/>
  <c r="G873" i="6"/>
  <c r="G443" i="6"/>
  <c r="G32" i="6"/>
  <c r="G215" i="6"/>
  <c r="G710" i="6"/>
  <c r="G880" i="6"/>
  <c r="G200" i="6"/>
  <c r="G323" i="6"/>
  <c r="G271" i="6"/>
  <c r="G87" i="6"/>
  <c r="G202" i="6"/>
  <c r="G237" i="6"/>
  <c r="G982" i="6"/>
  <c r="G138" i="6"/>
  <c r="G432" i="6"/>
  <c r="G277" i="6"/>
  <c r="G380" i="6"/>
  <c r="G719" i="6"/>
  <c r="G255" i="6"/>
  <c r="G339" i="3"/>
  <c r="G199" i="6"/>
  <c r="G248" i="6"/>
  <c r="G193" i="6"/>
  <c r="G125" i="6"/>
  <c r="G217" i="6"/>
  <c r="G975" i="6"/>
  <c r="G958" i="6"/>
  <c r="G374" i="6"/>
  <c r="G935" i="6"/>
  <c r="G814" i="6"/>
  <c r="G29" i="6"/>
  <c r="G673" i="6"/>
  <c r="G677" i="6"/>
  <c r="G12" i="6"/>
  <c r="G968" i="6"/>
  <c r="G181" i="6"/>
  <c r="G221" i="6"/>
  <c r="G879" i="6"/>
  <c r="G941" i="6"/>
  <c r="G300" i="6"/>
  <c r="G89" i="6"/>
  <c r="G157" i="6"/>
  <c r="G18" i="6"/>
  <c r="G629" i="6"/>
  <c r="G210" i="6"/>
  <c r="G279" i="6"/>
  <c r="G966" i="6"/>
  <c r="G372" i="6"/>
  <c r="G385" i="6"/>
  <c r="G164" i="6"/>
  <c r="G906" i="6"/>
  <c r="G904" i="6"/>
  <c r="G286" i="6"/>
  <c r="G977" i="6"/>
  <c r="G847" i="6"/>
  <c r="G626" i="6"/>
  <c r="G299" i="6"/>
  <c r="G142" i="6"/>
  <c r="G833" i="6"/>
  <c r="G521" i="6"/>
  <c r="G20" i="6"/>
  <c r="G320" i="6"/>
  <c r="G446" i="6"/>
  <c r="G796" i="6"/>
  <c r="G196" i="6"/>
  <c r="G195" i="6"/>
  <c r="G744" i="6"/>
  <c r="G699" i="6"/>
  <c r="G792" i="6"/>
  <c r="G840" i="6"/>
  <c r="G911" i="6"/>
  <c r="G454" i="6"/>
  <c r="G402" i="6"/>
  <c r="G916" i="6"/>
  <c r="G251" i="6"/>
  <c r="G280" i="6"/>
  <c r="G150" i="6"/>
  <c r="G749" i="6"/>
  <c r="G345" i="3"/>
  <c r="G259" i="6"/>
  <c r="G391" i="6"/>
  <c r="G209" i="6"/>
  <c r="G893" i="6"/>
  <c r="G240" i="6"/>
  <c r="G894" i="6"/>
  <c r="G366" i="6"/>
  <c r="G40" i="6"/>
  <c r="G858" i="6"/>
  <c r="G265" i="6"/>
  <c r="G838" i="6"/>
  <c r="G842" i="6"/>
  <c r="G689" i="6"/>
  <c r="G97" i="6"/>
  <c r="G604" i="6"/>
  <c r="G290" i="6"/>
  <c r="G173" i="6"/>
  <c r="G43" i="6"/>
  <c r="G140" i="6"/>
  <c r="G933" i="6"/>
  <c r="G453" i="6"/>
  <c r="G416" i="6"/>
  <c r="G292" i="6"/>
  <c r="G105" i="6"/>
  <c r="G28" i="6"/>
  <c r="G412" i="6"/>
  <c r="G670" i="6"/>
  <c r="G287" i="6"/>
  <c r="G892" i="6"/>
  <c r="G518" i="6"/>
  <c r="G332" i="3"/>
  <c r="G876" i="6"/>
  <c r="G828" i="6"/>
  <c r="G235" i="6"/>
  <c r="G617" i="6"/>
  <c r="G21" i="6"/>
  <c r="G589" i="6"/>
  <c r="G548" i="6"/>
  <c r="G861" i="6"/>
  <c r="G658" i="6"/>
  <c r="G361" i="6"/>
  <c r="G268" i="6"/>
  <c r="G771" i="6"/>
  <c r="G243" i="6"/>
  <c r="G359" i="6"/>
  <c r="G198" i="6"/>
  <c r="G421" i="6"/>
  <c r="G24" i="6"/>
  <c r="G846" i="6"/>
  <c r="G948" i="6"/>
  <c r="G99" i="6"/>
  <c r="G765" i="6"/>
  <c r="G907" i="6"/>
  <c r="G579" i="6"/>
  <c r="G679" i="6"/>
  <c r="G929" i="6"/>
  <c r="G752" i="6"/>
  <c r="G827" i="6"/>
  <c r="G515" i="6"/>
  <c r="G399" i="6"/>
  <c r="G129" i="6"/>
  <c r="G465" i="6"/>
  <c r="G807" i="6"/>
  <c r="G471" i="6"/>
  <c r="G100" i="6"/>
  <c r="G404" i="6"/>
  <c r="G282" i="6"/>
  <c r="G111" i="6"/>
  <c r="G147" i="6"/>
  <c r="G843" i="6"/>
  <c r="G759" i="6"/>
  <c r="G850" i="6"/>
  <c r="G762" i="6"/>
  <c r="G439" i="6"/>
  <c r="G474" i="6"/>
  <c r="G278" i="6"/>
  <c r="G408" i="6"/>
  <c r="G479" i="6"/>
  <c r="G375" i="6"/>
  <c r="G410" i="6"/>
  <c r="G481" i="6"/>
  <c r="G448" i="6"/>
  <c r="G344" i="6"/>
  <c r="G723" i="6"/>
  <c r="G485" i="6"/>
  <c r="G946" i="6"/>
  <c r="G472" i="6"/>
  <c r="G615" i="6"/>
  <c r="G496" i="6"/>
  <c r="G584" i="6"/>
  <c r="G785" i="6"/>
  <c r="G732" i="6"/>
  <c r="G132" i="6"/>
  <c r="G64" i="6"/>
  <c r="G122" i="6"/>
  <c r="G981" i="6"/>
  <c r="G914" i="6"/>
  <c r="G947" i="6"/>
  <c r="G831" i="6"/>
  <c r="G743" i="6"/>
  <c r="G218" i="6"/>
  <c r="G152" i="6"/>
  <c r="G949" i="6"/>
  <c r="G311" i="6"/>
  <c r="G327" i="3"/>
  <c r="G848" i="6"/>
  <c r="G794" i="6"/>
  <c r="G592" i="6"/>
  <c r="G25" i="6"/>
  <c r="G714" i="6"/>
  <c r="G413" i="6"/>
  <c r="G384" i="6"/>
  <c r="G476" i="6"/>
  <c r="G931" i="6"/>
  <c r="G815" i="6"/>
  <c r="G712" i="6"/>
  <c r="G229" i="6"/>
  <c r="G330" i="6"/>
  <c r="G877" i="6"/>
  <c r="G302" i="6"/>
  <c r="G340" i="3"/>
  <c r="G824" i="6"/>
  <c r="G685" i="6"/>
  <c r="G676" i="6"/>
  <c r="G53" i="6"/>
  <c r="G238" i="6"/>
  <c r="G527" i="6"/>
  <c r="G868" i="6"/>
  <c r="G569" i="6"/>
  <c r="G317" i="6"/>
  <c r="G546" i="6"/>
  <c r="G429" i="6"/>
  <c r="G458" i="6"/>
  <c r="G346" i="6"/>
  <c r="G915" i="6"/>
  <c r="G423" i="6"/>
  <c r="G163" i="6"/>
  <c r="G357" i="6"/>
  <c r="G318" i="6"/>
  <c r="G145" i="6"/>
  <c r="G433" i="6"/>
  <c r="G212" i="6"/>
  <c r="G305" i="6"/>
  <c r="G269" i="6"/>
  <c r="G272" i="6"/>
  <c r="G168" i="6"/>
  <c r="G239" i="6"/>
  <c r="G219" i="6"/>
  <c r="G222" i="6"/>
  <c r="G170" i="6"/>
  <c r="G208" i="6"/>
  <c r="G227" i="6"/>
  <c r="G450" i="6"/>
  <c r="G362" i="6"/>
  <c r="G166" i="6"/>
  <c r="G341" i="6"/>
  <c r="G804" i="6"/>
  <c r="G328" i="3"/>
  <c r="G835" i="6"/>
  <c r="G347" i="6"/>
  <c r="G510" i="6"/>
  <c r="G924" i="6"/>
  <c r="G944" i="6"/>
  <c r="G650" i="6"/>
  <c r="G918" i="6"/>
  <c r="G233" i="6"/>
  <c r="G773" i="6"/>
  <c r="G952" i="6"/>
  <c r="G35" i="6"/>
  <c r="G954" i="6"/>
  <c r="G978" i="6"/>
  <c r="G890" i="6"/>
  <c r="G194" i="6"/>
  <c r="G106" i="6"/>
  <c r="G628" i="6"/>
  <c r="G417" i="6"/>
  <c r="G288" i="6"/>
  <c r="G576" i="6"/>
  <c r="G668" i="6"/>
  <c r="G537" i="6"/>
  <c r="G257" i="6"/>
  <c r="G708" i="6"/>
  <c r="G688" i="6"/>
  <c r="G591" i="6"/>
  <c r="G324" i="3"/>
  <c r="G311" i="3"/>
  <c r="A308" i="3" s="1"/>
  <c r="G116" i="6"/>
  <c r="G463" i="6"/>
  <c r="G834" i="6"/>
  <c r="G776" i="6"/>
  <c r="G747" i="6"/>
  <c r="G451" i="6"/>
  <c r="G681" i="6"/>
  <c r="G334" i="6"/>
  <c r="G304" i="6"/>
  <c r="G866" i="6"/>
  <c r="G68" i="6"/>
  <c r="G59" i="6"/>
  <c r="G63" i="6"/>
  <c r="G825" i="6"/>
  <c r="G373" i="6"/>
  <c r="G291" i="6"/>
  <c r="G175" i="6"/>
  <c r="G312" i="6"/>
  <c r="G334" i="3"/>
  <c r="G784" i="6"/>
  <c r="G539" i="6"/>
  <c r="G254" i="6"/>
  <c r="G354" i="6"/>
  <c r="G16" i="6"/>
  <c r="G611" i="6"/>
  <c r="G942" i="6"/>
  <c r="G578" i="6"/>
  <c r="G414" i="6"/>
  <c r="G724" i="6"/>
  <c r="G704" i="6"/>
  <c r="G128" i="6"/>
  <c r="G722" i="6"/>
  <c r="G520" i="6"/>
  <c r="G30" i="6"/>
  <c r="G425" i="6"/>
  <c r="G969" i="6"/>
  <c r="G182" i="6"/>
  <c r="G389" i="6"/>
  <c r="G468" i="6"/>
  <c r="G950" i="6"/>
  <c r="G333" i="6"/>
  <c r="G522" i="6"/>
  <c r="G324" i="6"/>
  <c r="G659" i="6"/>
  <c r="G83" i="6"/>
  <c r="G623" i="6"/>
  <c r="G574" i="6"/>
  <c r="G593" i="6"/>
  <c r="G895" i="6"/>
  <c r="G296" i="6"/>
  <c r="G674" i="6"/>
  <c r="G761" i="6"/>
  <c r="G130" i="6"/>
  <c r="G137" i="6"/>
  <c r="G613" i="6"/>
  <c r="G921" i="6"/>
  <c r="G888" i="6"/>
  <c r="G798" i="6"/>
  <c r="G691" i="6"/>
  <c r="G313" i="6"/>
  <c r="G434" i="6"/>
  <c r="G805" i="6"/>
  <c r="G822" i="6"/>
  <c r="G779" i="6"/>
  <c r="G695" i="6"/>
  <c r="G818" i="6"/>
  <c r="G801" i="6"/>
  <c r="G768" i="6"/>
  <c r="G748" i="6"/>
  <c r="G754" i="6"/>
  <c r="G701" i="6"/>
  <c r="G756" i="6"/>
  <c r="G979" i="6"/>
  <c r="G823" i="6"/>
  <c r="G469" i="6"/>
  <c r="G342" i="6"/>
  <c r="G234" i="6"/>
  <c r="G809" i="6"/>
  <c r="G214" i="6"/>
  <c r="G445" i="6"/>
  <c r="G896" i="6"/>
  <c r="G985" i="6"/>
  <c r="G965" i="6"/>
  <c r="G126" i="6"/>
  <c r="G845" i="6"/>
  <c r="G335" i="3"/>
  <c r="G297" i="6"/>
  <c r="G557" i="6"/>
  <c r="G258" i="6"/>
  <c r="G94" i="6"/>
  <c r="G939" i="6"/>
  <c r="G435" i="6"/>
  <c r="G980" i="6"/>
  <c r="G851" i="6"/>
  <c r="G109" i="6"/>
  <c r="G369" i="6"/>
  <c r="G112" i="6"/>
  <c r="G310" i="6"/>
  <c r="G306" i="6"/>
  <c r="G270" i="6"/>
  <c r="G289" i="6"/>
  <c r="G185" i="6"/>
  <c r="G256" i="6"/>
  <c r="G236" i="6"/>
  <c r="G275" i="6"/>
  <c r="G223" i="6"/>
  <c r="G203" i="6"/>
  <c r="G206" i="6"/>
  <c r="G225" i="6"/>
  <c r="G189" i="6"/>
  <c r="G121" i="6"/>
  <c r="G172" i="6"/>
  <c r="G467" i="6"/>
  <c r="G415" i="6"/>
  <c r="G395" i="6"/>
  <c r="G260" i="6"/>
  <c r="G758" i="6"/>
  <c r="G177" i="6"/>
  <c r="G936" i="6"/>
  <c r="G938" i="6"/>
  <c r="G983" i="6"/>
  <c r="G777" i="6"/>
  <c r="G301" i="6"/>
  <c r="G559" i="6"/>
  <c r="G38" i="6"/>
  <c r="G397" i="6"/>
  <c r="G841" i="6"/>
  <c r="G358" i="6"/>
  <c r="G387" i="6"/>
  <c r="G836" i="6"/>
  <c r="G803" i="6"/>
  <c r="G687" i="6"/>
  <c r="G910" i="6"/>
  <c r="G136" i="6"/>
  <c r="G682" i="6"/>
  <c r="G680" i="6"/>
  <c r="G519" i="6"/>
  <c r="G135" i="6"/>
  <c r="G119" i="6"/>
  <c r="G192" i="6"/>
  <c r="G718" i="6"/>
  <c r="G912" i="6"/>
  <c r="G730" i="6"/>
  <c r="G865" i="6"/>
  <c r="G898" i="6"/>
  <c r="G247" i="6"/>
  <c r="G338" i="6"/>
  <c r="G250" i="6"/>
  <c r="G757" i="6"/>
  <c r="G903" i="6"/>
  <c r="G742" i="6"/>
  <c r="G973" i="6"/>
  <c r="G976" i="6"/>
  <c r="G956" i="6"/>
  <c r="G872" i="6"/>
  <c r="G211" i="6"/>
  <c r="G139" i="6"/>
  <c r="G551" i="6"/>
  <c r="G853" i="6"/>
  <c r="G242" i="6"/>
  <c r="G638" i="6"/>
  <c r="G27" i="6"/>
  <c r="G633" i="6"/>
  <c r="G602" i="6"/>
  <c r="G927" i="6"/>
  <c r="G782" i="6"/>
  <c r="G600" i="6"/>
  <c r="G88" i="6"/>
  <c r="G370" i="6"/>
  <c r="G113" i="6"/>
  <c r="G47" i="6"/>
  <c r="G73" i="6"/>
  <c r="G715" i="6"/>
  <c r="G501" i="6"/>
  <c r="G364" i="6"/>
  <c r="G820" i="6"/>
  <c r="G58" i="6"/>
  <c r="G398" i="6"/>
  <c r="G436" i="6"/>
  <c r="G153" i="6"/>
  <c r="G648" i="6"/>
  <c r="G636" i="6"/>
  <c r="G154" i="6"/>
  <c r="G534" i="6"/>
  <c r="G394" i="6"/>
  <c r="G48" i="6"/>
  <c r="G321" i="6"/>
  <c r="G244" i="6"/>
  <c r="G529" i="6"/>
  <c r="G41" i="6"/>
  <c r="G315" i="3"/>
  <c r="G684" i="6"/>
  <c r="G183" i="6"/>
  <c r="G127" i="6"/>
  <c r="G660" i="6"/>
  <c r="G540" i="6"/>
  <c r="G161" i="6"/>
  <c r="G146" i="6"/>
  <c r="G787" i="6"/>
  <c r="G808" i="6"/>
  <c r="G735" i="6"/>
  <c r="G267" i="6"/>
  <c r="G348" i="3"/>
  <c r="G493" i="6"/>
  <c r="G631" i="6"/>
  <c r="G666" i="6"/>
  <c r="G664" i="6"/>
  <c r="G44" i="6"/>
  <c r="G586" i="6"/>
  <c r="G77" i="6"/>
  <c r="G640" i="6"/>
  <c r="G342" i="3"/>
  <c r="G572" i="6"/>
  <c r="G322" i="3"/>
  <c r="G45" i="6"/>
  <c r="G609" i="6"/>
  <c r="G159" i="6"/>
  <c r="G42" i="6"/>
  <c r="G102" i="6"/>
  <c r="G80" i="6"/>
  <c r="G675" i="6"/>
  <c r="G502" i="6"/>
  <c r="G330" i="3"/>
  <c r="G321" i="3"/>
  <c r="G661" i="6"/>
  <c r="G816" i="6"/>
  <c r="G348" i="6"/>
  <c r="G19" i="6"/>
  <c r="G382" i="6"/>
  <c r="G71" i="6"/>
  <c r="G420" i="6"/>
  <c r="G419" i="6"/>
  <c r="G309" i="6"/>
  <c r="G320" i="3"/>
  <c r="G555" i="6"/>
  <c r="G672" i="6"/>
  <c r="G575" i="6"/>
  <c r="G179" i="6"/>
  <c r="G352" i="6"/>
  <c r="G340" i="6"/>
  <c r="G307" i="6"/>
  <c r="G50" i="6"/>
  <c r="G459" i="6"/>
  <c r="G337" i="6"/>
  <c r="G131" i="6"/>
  <c r="G52" i="6"/>
  <c r="G620" i="6"/>
  <c r="G184" i="6"/>
  <c r="G341" i="3"/>
  <c r="G556" i="6"/>
  <c r="G123" i="6"/>
  <c r="G639" i="6"/>
  <c r="G552" i="6"/>
  <c r="G49" i="6"/>
  <c r="G663" i="6"/>
  <c r="G337" i="3"/>
  <c r="G913" i="6"/>
  <c r="G637" i="6"/>
  <c r="G606" i="6"/>
  <c r="G70" i="6"/>
  <c r="G507" i="6"/>
  <c r="G566" i="6"/>
  <c r="G531" i="6"/>
  <c r="G505" i="6"/>
  <c r="G646" i="6"/>
  <c r="G571" i="6"/>
  <c r="G308" i="6"/>
  <c r="G573" i="6"/>
  <c r="G512" i="6"/>
  <c r="G656" i="6"/>
  <c r="G148" i="6"/>
  <c r="G60" i="6"/>
  <c r="G492" i="6"/>
  <c r="G587" i="6"/>
  <c r="G377" i="6"/>
  <c r="G386" i="6"/>
  <c r="G363" i="6"/>
  <c r="G651" i="6"/>
  <c r="G562" i="6"/>
  <c r="G69" i="6"/>
  <c r="G564" i="6"/>
  <c r="G558" i="6"/>
  <c r="G595" i="6"/>
  <c r="G523" i="6"/>
  <c r="G545" i="6"/>
  <c r="G428" i="6"/>
  <c r="G594" i="6"/>
  <c r="G662" i="6"/>
  <c r="G625" i="6"/>
  <c r="G65" i="6"/>
  <c r="G23" i="6"/>
  <c r="G671" i="6"/>
  <c r="G462" i="6"/>
  <c r="G509" i="6"/>
  <c r="G634" i="6"/>
  <c r="G295" i="6"/>
  <c r="G390" i="6"/>
  <c r="G319" i="6"/>
  <c r="G350" i="6"/>
  <c r="G294" i="6"/>
  <c r="G327" i="6"/>
  <c r="G506" i="6"/>
  <c r="G567" i="6"/>
  <c r="G533" i="6"/>
  <c r="G619" i="6"/>
  <c r="G582" i="6"/>
  <c r="G535" i="6"/>
  <c r="G536" i="6"/>
  <c r="G22" i="6"/>
  <c r="G590" i="6"/>
  <c r="G54" i="6"/>
  <c r="G331" i="6"/>
  <c r="G14" i="6"/>
  <c r="G500" i="6"/>
  <c r="G498" i="6"/>
  <c r="G55" i="6"/>
  <c r="G503" i="6"/>
  <c r="G568" i="6"/>
  <c r="G78" i="6"/>
  <c r="G624" i="6"/>
  <c r="G565" i="6"/>
  <c r="G178" i="6"/>
  <c r="G553" i="6"/>
  <c r="G75" i="6"/>
  <c r="G649" i="6"/>
  <c r="G616" i="6"/>
  <c r="G46" i="6"/>
  <c r="G667" i="6"/>
  <c r="G538" i="6"/>
  <c r="G554" i="6"/>
  <c r="G644" i="6"/>
  <c r="G583" i="6"/>
  <c r="G635" i="6"/>
  <c r="G570" i="6"/>
  <c r="G489" i="6"/>
  <c r="G588" i="6"/>
  <c r="G26" i="6"/>
  <c r="G622" i="6"/>
  <c r="G86" i="6"/>
  <c r="G550" i="6"/>
  <c r="G39" i="6"/>
  <c r="G665" i="6"/>
  <c r="G678" i="6"/>
  <c r="G585" i="6"/>
  <c r="G13" i="6"/>
  <c r="G641" i="6"/>
  <c r="G530" i="6"/>
  <c r="G683" i="6"/>
  <c r="G547" i="6"/>
  <c r="G643" i="6"/>
  <c r="G508" i="6"/>
  <c r="G490" i="6"/>
  <c r="G528" i="6"/>
  <c r="G542" i="6"/>
  <c r="G495" i="6"/>
  <c r="G607" i="6"/>
  <c r="G618" i="6"/>
  <c r="G85" i="6"/>
  <c r="G621" i="6"/>
  <c r="G614" i="6"/>
  <c r="G74" i="6"/>
  <c r="G514" i="6"/>
  <c r="G81" i="6"/>
  <c r="G630" i="6"/>
  <c r="G632" i="6"/>
  <c r="G516" i="6"/>
  <c r="G525" i="6"/>
  <c r="F30" i="4"/>
  <c r="G30" i="4" s="1"/>
  <c r="F37" i="4"/>
  <c r="G37" i="4" s="1"/>
  <c r="F36" i="4"/>
  <c r="G36" i="4" s="1"/>
  <c r="G1007" i="6"/>
  <c r="F40" i="4"/>
  <c r="G40" i="4" s="1"/>
  <c r="F55" i="4"/>
  <c r="G55" i="4" s="1"/>
  <c r="F41" i="4"/>
  <c r="G41" i="4" s="1"/>
  <c r="F34" i="4"/>
  <c r="G34" i="4" s="1"/>
  <c r="F49" i="4"/>
  <c r="G49" i="4" s="1"/>
  <c r="F52" i="4"/>
  <c r="G52" i="4" s="1"/>
  <c r="F42" i="4"/>
  <c r="G42" i="4" s="1"/>
  <c r="F56" i="4"/>
  <c r="G56" i="4" s="1"/>
  <c r="F59" i="4"/>
  <c r="G59" i="4" s="1"/>
  <c r="F26" i="4"/>
  <c r="G26" i="4" s="1"/>
  <c r="H27" i="4" s="1"/>
  <c r="F63" i="4"/>
  <c r="G63" i="4" s="1"/>
  <c r="F60" i="4"/>
  <c r="G60" i="4" s="1"/>
  <c r="F50" i="4"/>
  <c r="G50" i="4" s="1"/>
  <c r="G987" i="6"/>
  <c r="F29" i="4"/>
  <c r="G29" i="4" s="1"/>
  <c r="F43" i="4"/>
  <c r="G43" i="4" s="1"/>
  <c r="F39" i="4"/>
  <c r="G39" i="4" s="1"/>
  <c r="F62" i="4"/>
  <c r="G62" i="4" s="1"/>
  <c r="F45" i="4"/>
  <c r="G45" i="4" s="1"/>
  <c r="F44" i="4"/>
  <c r="G44" i="4" s="1"/>
  <c r="F48" i="4"/>
  <c r="G48" i="4" s="1"/>
  <c r="G1003" i="6"/>
  <c r="F65" i="4"/>
  <c r="G65" i="4" s="1"/>
  <c r="F28" i="4"/>
  <c r="G28" i="4" s="1"/>
  <c r="G997" i="6"/>
  <c r="F47" i="4"/>
  <c r="G47" i="4" s="1"/>
  <c r="F57" i="4"/>
  <c r="G57" i="4" s="1"/>
  <c r="F61" i="4"/>
  <c r="G61" i="4" s="1"/>
  <c r="F58" i="4"/>
  <c r="G58" i="4" s="1"/>
  <c r="F54" i="4"/>
  <c r="G54" i="4" s="1"/>
  <c r="F51" i="4"/>
  <c r="G51" i="4" s="1"/>
  <c r="F33" i="4"/>
  <c r="G33" i="4" s="1"/>
  <c r="F31" i="4"/>
  <c r="G31" i="4" s="1"/>
  <c r="F66" i="4"/>
  <c r="F32" i="4"/>
  <c r="G32" i="4" s="1"/>
  <c r="F64" i="4"/>
  <c r="G64" i="4" s="1"/>
  <c r="F27" i="4"/>
  <c r="G27" i="4" s="1"/>
  <c r="F38" i="4"/>
  <c r="G38" i="4" s="1"/>
  <c r="F46" i="4"/>
  <c r="G46" i="4" s="1"/>
  <c r="F35" i="4"/>
  <c r="G35" i="4" s="1"/>
  <c r="G994" i="6"/>
  <c r="G995" i="6"/>
  <c r="G992" i="6"/>
  <c r="G1011" i="6"/>
  <c r="G1010" i="6"/>
  <c r="G1004" i="6"/>
  <c r="G1006" i="6"/>
  <c r="G1002" i="6"/>
  <c r="G988" i="6"/>
  <c r="G1001" i="6"/>
  <c r="G996" i="6"/>
  <c r="G1012" i="6"/>
  <c r="G1009" i="6"/>
  <c r="G53" i="4"/>
  <c r="G998" i="6"/>
  <c r="G990" i="6"/>
  <c r="G991" i="6"/>
  <c r="G1000" i="6"/>
  <c r="G993" i="6"/>
  <c r="G1005" i="6"/>
  <c r="G999" i="6"/>
  <c r="G1008" i="6"/>
  <c r="G989" i="6"/>
  <c r="I176" i="6" l="1"/>
  <c r="J175" i="6"/>
  <c r="H312" i="3"/>
  <c r="I312" i="3" s="1"/>
  <c r="I27" i="4"/>
  <c r="J27" i="4"/>
  <c r="H28" i="4"/>
  <c r="I28" i="4" s="1"/>
  <c r="I177" i="6" l="1"/>
  <c r="J176" i="6"/>
  <c r="J312" i="3"/>
  <c r="H313" i="3"/>
  <c r="H29" i="4"/>
  <c r="J28" i="4"/>
  <c r="H314" i="3"/>
  <c r="J313" i="3"/>
  <c r="I313" i="3"/>
  <c r="I178" i="6" l="1"/>
  <c r="J177" i="6"/>
  <c r="H315" i="3"/>
  <c r="J314" i="3"/>
  <c r="I314" i="3"/>
  <c r="H30" i="4"/>
  <c r="J29" i="4"/>
  <c r="I29" i="4"/>
  <c r="I179" i="6" l="1"/>
  <c r="J178" i="6"/>
  <c r="J30" i="4"/>
  <c r="H31" i="4"/>
  <c r="I30" i="4"/>
  <c r="H316" i="3"/>
  <c r="J315" i="3"/>
  <c r="I315" i="3"/>
  <c r="I180" i="6" l="1"/>
  <c r="J179" i="6"/>
  <c r="B308" i="3"/>
  <c r="H317" i="3"/>
  <c r="J316" i="3"/>
  <c r="I316" i="3"/>
  <c r="J31" i="4"/>
  <c r="H32" i="4"/>
  <c r="I31" i="4"/>
  <c r="I181" i="6" l="1"/>
  <c r="J180" i="6"/>
  <c r="H318" i="3"/>
  <c r="J317" i="3"/>
  <c r="I317" i="3"/>
  <c r="J32" i="4"/>
  <c r="H33" i="4"/>
  <c r="I32" i="4"/>
  <c r="I182" i="6" l="1"/>
  <c r="J181" i="6"/>
  <c r="J33" i="4"/>
  <c r="H34" i="4"/>
  <c r="I33" i="4"/>
  <c r="H319" i="3"/>
  <c r="J318" i="3"/>
  <c r="I318" i="3"/>
  <c r="J182" i="6" l="1"/>
  <c r="I183" i="6"/>
  <c r="H320" i="3"/>
  <c r="J319" i="3"/>
  <c r="I319" i="3"/>
  <c r="J34" i="4"/>
  <c r="H35" i="4"/>
  <c r="I34" i="4"/>
  <c r="C308" i="3"/>
  <c r="I184" i="6" l="1"/>
  <c r="J183" i="6"/>
  <c r="J35" i="4"/>
  <c r="H36" i="4"/>
  <c r="I35" i="4"/>
  <c r="H321" i="3"/>
  <c r="J320" i="3"/>
  <c r="I320" i="3"/>
  <c r="I185" i="6" l="1"/>
  <c r="J184" i="6"/>
  <c r="H322" i="3"/>
  <c r="J321" i="3"/>
  <c r="I321" i="3"/>
  <c r="H37" i="4"/>
  <c r="J36" i="4"/>
  <c r="I36" i="4"/>
  <c r="J185" i="6" l="1"/>
  <c r="I186" i="6"/>
  <c r="J37" i="4"/>
  <c r="H38" i="4"/>
  <c r="I37" i="4"/>
  <c r="H323" i="3"/>
  <c r="J322" i="3"/>
  <c r="I322" i="3"/>
  <c r="I187" i="6" l="1"/>
  <c r="J186" i="6"/>
  <c r="J38" i="4"/>
  <c r="H39" i="4"/>
  <c r="I38" i="4"/>
  <c r="H324" i="3"/>
  <c r="J323" i="3"/>
  <c r="I323" i="3"/>
  <c r="J187" i="6" l="1"/>
  <c r="I188" i="6"/>
  <c r="D308" i="3"/>
  <c r="H325" i="3"/>
  <c r="J324" i="3"/>
  <c r="I324" i="3"/>
  <c r="H40" i="4"/>
  <c r="J39" i="4"/>
  <c r="I39" i="4"/>
  <c r="I189" i="6" l="1"/>
  <c r="J188" i="6"/>
  <c r="J40" i="4"/>
  <c r="H41" i="4"/>
  <c r="I40" i="4"/>
  <c r="H326" i="3"/>
  <c r="J325" i="3"/>
  <c r="I325" i="3"/>
  <c r="I190" i="6" l="1"/>
  <c r="J189" i="6"/>
  <c r="H327" i="3"/>
  <c r="J326" i="3"/>
  <c r="I326" i="3"/>
  <c r="J41" i="4"/>
  <c r="H42" i="4"/>
  <c r="I41" i="4"/>
  <c r="I191" i="6" l="1"/>
  <c r="J190" i="6"/>
  <c r="J42" i="4"/>
  <c r="H43" i="4"/>
  <c r="I42" i="4"/>
  <c r="H328" i="3"/>
  <c r="J327" i="3"/>
  <c r="I327" i="3"/>
  <c r="I192" i="6" l="1"/>
  <c r="J191" i="6"/>
  <c r="E308" i="3"/>
  <c r="H329" i="3"/>
  <c r="J328" i="3"/>
  <c r="I328" i="3"/>
  <c r="H44" i="4"/>
  <c r="J43" i="4"/>
  <c r="I43" i="4"/>
  <c r="I193" i="6" l="1"/>
  <c r="J192" i="6"/>
  <c r="H45" i="4"/>
  <c r="J44" i="4"/>
  <c r="I44" i="4"/>
  <c r="H330" i="3"/>
  <c r="J329" i="3"/>
  <c r="I329" i="3"/>
  <c r="I194" i="6" l="1"/>
  <c r="J193" i="6"/>
  <c r="H331" i="3"/>
  <c r="J330" i="3"/>
  <c r="I330" i="3"/>
  <c r="J45" i="4"/>
  <c r="H46" i="4"/>
  <c r="I45" i="4"/>
  <c r="I195" i="6" l="1"/>
  <c r="J194" i="6"/>
  <c r="H47" i="4"/>
  <c r="J46" i="4"/>
  <c r="I46" i="4"/>
  <c r="H332" i="3"/>
  <c r="J331" i="3"/>
  <c r="I331" i="3"/>
  <c r="I196" i="6" l="1"/>
  <c r="J195" i="6"/>
  <c r="F308" i="3"/>
  <c r="H333" i="3"/>
  <c r="J332" i="3"/>
  <c r="I332" i="3"/>
  <c r="H48" i="4"/>
  <c r="J47" i="4"/>
  <c r="I47" i="4"/>
  <c r="I197" i="6" l="1"/>
  <c r="J196" i="6"/>
  <c r="J48" i="4"/>
  <c r="H49" i="4"/>
  <c r="I48" i="4"/>
  <c r="H334" i="3"/>
  <c r="J333" i="3"/>
  <c r="I333" i="3"/>
  <c r="I198" i="6" l="1"/>
  <c r="J197" i="6"/>
  <c r="H335" i="3"/>
  <c r="J334" i="3"/>
  <c r="I334" i="3"/>
  <c r="J49" i="4"/>
  <c r="H50" i="4"/>
  <c r="I49" i="4"/>
  <c r="I199" i="6" l="1"/>
  <c r="J198" i="6"/>
  <c r="J50" i="4"/>
  <c r="H51" i="4"/>
  <c r="I50" i="4"/>
  <c r="H336" i="3"/>
  <c r="J335" i="3"/>
  <c r="I335" i="3"/>
  <c r="I200" i="6" l="1"/>
  <c r="J199" i="6"/>
  <c r="H337" i="3"/>
  <c r="J336" i="3"/>
  <c r="I336" i="3"/>
  <c r="J51" i="4"/>
  <c r="H52" i="4"/>
  <c r="I51" i="4"/>
  <c r="J200" i="6" l="1"/>
  <c r="I201" i="6"/>
  <c r="J52" i="4"/>
  <c r="H53" i="4"/>
  <c r="I52" i="4"/>
  <c r="H338" i="3"/>
  <c r="J337" i="3"/>
  <c r="I337" i="3"/>
  <c r="J201" i="6" l="1"/>
  <c r="I202" i="6"/>
  <c r="H339" i="3"/>
  <c r="J338" i="3"/>
  <c r="I338" i="3"/>
  <c r="J53" i="4"/>
  <c r="H54" i="4"/>
  <c r="I53" i="4"/>
  <c r="J202" i="6" l="1"/>
  <c r="I203" i="6"/>
  <c r="J54" i="4"/>
  <c r="H55" i="4"/>
  <c r="I54" i="4"/>
  <c r="H340" i="3"/>
  <c r="J339" i="3"/>
  <c r="I339" i="3"/>
  <c r="I204" i="6" l="1"/>
  <c r="J203" i="6"/>
  <c r="G308" i="3"/>
  <c r="H341" i="3"/>
  <c r="J340" i="3"/>
  <c r="I340" i="3"/>
  <c r="J55" i="4"/>
  <c r="I55" i="4"/>
  <c r="H56" i="4"/>
  <c r="I205" i="6" l="1"/>
  <c r="J204" i="6"/>
  <c r="J56" i="4"/>
  <c r="H57" i="4"/>
  <c r="I56" i="4"/>
  <c r="H342" i="3"/>
  <c r="J341" i="3"/>
  <c r="I341" i="3"/>
  <c r="I206" i="6" l="1"/>
  <c r="J205" i="6"/>
  <c r="H343" i="3"/>
  <c r="J342" i="3"/>
  <c r="I342" i="3"/>
  <c r="I57" i="4"/>
  <c r="H58" i="4"/>
  <c r="J57" i="4"/>
  <c r="I207" i="6" l="1"/>
  <c r="J206" i="6"/>
  <c r="H59" i="4"/>
  <c r="I58" i="4"/>
  <c r="J58" i="4"/>
  <c r="H344" i="3"/>
  <c r="J343" i="3"/>
  <c r="I343" i="3"/>
  <c r="I208" i="6" l="1"/>
  <c r="J207" i="6"/>
  <c r="H345" i="3"/>
  <c r="J344" i="3"/>
  <c r="I344" i="3"/>
  <c r="H60" i="4"/>
  <c r="I59" i="4"/>
  <c r="J59" i="4"/>
  <c r="I209" i="6" l="1"/>
  <c r="J208" i="6"/>
  <c r="H61" i="4"/>
  <c r="J60" i="4"/>
  <c r="I60" i="4"/>
  <c r="H346" i="3"/>
  <c r="J345" i="3"/>
  <c r="I345" i="3"/>
  <c r="I210" i="6" l="1"/>
  <c r="J209" i="6"/>
  <c r="H347" i="3"/>
  <c r="J346" i="3"/>
  <c r="I346" i="3"/>
  <c r="I61" i="4"/>
  <c r="H62" i="4"/>
  <c r="J61" i="4"/>
  <c r="I211" i="6" l="1"/>
  <c r="J210" i="6"/>
  <c r="J62" i="4"/>
  <c r="H63" i="4"/>
  <c r="I62" i="4"/>
  <c r="H348" i="3"/>
  <c r="J347" i="3"/>
  <c r="I347" i="3"/>
  <c r="I212" i="6" l="1"/>
  <c r="J211" i="6"/>
  <c r="J63" i="4"/>
  <c r="H64" i="4"/>
  <c r="I63" i="4"/>
  <c r="H349" i="3"/>
  <c r="J348" i="3"/>
  <c r="I348" i="3"/>
  <c r="J212" i="6" l="1"/>
  <c r="I213" i="6"/>
  <c r="H350" i="3"/>
  <c r="J349" i="3"/>
  <c r="I349" i="3"/>
  <c r="J64" i="4"/>
  <c r="H65" i="4"/>
  <c r="I64" i="4"/>
  <c r="I214" i="6" l="1"/>
  <c r="J213" i="6"/>
  <c r="H66" i="4"/>
  <c r="I65" i="4"/>
  <c r="J65" i="4"/>
  <c r="H351" i="3"/>
  <c r="J350" i="3"/>
  <c r="I350" i="3"/>
  <c r="J214" i="6" l="1"/>
  <c r="I215" i="6"/>
  <c r="J351" i="3"/>
  <c r="I351" i="3"/>
  <c r="I66" i="4"/>
  <c r="J66" i="4"/>
  <c r="I216" i="6" l="1"/>
  <c r="J215" i="6"/>
  <c r="H308" i="3"/>
  <c r="D3" i="4" s="1" a="1"/>
  <c r="D3" i="4" s="1"/>
  <c r="H20" i="4"/>
  <c r="H21" i="4" s="1"/>
  <c r="H22" i="4"/>
  <c r="I217" i="6" l="1"/>
  <c r="J216" i="6"/>
  <c r="D10" i="4"/>
  <c r="D4" i="4"/>
  <c r="D5" i="4"/>
  <c r="D7" i="4"/>
  <c r="D6" i="4"/>
  <c r="D9" i="4"/>
  <c r="D8" i="4"/>
  <c r="J217" i="6" l="1"/>
  <c r="I218" i="6"/>
  <c r="I219" i="6" l="1"/>
  <c r="J218" i="6"/>
  <c r="J219" i="6" l="1"/>
  <c r="I220" i="6"/>
  <c r="I221" i="6" l="1"/>
  <c r="J220" i="6"/>
  <c r="I222" i="6" l="1"/>
  <c r="J221" i="6"/>
  <c r="I223" i="6" l="1"/>
  <c r="J222" i="6"/>
  <c r="I224" i="6" l="1"/>
  <c r="J223" i="6"/>
  <c r="I225" i="6" l="1"/>
  <c r="J224" i="6"/>
  <c r="I226" i="6" l="1"/>
  <c r="J225" i="6"/>
  <c r="I227" i="6" l="1"/>
  <c r="J226" i="6"/>
  <c r="I228" i="6" l="1"/>
  <c r="J227" i="6"/>
  <c r="I229" i="6" l="1"/>
  <c r="J228" i="6"/>
  <c r="I230" i="6" l="1"/>
  <c r="J229" i="6"/>
  <c r="I231" i="6" l="1"/>
  <c r="J230" i="6"/>
  <c r="I232" i="6" l="1"/>
  <c r="J231" i="6"/>
  <c r="J232" i="6" l="1"/>
  <c r="I233" i="6"/>
  <c r="I234" i="6" l="1"/>
  <c r="J233" i="6"/>
  <c r="J234" i="6" l="1"/>
  <c r="I235" i="6"/>
  <c r="J235" i="6" l="1"/>
  <c r="I236" i="6"/>
  <c r="J236" i="6" l="1"/>
  <c r="I237" i="6"/>
  <c r="I238" i="6" l="1"/>
  <c r="J237" i="6"/>
  <c r="I239" i="6" l="1"/>
  <c r="J238" i="6"/>
  <c r="I240" i="6" l="1"/>
  <c r="J239" i="6"/>
  <c r="I241" i="6" l="1"/>
  <c r="J240" i="6"/>
  <c r="I242" i="6" l="1"/>
  <c r="J241" i="6"/>
  <c r="I243" i="6" l="1"/>
  <c r="J242" i="6"/>
  <c r="I244" i="6" l="1"/>
  <c r="J243" i="6"/>
  <c r="J244" i="6" l="1"/>
  <c r="I245" i="6"/>
  <c r="I246" i="6" l="1"/>
  <c r="J245" i="6"/>
  <c r="J246" i="6" l="1"/>
  <c r="I247" i="6"/>
  <c r="I248" i="6" l="1"/>
  <c r="J247" i="6"/>
  <c r="J248" i="6" l="1"/>
  <c r="I249" i="6"/>
  <c r="I250" i="6" l="1"/>
  <c r="J249" i="6"/>
  <c r="J250" i="6" l="1"/>
  <c r="I251" i="6"/>
  <c r="J251" i="6" l="1"/>
  <c r="I252" i="6"/>
  <c r="I253" i="6" l="1"/>
  <c r="J252" i="6"/>
  <c r="I254" i="6" l="1"/>
  <c r="J253" i="6"/>
  <c r="I255" i="6" l="1"/>
  <c r="J254" i="6"/>
  <c r="I256" i="6" l="1"/>
  <c r="J255" i="6"/>
  <c r="I257" i="6" l="1"/>
  <c r="J256" i="6"/>
  <c r="I258" i="6" l="1"/>
  <c r="J257" i="6"/>
  <c r="I259" i="6" l="1"/>
  <c r="J258" i="6"/>
  <c r="I260" i="6" l="1"/>
  <c r="J259" i="6"/>
  <c r="I261" i="6" l="1"/>
  <c r="J260" i="6"/>
  <c r="I262" i="6" l="1"/>
  <c r="J261" i="6"/>
  <c r="I263" i="6" l="1"/>
  <c r="J262" i="6"/>
  <c r="I264" i="6" l="1"/>
  <c r="J263" i="6"/>
  <c r="I265" i="6" l="1"/>
  <c r="J264" i="6"/>
  <c r="I266" i="6" l="1"/>
  <c r="J265" i="6"/>
  <c r="J266" i="6" l="1"/>
  <c r="I267" i="6"/>
  <c r="I268" i="6" l="1"/>
  <c r="J267" i="6"/>
  <c r="J268" i="6" l="1"/>
  <c r="I269" i="6"/>
  <c r="I270" i="6" l="1"/>
  <c r="J269" i="6"/>
  <c r="I271" i="6" l="1"/>
  <c r="J270" i="6"/>
  <c r="I272" i="6" l="1"/>
  <c r="J271" i="6"/>
  <c r="I273" i="6" l="1"/>
  <c r="J272" i="6"/>
  <c r="I274" i="6" l="1"/>
  <c r="J273" i="6"/>
  <c r="I275" i="6" l="1"/>
  <c r="J274" i="6"/>
  <c r="I276" i="6" l="1"/>
  <c r="J275" i="6"/>
  <c r="J276" i="6" l="1"/>
  <c r="I277" i="6"/>
  <c r="I278" i="6" l="1"/>
  <c r="J277" i="6"/>
  <c r="J278" i="6" l="1"/>
  <c r="I279" i="6"/>
  <c r="I280" i="6" l="1"/>
  <c r="J279" i="6"/>
  <c r="I281" i="6" l="1"/>
  <c r="J280" i="6"/>
  <c r="I282" i="6" l="1"/>
  <c r="J281" i="6"/>
  <c r="I283" i="6" l="1"/>
  <c r="J282" i="6"/>
  <c r="I284" i="6" l="1"/>
  <c r="J283" i="6"/>
  <c r="J284" i="6" l="1"/>
  <c r="I285" i="6"/>
  <c r="I286" i="6" l="1"/>
  <c r="J285" i="6"/>
  <c r="I287" i="6" l="1"/>
  <c r="J286" i="6"/>
  <c r="I288" i="6" l="1"/>
  <c r="J287" i="6"/>
  <c r="I289" i="6" l="1"/>
  <c r="J288" i="6"/>
  <c r="I290" i="6" l="1"/>
  <c r="J289" i="6"/>
  <c r="I291" i="6" l="1"/>
  <c r="J290" i="6"/>
  <c r="I292" i="6" l="1"/>
  <c r="J291" i="6"/>
  <c r="J292" i="6" l="1"/>
  <c r="I293" i="6"/>
  <c r="I294" i="6" l="1"/>
  <c r="J293" i="6"/>
  <c r="I295" i="6" l="1"/>
  <c r="J294" i="6"/>
  <c r="I296" i="6" l="1"/>
  <c r="J295" i="6"/>
  <c r="I297" i="6" l="1"/>
  <c r="J296" i="6"/>
  <c r="J297" i="6" l="1"/>
  <c r="I298" i="6"/>
  <c r="J298" i="6" l="1"/>
  <c r="I299" i="6"/>
  <c r="J299" i="6" l="1"/>
  <c r="I300" i="6"/>
  <c r="J300" i="6" l="1"/>
  <c r="I301" i="6"/>
  <c r="I302" i="6" l="1"/>
  <c r="J301" i="6"/>
  <c r="I303" i="6" l="1"/>
  <c r="J302" i="6"/>
  <c r="I304" i="6" l="1"/>
  <c r="J303" i="6"/>
  <c r="I305" i="6" l="1"/>
  <c r="J304" i="6"/>
  <c r="I306" i="6" l="1"/>
  <c r="J305" i="6"/>
  <c r="I307" i="6" l="1"/>
  <c r="J306" i="6"/>
  <c r="I308" i="6" l="1"/>
  <c r="J307" i="6"/>
  <c r="J308" i="6" l="1"/>
  <c r="I309" i="6"/>
  <c r="I310" i="6" l="1"/>
  <c r="J309" i="6"/>
  <c r="J310" i="6" l="1"/>
  <c r="I311" i="6"/>
  <c r="I312" i="6" l="1"/>
  <c r="J311" i="6"/>
  <c r="I313" i="6" l="1"/>
  <c r="J312" i="6"/>
  <c r="I314" i="6" l="1"/>
  <c r="J313" i="6"/>
  <c r="I315" i="6" l="1"/>
  <c r="J314" i="6"/>
  <c r="I316" i="6" l="1"/>
  <c r="J315" i="6"/>
  <c r="I317" i="6" l="1"/>
  <c r="J316" i="6"/>
  <c r="I318" i="6" l="1"/>
  <c r="J317" i="6"/>
  <c r="I319" i="6" l="1"/>
  <c r="J318" i="6"/>
  <c r="I320" i="6" l="1"/>
  <c r="J319" i="6"/>
  <c r="I321" i="6" l="1"/>
  <c r="J320" i="6"/>
  <c r="I322" i="6" l="1"/>
  <c r="J321" i="6"/>
  <c r="I323" i="6" l="1"/>
  <c r="J322" i="6"/>
  <c r="I324" i="6" l="1"/>
  <c r="J323" i="6"/>
  <c r="I325" i="6" l="1"/>
  <c r="J324" i="6"/>
  <c r="I326" i="6" l="1"/>
  <c r="J325" i="6"/>
  <c r="I327" i="6" l="1"/>
  <c r="J326" i="6"/>
  <c r="I328" i="6" l="1"/>
  <c r="J327" i="6"/>
  <c r="I329" i="6" l="1"/>
  <c r="J328" i="6"/>
  <c r="J329" i="6" l="1"/>
  <c r="I330" i="6"/>
  <c r="I331" i="6" l="1"/>
  <c r="J330" i="6"/>
  <c r="J331" i="6" l="1"/>
  <c r="I332" i="6"/>
  <c r="I333" i="6" l="1"/>
  <c r="J332" i="6"/>
  <c r="I334" i="6" l="1"/>
  <c r="J333" i="6"/>
  <c r="I335" i="6" l="1"/>
  <c r="J334" i="6"/>
  <c r="I336" i="6" l="1"/>
  <c r="J335" i="6"/>
  <c r="I337" i="6" l="1"/>
  <c r="J336" i="6"/>
  <c r="I338" i="6" l="1"/>
  <c r="J337" i="6"/>
  <c r="I339" i="6" l="1"/>
  <c r="J338" i="6"/>
  <c r="I340" i="6" l="1"/>
  <c r="J339" i="6"/>
  <c r="J340" i="6" l="1"/>
  <c r="I341" i="6"/>
  <c r="I342" i="6" l="1"/>
  <c r="J341" i="6"/>
  <c r="J342" i="6" l="1"/>
  <c r="I343" i="6"/>
  <c r="I344" i="6" l="1"/>
  <c r="J343" i="6"/>
  <c r="J344" i="6" l="1"/>
  <c r="I345" i="6"/>
  <c r="I346" i="6" l="1"/>
  <c r="J345" i="6"/>
  <c r="J346" i="6" l="1"/>
  <c r="I347" i="6"/>
  <c r="I348" i="6" l="1"/>
  <c r="J347" i="6"/>
  <c r="J348" i="6" l="1"/>
  <c r="I349" i="6"/>
  <c r="I350" i="6" l="1"/>
  <c r="J349" i="6"/>
  <c r="I351" i="6" l="1"/>
  <c r="J350" i="6"/>
  <c r="I352" i="6" l="1"/>
  <c r="J351" i="6"/>
  <c r="I353" i="6" l="1"/>
  <c r="J352" i="6"/>
  <c r="I354" i="6" l="1"/>
  <c r="J353" i="6"/>
  <c r="I355" i="6" l="1"/>
  <c r="J354" i="6"/>
  <c r="I356" i="6" l="1"/>
  <c r="J355" i="6"/>
  <c r="I357" i="6" l="1"/>
  <c r="J356" i="6"/>
  <c r="I358" i="6" l="1"/>
  <c r="J357" i="6"/>
  <c r="I359" i="6" l="1"/>
  <c r="J358" i="6"/>
  <c r="I360" i="6" l="1"/>
  <c r="J359" i="6"/>
  <c r="J360" i="6" l="1"/>
  <c r="I361" i="6"/>
  <c r="I362" i="6" l="1"/>
  <c r="J361" i="6"/>
  <c r="I363" i="6" l="1"/>
  <c r="J362" i="6"/>
  <c r="I364" i="6" l="1"/>
  <c r="J363" i="6"/>
  <c r="I365" i="6" l="1"/>
  <c r="J364" i="6"/>
  <c r="I366" i="6" l="1"/>
  <c r="J365" i="6"/>
  <c r="I367" i="6" l="1"/>
  <c r="J366" i="6"/>
  <c r="I368" i="6" l="1"/>
  <c r="J367" i="6"/>
  <c r="I369" i="6" l="1"/>
  <c r="J368" i="6"/>
  <c r="I370" i="6" l="1"/>
  <c r="J369" i="6"/>
  <c r="I371" i="6" l="1"/>
  <c r="J370" i="6"/>
  <c r="I372" i="6" l="1"/>
  <c r="J371" i="6"/>
  <c r="J372" i="6" l="1"/>
  <c r="I373" i="6"/>
  <c r="I374" i="6" l="1"/>
  <c r="J373" i="6"/>
  <c r="J374" i="6" l="1"/>
  <c r="I375" i="6"/>
  <c r="I376" i="6" l="1"/>
  <c r="J375" i="6"/>
  <c r="J376" i="6" l="1"/>
  <c r="I377" i="6"/>
  <c r="I378" i="6" l="1"/>
  <c r="J377" i="6"/>
  <c r="J378" i="6" l="1"/>
  <c r="I379" i="6"/>
  <c r="I380" i="6" l="1"/>
  <c r="J379" i="6"/>
  <c r="J380" i="6" l="1"/>
  <c r="I381" i="6"/>
  <c r="I382" i="6" l="1"/>
  <c r="J381" i="6"/>
  <c r="I383" i="6" l="1"/>
  <c r="J382" i="6"/>
  <c r="I384" i="6" l="1"/>
  <c r="J383" i="6"/>
  <c r="I385" i="6" l="1"/>
  <c r="J384" i="6"/>
  <c r="I386" i="6" l="1"/>
  <c r="J385" i="6"/>
  <c r="I387" i="6" l="1"/>
  <c r="J386" i="6"/>
  <c r="I388" i="6" l="1"/>
  <c r="J387" i="6"/>
  <c r="I389" i="6" l="1"/>
  <c r="J388" i="6"/>
  <c r="I390" i="6" l="1"/>
  <c r="J389" i="6"/>
  <c r="I391" i="6" l="1"/>
  <c r="J390" i="6"/>
  <c r="I392" i="6" l="1"/>
  <c r="J391" i="6"/>
  <c r="I393" i="6" l="1"/>
  <c r="J392" i="6"/>
  <c r="J393" i="6" l="1"/>
  <c r="I394" i="6"/>
  <c r="J394" i="6" l="1"/>
  <c r="I395" i="6"/>
  <c r="J395" i="6" l="1"/>
  <c r="I396" i="6"/>
  <c r="J396" i="6" l="1"/>
  <c r="I397" i="6"/>
  <c r="I398" i="6" l="1"/>
  <c r="J397" i="6"/>
  <c r="I399" i="6" l="1"/>
  <c r="J398" i="6"/>
  <c r="I400" i="6" l="1"/>
  <c r="J399" i="6"/>
  <c r="I401" i="6" l="1"/>
  <c r="J400" i="6"/>
  <c r="I402" i="6" l="1"/>
  <c r="J401" i="6"/>
  <c r="I403" i="6" l="1"/>
  <c r="J402" i="6"/>
  <c r="I404" i="6" l="1"/>
  <c r="J403" i="6"/>
  <c r="J404" i="6" l="1"/>
  <c r="I405" i="6"/>
  <c r="I406" i="6" l="1"/>
  <c r="J405" i="6"/>
  <c r="J406" i="6" l="1"/>
  <c r="I407" i="6"/>
  <c r="I408" i="6" l="1"/>
  <c r="J407" i="6"/>
  <c r="J408" i="6" l="1"/>
  <c r="I409" i="6"/>
  <c r="J409" i="6" l="1"/>
  <c r="I410" i="6"/>
  <c r="I411" i="6" l="1"/>
  <c r="J410" i="6"/>
  <c r="I412" i="6" l="1"/>
  <c r="J411" i="6"/>
  <c r="J412" i="6" l="1"/>
  <c r="I413" i="6"/>
  <c r="I414" i="6" l="1"/>
  <c r="J413" i="6"/>
  <c r="I415" i="6" l="1"/>
  <c r="J414" i="6"/>
  <c r="I416" i="6" l="1"/>
  <c r="J415" i="6"/>
  <c r="I417" i="6" l="1"/>
  <c r="J416" i="6"/>
  <c r="I418" i="6" l="1"/>
  <c r="J417" i="6"/>
  <c r="I419" i="6" l="1"/>
  <c r="J418" i="6"/>
  <c r="I420" i="6" l="1"/>
  <c r="J419" i="6"/>
  <c r="I421" i="6" l="1"/>
  <c r="J420" i="6"/>
  <c r="I422" i="6" l="1"/>
  <c r="J421" i="6"/>
  <c r="I423" i="6" l="1"/>
  <c r="J422" i="6"/>
  <c r="I424" i="6" l="1"/>
  <c r="J423" i="6"/>
  <c r="I425" i="6" l="1"/>
  <c r="J424" i="6"/>
  <c r="J425" i="6" l="1"/>
  <c r="I426" i="6"/>
  <c r="I427" i="6" l="1"/>
  <c r="J426" i="6"/>
  <c r="J427" i="6" l="1"/>
  <c r="I428" i="6"/>
  <c r="I429" i="6" l="1"/>
  <c r="J428" i="6"/>
  <c r="I430" i="6" l="1"/>
  <c r="J429" i="6"/>
  <c r="I431" i="6" l="1"/>
  <c r="J430" i="6"/>
  <c r="I432" i="6" l="1"/>
  <c r="J431" i="6"/>
  <c r="I433" i="6" l="1"/>
  <c r="J432" i="6"/>
  <c r="I434" i="6" l="1"/>
  <c r="J433" i="6"/>
  <c r="I435" i="6" l="1"/>
  <c r="J434" i="6"/>
  <c r="I436" i="6" l="1"/>
  <c r="J435" i="6"/>
  <c r="J436" i="6" l="1"/>
  <c r="I437" i="6"/>
  <c r="I438" i="6" l="1"/>
  <c r="J437" i="6"/>
  <c r="J438" i="6" l="1"/>
  <c r="I439" i="6"/>
  <c r="I440" i="6" l="1"/>
  <c r="J439" i="6"/>
  <c r="I441" i="6" l="1"/>
  <c r="J440" i="6"/>
  <c r="I442" i="6" l="1"/>
  <c r="J441" i="6"/>
  <c r="I443" i="6" l="1"/>
  <c r="J442" i="6"/>
  <c r="J443" i="6" l="1"/>
  <c r="I444" i="6"/>
  <c r="I445" i="6" l="1"/>
  <c r="J444" i="6"/>
  <c r="I446" i="6" l="1"/>
  <c r="J445" i="6"/>
  <c r="I447" i="6" l="1"/>
  <c r="J446" i="6"/>
  <c r="I448" i="6" l="1"/>
  <c r="J447" i="6"/>
  <c r="I449" i="6" l="1"/>
  <c r="J448" i="6"/>
  <c r="I450" i="6" l="1"/>
  <c r="J449" i="6"/>
  <c r="I451" i="6" l="1"/>
  <c r="J450" i="6"/>
  <c r="I452" i="6" l="1"/>
  <c r="J451" i="6"/>
  <c r="I453" i="6" l="1"/>
  <c r="J452" i="6"/>
  <c r="I454" i="6" l="1"/>
  <c r="J453" i="6"/>
  <c r="I455" i="6" l="1"/>
  <c r="J454" i="6"/>
  <c r="I456" i="6" l="1"/>
  <c r="J455" i="6"/>
  <c r="J456" i="6" l="1"/>
  <c r="I457" i="6"/>
  <c r="J457" i="6" l="1"/>
  <c r="I458" i="6"/>
  <c r="J458" i="6" l="1"/>
  <c r="I459" i="6"/>
  <c r="I460" i="6" l="1"/>
  <c r="J459" i="6"/>
  <c r="I461" i="6" l="1"/>
  <c r="J460" i="6"/>
  <c r="I462" i="6" l="1"/>
  <c r="J461" i="6"/>
  <c r="I463" i="6" l="1"/>
  <c r="J462" i="6"/>
  <c r="I464" i="6" l="1"/>
  <c r="J463" i="6"/>
  <c r="I465" i="6" l="1"/>
  <c r="J464" i="6"/>
  <c r="I466" i="6" l="1"/>
  <c r="J465" i="6"/>
  <c r="I467" i="6" l="1"/>
  <c r="J466" i="6"/>
  <c r="I468" i="6" l="1"/>
  <c r="J467" i="6"/>
  <c r="J468" i="6" l="1"/>
  <c r="I469" i="6"/>
  <c r="I470" i="6" l="1"/>
  <c r="J469" i="6"/>
  <c r="J470" i="6" l="1"/>
  <c r="I471" i="6"/>
  <c r="I472" i="6" l="1"/>
  <c r="J471" i="6"/>
  <c r="I473" i="6" l="1"/>
  <c r="J472" i="6"/>
  <c r="I474" i="6" l="1"/>
  <c r="J473" i="6"/>
  <c r="I475" i="6" l="1"/>
  <c r="J474" i="6"/>
  <c r="I476" i="6" l="1"/>
  <c r="J475" i="6"/>
  <c r="I477" i="6" l="1"/>
  <c r="J476" i="6"/>
  <c r="I478" i="6" l="1"/>
  <c r="J477" i="6"/>
  <c r="I479" i="6" l="1"/>
  <c r="J478" i="6"/>
  <c r="I480" i="6" l="1"/>
  <c r="J479" i="6"/>
  <c r="I481" i="6" l="1"/>
  <c r="J480" i="6"/>
  <c r="I482" i="6" l="1"/>
  <c r="J481" i="6"/>
  <c r="I483" i="6" l="1"/>
  <c r="J482" i="6"/>
  <c r="I484" i="6" l="1"/>
  <c r="J483" i="6"/>
  <c r="I485" i="6" l="1"/>
  <c r="J484" i="6"/>
  <c r="I486" i="6" l="1"/>
  <c r="J485" i="6"/>
  <c r="I487" i="6" l="1"/>
  <c r="J486" i="6"/>
  <c r="I488" i="6" l="1"/>
  <c r="J487" i="6"/>
  <c r="J488" i="6" l="1"/>
  <c r="I489" i="6"/>
  <c r="J489" i="6" l="1"/>
  <c r="I490" i="6"/>
  <c r="J490" i="6" l="1"/>
  <c r="I491" i="6"/>
  <c r="J491" i="6" l="1"/>
  <c r="I492" i="6"/>
  <c r="J492" i="6" l="1"/>
  <c r="I493" i="6"/>
  <c r="J493" i="6" l="1"/>
  <c r="I494" i="6"/>
  <c r="I495" i="6" l="1"/>
  <c r="J494" i="6"/>
  <c r="I496" i="6" l="1"/>
  <c r="J495" i="6"/>
  <c r="I497" i="6" l="1"/>
  <c r="J496" i="6"/>
  <c r="I498" i="6" l="1"/>
  <c r="J497" i="6"/>
  <c r="I499" i="6" l="1"/>
  <c r="J498" i="6"/>
  <c r="I500" i="6" l="1"/>
  <c r="J499" i="6"/>
  <c r="J500" i="6" l="1"/>
  <c r="I501" i="6"/>
  <c r="I502" i="6" l="1"/>
  <c r="J501" i="6"/>
  <c r="J502" i="6" l="1"/>
  <c r="I503" i="6"/>
  <c r="J503" i="6" l="1"/>
  <c r="I504" i="6"/>
  <c r="J504" i="6" l="1"/>
  <c r="I505" i="6"/>
  <c r="J505" i="6" l="1"/>
  <c r="I506" i="6"/>
  <c r="J506" i="6" l="1"/>
  <c r="I507" i="6"/>
  <c r="I508" i="6" l="1"/>
  <c r="J507" i="6"/>
  <c r="I509" i="6" l="1"/>
  <c r="J508" i="6"/>
  <c r="I510" i="6" l="1"/>
  <c r="J509" i="6"/>
  <c r="I511" i="6" l="1"/>
  <c r="J510" i="6"/>
  <c r="I512" i="6" l="1"/>
  <c r="J511" i="6"/>
  <c r="I513" i="6" l="1"/>
  <c r="J512" i="6"/>
  <c r="I514" i="6" l="1"/>
  <c r="J513" i="6"/>
  <c r="I515" i="6" l="1"/>
  <c r="J514" i="6"/>
  <c r="I516" i="6" l="1"/>
  <c r="J515" i="6"/>
  <c r="I517" i="6" l="1"/>
  <c r="J516" i="6"/>
  <c r="I518" i="6" l="1"/>
  <c r="J517" i="6"/>
  <c r="I519" i="6" l="1"/>
  <c r="J518" i="6"/>
  <c r="I520" i="6" l="1"/>
  <c r="J519" i="6"/>
  <c r="J520" i="6" l="1"/>
  <c r="I521" i="6"/>
  <c r="I522" i="6" l="1"/>
  <c r="J521" i="6"/>
  <c r="J522" i="6" l="1"/>
  <c r="I523" i="6"/>
  <c r="J523" i="6" l="1"/>
  <c r="I524" i="6"/>
  <c r="J524" i="6" l="1"/>
  <c r="I525" i="6"/>
  <c r="I526" i="6" l="1"/>
  <c r="J525" i="6"/>
  <c r="I527" i="6" l="1"/>
  <c r="J526" i="6"/>
  <c r="I528" i="6" l="1"/>
  <c r="J527" i="6"/>
  <c r="I529" i="6" l="1"/>
  <c r="J528" i="6"/>
  <c r="I530" i="6" l="1"/>
  <c r="J529" i="6"/>
  <c r="I531" i="6" l="1"/>
  <c r="J530" i="6"/>
  <c r="I532" i="6" l="1"/>
  <c r="J531" i="6"/>
  <c r="J532" i="6" l="1"/>
  <c r="I533" i="6"/>
  <c r="I534" i="6" l="1"/>
  <c r="J533" i="6"/>
  <c r="J534" i="6" l="1"/>
  <c r="I535" i="6"/>
  <c r="J535" i="6" l="1"/>
  <c r="I536" i="6"/>
  <c r="J536" i="6" l="1"/>
  <c r="I537" i="6"/>
  <c r="J537" i="6" l="1"/>
  <c r="I538" i="6"/>
  <c r="J538" i="6" l="1"/>
  <c r="I539" i="6"/>
  <c r="J539" i="6" l="1"/>
  <c r="I540" i="6"/>
  <c r="J540" i="6" l="1"/>
  <c r="I541" i="6"/>
  <c r="I542" i="6" l="1"/>
  <c r="J541" i="6"/>
  <c r="I543" i="6" l="1"/>
  <c r="J542" i="6"/>
  <c r="I544" i="6" l="1"/>
  <c r="J543" i="6"/>
  <c r="I545" i="6" l="1"/>
  <c r="J544" i="6"/>
  <c r="I546" i="6" l="1"/>
  <c r="J545" i="6"/>
  <c r="I547" i="6" l="1"/>
  <c r="J546" i="6"/>
  <c r="I548" i="6" l="1"/>
  <c r="J547" i="6"/>
  <c r="I549" i="6" l="1"/>
  <c r="J548" i="6"/>
  <c r="I550" i="6" l="1"/>
  <c r="J549" i="6"/>
  <c r="I551" i="6" l="1"/>
  <c r="J550" i="6"/>
  <c r="J551" i="6" l="1"/>
  <c r="I552" i="6"/>
  <c r="I553" i="6" l="1"/>
  <c r="J552" i="6"/>
  <c r="I554" i="6" l="1"/>
  <c r="J553" i="6"/>
  <c r="J554" i="6" l="1"/>
  <c r="I555" i="6"/>
  <c r="I556" i="6" l="1"/>
  <c r="J555" i="6"/>
  <c r="J556" i="6" l="1"/>
  <c r="I557" i="6"/>
  <c r="I558" i="6" l="1"/>
  <c r="J557" i="6"/>
  <c r="I559" i="6" l="1"/>
  <c r="J558" i="6"/>
  <c r="I560" i="6" l="1"/>
  <c r="J559" i="6"/>
  <c r="I561" i="6" l="1"/>
  <c r="J560" i="6"/>
  <c r="J561" i="6" l="1"/>
  <c r="I562" i="6"/>
  <c r="I563" i="6" l="1"/>
  <c r="J562" i="6"/>
  <c r="I564" i="6" l="1"/>
  <c r="J563" i="6"/>
  <c r="J564" i="6" l="1"/>
  <c r="I565" i="6"/>
  <c r="I566" i="6" l="1"/>
  <c r="J565" i="6"/>
  <c r="J566" i="6" l="1"/>
  <c r="I567" i="6"/>
  <c r="I568" i="6" l="1"/>
  <c r="J567" i="6"/>
  <c r="I569" i="6" l="1"/>
  <c r="J568" i="6"/>
  <c r="J569" i="6" l="1"/>
  <c r="I570" i="6"/>
  <c r="J570" i="6" l="1"/>
  <c r="I571" i="6"/>
  <c r="J571" i="6" l="1"/>
  <c r="I572" i="6"/>
  <c r="J572" i="6" l="1"/>
  <c r="I573" i="6"/>
  <c r="I574" i="6" l="1"/>
  <c r="J573" i="6"/>
  <c r="I575" i="6" l="1"/>
  <c r="J574" i="6"/>
  <c r="I576" i="6" l="1"/>
  <c r="J575" i="6"/>
  <c r="I577" i="6" l="1"/>
  <c r="J576" i="6"/>
  <c r="I578" i="6" l="1"/>
  <c r="J577" i="6"/>
  <c r="I579" i="6" l="1"/>
  <c r="J578" i="6"/>
  <c r="I580" i="6" l="1"/>
  <c r="J579" i="6"/>
  <c r="I581" i="6" l="1"/>
  <c r="J580" i="6"/>
  <c r="I582" i="6" l="1"/>
  <c r="J581" i="6"/>
  <c r="I583" i="6" l="1"/>
  <c r="J582" i="6"/>
  <c r="I584" i="6" l="1"/>
  <c r="J583" i="6"/>
  <c r="I585" i="6" l="1"/>
  <c r="J584" i="6"/>
  <c r="I586" i="6" l="1"/>
  <c r="J585" i="6"/>
  <c r="I587" i="6" l="1"/>
  <c r="J586" i="6"/>
  <c r="J587" i="6" l="1"/>
  <c r="I588" i="6"/>
  <c r="I589" i="6" l="1"/>
  <c r="J588" i="6"/>
  <c r="I590" i="6" l="1"/>
  <c r="J589" i="6"/>
  <c r="I591" i="6" l="1"/>
  <c r="J590" i="6"/>
  <c r="I592" i="6" l="1"/>
  <c r="J591" i="6"/>
  <c r="I593" i="6" l="1"/>
  <c r="J592" i="6"/>
  <c r="I594" i="6" l="1"/>
  <c r="J593" i="6"/>
  <c r="I595" i="6" l="1"/>
  <c r="J594" i="6"/>
  <c r="I596" i="6" l="1"/>
  <c r="J595" i="6"/>
  <c r="J596" i="6" l="1"/>
  <c r="I597" i="6"/>
  <c r="I598" i="6" l="1"/>
  <c r="J597" i="6"/>
  <c r="I599" i="6" l="1"/>
  <c r="J598" i="6"/>
  <c r="I600" i="6" l="1"/>
  <c r="J599" i="6"/>
  <c r="I601" i="6" l="1"/>
  <c r="J600" i="6"/>
  <c r="I602" i="6" l="1"/>
  <c r="J601" i="6"/>
  <c r="I603" i="6" l="1"/>
  <c r="J602" i="6"/>
  <c r="I604" i="6" l="1"/>
  <c r="J603" i="6"/>
  <c r="I605" i="6" l="1"/>
  <c r="J604" i="6"/>
  <c r="I606" i="6" l="1"/>
  <c r="J605" i="6"/>
  <c r="I607" i="6" l="1"/>
  <c r="J606" i="6"/>
  <c r="I608" i="6" l="1"/>
  <c r="J607" i="6"/>
  <c r="I609" i="6" l="1"/>
  <c r="J608" i="6"/>
  <c r="I610" i="6" l="1"/>
  <c r="J609" i="6"/>
  <c r="I611" i="6" l="1"/>
  <c r="J610" i="6"/>
  <c r="I612" i="6" l="1"/>
  <c r="J611" i="6"/>
  <c r="I613" i="6" l="1"/>
  <c r="J612" i="6"/>
  <c r="I614" i="6" l="1"/>
  <c r="J613" i="6"/>
  <c r="I615" i="6" l="1"/>
  <c r="J614" i="6"/>
  <c r="I616" i="6" l="1"/>
  <c r="J615" i="6"/>
  <c r="I617" i="6" l="1"/>
  <c r="J616" i="6"/>
  <c r="I618" i="6" l="1"/>
  <c r="J617" i="6"/>
  <c r="I619" i="6" l="1"/>
  <c r="J618" i="6"/>
  <c r="I620" i="6" l="1"/>
  <c r="J619" i="6"/>
  <c r="I621" i="6" l="1"/>
  <c r="J620" i="6"/>
  <c r="I622" i="6" l="1"/>
  <c r="J621" i="6"/>
  <c r="I623" i="6" l="1"/>
  <c r="J622" i="6"/>
  <c r="I624" i="6" l="1"/>
  <c r="J623" i="6"/>
  <c r="I625" i="6" l="1"/>
  <c r="J624" i="6"/>
  <c r="I626" i="6" l="1"/>
  <c r="J625" i="6"/>
  <c r="J626" i="6" l="1"/>
  <c r="I627" i="6"/>
  <c r="I628" i="6" l="1"/>
  <c r="J627" i="6"/>
  <c r="I629" i="6" l="1"/>
  <c r="J628" i="6"/>
  <c r="I630" i="6" l="1"/>
  <c r="J629" i="6"/>
  <c r="I631" i="6" l="1"/>
  <c r="J630" i="6"/>
  <c r="J631" i="6" l="1"/>
  <c r="I632" i="6"/>
  <c r="J632" i="6" l="1"/>
  <c r="I633" i="6"/>
  <c r="J633" i="6" l="1"/>
  <c r="I634" i="6"/>
  <c r="I635" i="6" l="1"/>
  <c r="J634" i="6"/>
  <c r="I636" i="6" l="1"/>
  <c r="J635" i="6"/>
  <c r="I637" i="6" l="1"/>
  <c r="J636" i="6"/>
  <c r="I638" i="6" l="1"/>
  <c r="J637" i="6"/>
  <c r="I639" i="6" l="1"/>
  <c r="J638" i="6"/>
  <c r="I640" i="6" l="1"/>
  <c r="J639" i="6"/>
  <c r="I641" i="6" l="1"/>
  <c r="J640" i="6"/>
  <c r="I642" i="6" l="1"/>
  <c r="J641" i="6"/>
  <c r="I643" i="6" l="1"/>
  <c r="J642" i="6"/>
  <c r="I644" i="6" l="1"/>
  <c r="J643" i="6"/>
  <c r="I645" i="6" l="1"/>
  <c r="J644" i="6"/>
  <c r="I646" i="6" l="1"/>
  <c r="J645" i="6"/>
  <c r="I647" i="6" l="1"/>
  <c r="J646" i="6"/>
  <c r="I648" i="6" l="1"/>
  <c r="J647" i="6"/>
  <c r="I649" i="6" l="1"/>
  <c r="J648" i="6"/>
  <c r="I650" i="6" l="1"/>
  <c r="J649" i="6"/>
  <c r="I651" i="6" l="1"/>
  <c r="J650" i="6"/>
  <c r="I652" i="6" l="1"/>
  <c r="J651" i="6"/>
  <c r="I653" i="6" l="1"/>
  <c r="J652" i="6"/>
  <c r="I654" i="6" l="1"/>
  <c r="J653" i="6"/>
  <c r="I655" i="6" l="1"/>
  <c r="J654" i="6"/>
  <c r="I656" i="6" l="1"/>
  <c r="J655" i="6"/>
  <c r="I657" i="6" l="1"/>
  <c r="J656" i="6"/>
  <c r="I658" i="6" l="1"/>
  <c r="J657" i="6"/>
  <c r="J658" i="6" l="1"/>
  <c r="I659" i="6"/>
  <c r="I660" i="6" l="1"/>
  <c r="J659" i="6"/>
  <c r="I661" i="6" l="1"/>
  <c r="J660" i="6"/>
  <c r="I662" i="6" l="1"/>
  <c r="J661" i="6"/>
  <c r="I663" i="6" l="1"/>
  <c r="J662" i="6"/>
  <c r="J663" i="6" l="1"/>
  <c r="I664" i="6"/>
  <c r="J664" i="6" l="1"/>
  <c r="I665" i="6"/>
  <c r="J665" i="6" l="1"/>
  <c r="I666" i="6"/>
  <c r="J666" i="6" l="1"/>
  <c r="I667" i="6"/>
  <c r="J667" i="6" l="1"/>
  <c r="I668" i="6"/>
  <c r="I669" i="6" l="1"/>
  <c r="J668" i="6"/>
  <c r="I670" i="6" l="1"/>
  <c r="J669" i="6"/>
  <c r="I671" i="6" l="1"/>
  <c r="J670" i="6"/>
  <c r="I672" i="6" l="1"/>
  <c r="J671" i="6"/>
  <c r="I673" i="6" l="1"/>
  <c r="J672" i="6"/>
  <c r="I674" i="6" l="1"/>
  <c r="J673" i="6"/>
  <c r="I675" i="6" l="1"/>
  <c r="J674" i="6"/>
  <c r="I676" i="6" l="1"/>
  <c r="J675" i="6"/>
  <c r="I677" i="6" l="1"/>
  <c r="J676" i="6"/>
  <c r="I678" i="6" l="1"/>
  <c r="J677" i="6"/>
  <c r="I679" i="6" l="1"/>
  <c r="J678" i="6"/>
  <c r="I680" i="6" l="1"/>
  <c r="J679" i="6"/>
  <c r="I681" i="6" l="1"/>
  <c r="J680" i="6"/>
  <c r="I682" i="6" l="1"/>
  <c r="J681" i="6"/>
  <c r="I683" i="6" l="1"/>
  <c r="J682" i="6"/>
  <c r="I684" i="6" l="1"/>
  <c r="J683" i="6"/>
  <c r="I685" i="6" l="1"/>
  <c r="J684" i="6"/>
  <c r="I686" i="6" l="1"/>
  <c r="J685" i="6"/>
  <c r="I687" i="6" l="1"/>
  <c r="J686" i="6"/>
  <c r="I688" i="6" l="1"/>
  <c r="J687" i="6"/>
  <c r="I689" i="6" l="1"/>
  <c r="J688" i="6"/>
  <c r="I690" i="6" l="1"/>
  <c r="J689" i="6"/>
  <c r="J690" i="6" l="1"/>
  <c r="I691" i="6"/>
  <c r="I692" i="6" l="1"/>
  <c r="J691" i="6"/>
  <c r="I693" i="6" l="1"/>
  <c r="J692" i="6"/>
  <c r="I694" i="6" l="1"/>
  <c r="J693" i="6"/>
  <c r="I695" i="6" l="1"/>
  <c r="J694" i="6"/>
  <c r="J695" i="6" l="1"/>
  <c r="I696" i="6"/>
  <c r="J696" i="6" l="1"/>
  <c r="I697" i="6"/>
  <c r="J697" i="6" l="1"/>
  <c r="I698" i="6"/>
  <c r="J698" i="6" l="1"/>
  <c r="I699" i="6"/>
  <c r="J699" i="6" l="1"/>
  <c r="I700" i="6"/>
  <c r="J700" i="6" l="1"/>
  <c r="I701" i="6"/>
  <c r="I702" i="6" l="1"/>
  <c r="J701" i="6"/>
  <c r="I703" i="6" l="1"/>
  <c r="J702" i="6"/>
  <c r="I704" i="6" l="1"/>
  <c r="J703" i="6"/>
  <c r="I705" i="6" l="1"/>
  <c r="J704" i="6"/>
  <c r="I706" i="6" l="1"/>
  <c r="J705" i="6"/>
  <c r="J706" i="6" l="1"/>
  <c r="I707" i="6"/>
  <c r="I708" i="6" l="1"/>
  <c r="J707" i="6"/>
  <c r="I709" i="6" l="1"/>
  <c r="J708" i="6"/>
  <c r="I710" i="6" l="1"/>
  <c r="J709" i="6"/>
  <c r="I711" i="6" l="1"/>
  <c r="J710" i="6"/>
  <c r="I712" i="6" l="1"/>
  <c r="J711" i="6"/>
  <c r="I713" i="6" l="1"/>
  <c r="J712" i="6"/>
  <c r="I714" i="6" l="1"/>
  <c r="J713" i="6"/>
  <c r="I715" i="6" l="1"/>
  <c r="J714" i="6"/>
  <c r="I716" i="6" l="1"/>
  <c r="J715" i="6"/>
  <c r="I717" i="6" l="1"/>
  <c r="J716" i="6"/>
  <c r="I718" i="6" l="1"/>
  <c r="J717" i="6"/>
  <c r="I719" i="6" l="1"/>
  <c r="J718" i="6"/>
  <c r="I720" i="6" l="1"/>
  <c r="J719" i="6"/>
  <c r="I721" i="6" l="1"/>
  <c r="J720" i="6"/>
  <c r="I722" i="6" l="1"/>
  <c r="J721" i="6"/>
  <c r="J722" i="6" l="1"/>
  <c r="I723" i="6"/>
  <c r="I724" i="6" l="1"/>
  <c r="J723" i="6"/>
  <c r="I725" i="6" l="1"/>
  <c r="J724" i="6"/>
  <c r="I726" i="6" l="1"/>
  <c r="J725" i="6"/>
  <c r="I727" i="6" l="1"/>
  <c r="J726" i="6"/>
  <c r="J727" i="6" l="1"/>
  <c r="I728" i="6"/>
  <c r="J728" i="6" l="1"/>
  <c r="I729" i="6"/>
  <c r="J729" i="6" l="1"/>
  <c r="I730" i="6"/>
  <c r="J730" i="6" l="1"/>
  <c r="I731" i="6"/>
  <c r="J731" i="6" l="1"/>
  <c r="I732" i="6"/>
  <c r="J732" i="6" l="1"/>
  <c r="I733" i="6"/>
  <c r="I734" i="6" l="1"/>
  <c r="J733" i="6"/>
  <c r="I735" i="6" l="1"/>
  <c r="J734" i="6"/>
  <c r="I736" i="6" l="1"/>
  <c r="J735" i="6"/>
  <c r="I737" i="6" l="1"/>
  <c r="J736" i="6"/>
  <c r="I738" i="6" l="1"/>
  <c r="J737" i="6"/>
  <c r="J738" i="6" l="1"/>
  <c r="I739" i="6"/>
  <c r="I740" i="6" l="1"/>
  <c r="J739" i="6"/>
  <c r="I741" i="6" l="1"/>
  <c r="J740" i="6"/>
  <c r="I742" i="6" l="1"/>
  <c r="J741" i="6"/>
  <c r="I743" i="6" l="1"/>
  <c r="J742" i="6"/>
  <c r="J743" i="6" l="1"/>
  <c r="I744" i="6"/>
  <c r="J744" i="6" l="1"/>
  <c r="I745" i="6"/>
  <c r="I746" i="6" l="1"/>
  <c r="J745" i="6"/>
  <c r="I747" i="6" l="1"/>
  <c r="J746" i="6"/>
  <c r="I748" i="6" l="1"/>
  <c r="J747" i="6"/>
  <c r="I749" i="6" l="1"/>
  <c r="J748" i="6"/>
  <c r="I750" i="6" l="1"/>
  <c r="J749" i="6"/>
  <c r="I751" i="6" l="1"/>
  <c r="J750" i="6"/>
  <c r="I752" i="6" l="1"/>
  <c r="J751" i="6"/>
  <c r="I753" i="6" l="1"/>
  <c r="J752" i="6"/>
  <c r="I754" i="6" l="1"/>
  <c r="J753" i="6"/>
  <c r="J754" i="6" l="1"/>
  <c r="I755" i="6"/>
  <c r="I756" i="6" l="1"/>
  <c r="J755" i="6"/>
  <c r="I757" i="6" l="1"/>
  <c r="J756" i="6"/>
  <c r="I758" i="6" l="1"/>
  <c r="J757" i="6"/>
  <c r="I759" i="6" l="1"/>
  <c r="J758" i="6"/>
  <c r="I760" i="6" l="1"/>
  <c r="J759" i="6"/>
  <c r="J760" i="6" l="1"/>
  <c r="I761" i="6"/>
  <c r="I762" i="6" l="1"/>
  <c r="J761" i="6"/>
  <c r="J762" i="6" l="1"/>
  <c r="I763" i="6"/>
  <c r="J763" i="6" l="1"/>
  <c r="I764" i="6"/>
  <c r="J764" i="6" l="1"/>
  <c r="I765" i="6"/>
  <c r="I766" i="6" l="1"/>
  <c r="J765" i="6"/>
  <c r="I767" i="6" l="1"/>
  <c r="J766" i="6"/>
  <c r="I768" i="6" l="1"/>
  <c r="J767" i="6"/>
  <c r="I769" i="6" l="1"/>
  <c r="J768" i="6"/>
  <c r="J769" i="6" l="1"/>
  <c r="I770" i="6"/>
  <c r="J770" i="6" l="1"/>
  <c r="I771" i="6"/>
  <c r="I772" i="6" l="1"/>
  <c r="J771" i="6"/>
  <c r="I773" i="6" l="1"/>
  <c r="J772" i="6"/>
  <c r="I774" i="6" l="1"/>
  <c r="J773" i="6"/>
  <c r="I775" i="6" l="1"/>
  <c r="J774" i="6"/>
  <c r="J775" i="6" l="1"/>
  <c r="I776" i="6"/>
  <c r="J776" i="6" l="1"/>
  <c r="I777" i="6"/>
  <c r="I778" i="6" l="1"/>
  <c r="J777" i="6"/>
  <c r="I779" i="6" l="1"/>
  <c r="J778" i="6"/>
  <c r="I780" i="6" l="1"/>
  <c r="J779" i="6"/>
  <c r="I781" i="6" l="1"/>
  <c r="J780" i="6"/>
  <c r="I782" i="6" l="1"/>
  <c r="J781" i="6"/>
  <c r="I783" i="6" l="1"/>
  <c r="J782" i="6"/>
  <c r="I784" i="6" l="1"/>
  <c r="J783" i="6"/>
  <c r="I785" i="6" l="1"/>
  <c r="J784" i="6"/>
  <c r="I786" i="6" l="1"/>
  <c r="J785" i="6"/>
  <c r="J786" i="6" l="1"/>
  <c r="I787" i="6"/>
  <c r="I788" i="6" l="1"/>
  <c r="J787" i="6"/>
  <c r="I789" i="6" l="1"/>
  <c r="J788" i="6"/>
  <c r="I790" i="6" l="1"/>
  <c r="J789" i="6"/>
  <c r="I791" i="6" l="1"/>
  <c r="J790" i="6"/>
  <c r="I792" i="6" l="1"/>
  <c r="J791" i="6"/>
  <c r="J792" i="6" l="1"/>
  <c r="I793" i="6"/>
  <c r="J793" i="6" l="1"/>
  <c r="I794" i="6"/>
  <c r="J794" i="6" l="1"/>
  <c r="I795" i="6"/>
  <c r="I796" i="6" l="1"/>
  <c r="J795" i="6"/>
  <c r="J796" i="6" l="1"/>
  <c r="I797" i="6"/>
  <c r="I798" i="6" l="1"/>
  <c r="J797" i="6"/>
  <c r="I799" i="6" l="1"/>
  <c r="J798" i="6"/>
  <c r="I800" i="6" l="1"/>
  <c r="J799" i="6"/>
  <c r="I801" i="6" l="1"/>
  <c r="J800" i="6"/>
  <c r="J801" i="6" l="1"/>
  <c r="I802" i="6"/>
  <c r="J802" i="6" l="1"/>
  <c r="I803" i="6"/>
  <c r="I804" i="6" l="1"/>
  <c r="J803" i="6"/>
  <c r="I805" i="6" l="1"/>
  <c r="J804" i="6"/>
  <c r="I806" i="6" l="1"/>
  <c r="J805" i="6"/>
  <c r="I807" i="6" l="1"/>
  <c r="J806" i="6"/>
  <c r="J807" i="6" l="1"/>
  <c r="I808" i="6"/>
  <c r="J808" i="6" l="1"/>
  <c r="I809" i="6"/>
  <c r="I810" i="6" l="1"/>
  <c r="J809" i="6"/>
  <c r="I811" i="6" l="1"/>
  <c r="J810" i="6"/>
  <c r="I812" i="6" l="1"/>
  <c r="J811" i="6"/>
  <c r="I813" i="6" l="1"/>
  <c r="J812" i="6"/>
  <c r="I814" i="6" l="1"/>
  <c r="J813" i="6"/>
  <c r="I815" i="6" l="1"/>
  <c r="J814" i="6"/>
  <c r="I816" i="6" l="1"/>
  <c r="J816" i="6" s="1"/>
  <c r="K12" i="6" s="1" a="1"/>
  <c r="J815" i="6"/>
  <c r="K12" i="6" l="1"/>
  <c r="K14" i="6"/>
  <c r="K32" i="6"/>
  <c r="K50" i="6"/>
  <c r="K68" i="6"/>
  <c r="K86" i="6"/>
  <c r="K104" i="6"/>
  <c r="K122" i="6"/>
  <c r="K142" i="6"/>
  <c r="K160" i="6"/>
  <c r="K178" i="6"/>
  <c r="K196" i="6"/>
  <c r="K214" i="6"/>
  <c r="K232" i="6"/>
  <c r="K250" i="6"/>
  <c r="K270" i="6"/>
  <c r="K288" i="6"/>
  <c r="K306" i="6"/>
  <c r="K324" i="6"/>
  <c r="K342" i="6"/>
  <c r="K360" i="6"/>
  <c r="K378" i="6"/>
  <c r="K398" i="6"/>
  <c r="K416" i="6"/>
  <c r="K434" i="6"/>
  <c r="K452" i="6"/>
  <c r="K470" i="6"/>
  <c r="K488" i="6"/>
  <c r="K506" i="6"/>
  <c r="K526" i="6"/>
  <c r="K544" i="6"/>
  <c r="K562" i="6"/>
  <c r="K579" i="6"/>
  <c r="K596" i="6"/>
  <c r="K613" i="6"/>
  <c r="K630" i="6"/>
  <c r="K647" i="6"/>
  <c r="K664" i="6"/>
  <c r="K681" i="6"/>
  <c r="K698" i="6"/>
  <c r="K715" i="6"/>
  <c r="K733" i="6"/>
  <c r="K750" i="6"/>
  <c r="K767" i="6"/>
  <c r="K784" i="6"/>
  <c r="K801" i="6"/>
  <c r="K15" i="6"/>
  <c r="K33" i="6"/>
  <c r="K51" i="6"/>
  <c r="K69" i="6"/>
  <c r="K87" i="6"/>
  <c r="K105" i="6"/>
  <c r="K123" i="6"/>
  <c r="K143" i="6"/>
  <c r="K161" i="6"/>
  <c r="K179" i="6"/>
  <c r="K197" i="6"/>
  <c r="K215" i="6"/>
  <c r="K233" i="6"/>
  <c r="K251" i="6"/>
  <c r="K271" i="6"/>
  <c r="K289" i="6"/>
  <c r="K307" i="6"/>
  <c r="K325" i="6"/>
  <c r="K343" i="6"/>
  <c r="K361" i="6"/>
  <c r="K379" i="6"/>
  <c r="K399" i="6"/>
  <c r="K417" i="6"/>
  <c r="K435" i="6"/>
  <c r="K453" i="6"/>
  <c r="K471" i="6"/>
  <c r="K489" i="6"/>
  <c r="K507" i="6"/>
  <c r="K527" i="6"/>
  <c r="K545" i="6"/>
  <c r="K563" i="6"/>
  <c r="K580" i="6"/>
  <c r="K597" i="6"/>
  <c r="K614" i="6"/>
  <c r="K631" i="6"/>
  <c r="K648" i="6"/>
  <c r="K665" i="6"/>
  <c r="K682" i="6"/>
  <c r="K699" i="6"/>
  <c r="K717" i="6"/>
  <c r="K734" i="6"/>
  <c r="K751" i="6"/>
  <c r="K768" i="6"/>
  <c r="K785" i="6"/>
  <c r="K802" i="6"/>
  <c r="K16" i="6"/>
  <c r="K34" i="6"/>
  <c r="K52" i="6"/>
  <c r="K70" i="6"/>
  <c r="K88" i="6"/>
  <c r="K106" i="6"/>
  <c r="K126" i="6"/>
  <c r="K144" i="6"/>
  <c r="K162" i="6"/>
  <c r="K180" i="6"/>
  <c r="K198" i="6"/>
  <c r="K216" i="6"/>
  <c r="K234" i="6"/>
  <c r="K254" i="6"/>
  <c r="K272" i="6"/>
  <c r="K290" i="6"/>
  <c r="K308" i="6"/>
  <c r="K326" i="6"/>
  <c r="K344" i="6"/>
  <c r="K362" i="6"/>
  <c r="K382" i="6"/>
  <c r="K400" i="6"/>
  <c r="K418" i="6"/>
  <c r="K436" i="6"/>
  <c r="K454" i="6"/>
  <c r="K472" i="6"/>
  <c r="K490" i="6"/>
  <c r="K510" i="6"/>
  <c r="K528" i="6"/>
  <c r="K546" i="6"/>
  <c r="K564" i="6"/>
  <c r="K581" i="6"/>
  <c r="K598" i="6"/>
  <c r="K615" i="6"/>
  <c r="K632" i="6"/>
  <c r="K649" i="6"/>
  <c r="K666" i="6"/>
  <c r="K683" i="6"/>
  <c r="K701" i="6"/>
  <c r="K718" i="6"/>
  <c r="K735" i="6"/>
  <c r="K752" i="6"/>
  <c r="K769" i="6"/>
  <c r="K786" i="6"/>
  <c r="K803" i="6"/>
  <c r="K17" i="6"/>
  <c r="K35" i="6"/>
  <c r="K53" i="6"/>
  <c r="K71" i="6"/>
  <c r="K89" i="6"/>
  <c r="K107" i="6"/>
  <c r="K127" i="6"/>
  <c r="K145" i="6"/>
  <c r="K163" i="6"/>
  <c r="K181" i="6"/>
  <c r="K199" i="6"/>
  <c r="K217" i="6"/>
  <c r="K235" i="6"/>
  <c r="K255" i="6"/>
  <c r="K273" i="6"/>
  <c r="K291" i="6"/>
  <c r="K309" i="6"/>
  <c r="K327" i="6"/>
  <c r="K345" i="6"/>
  <c r="K363" i="6"/>
  <c r="K383" i="6"/>
  <c r="K401" i="6"/>
  <c r="K419" i="6"/>
  <c r="K437" i="6"/>
  <c r="K455" i="6"/>
  <c r="K473" i="6"/>
  <c r="K491" i="6"/>
  <c r="K511" i="6"/>
  <c r="K529" i="6"/>
  <c r="K547" i="6"/>
  <c r="K565" i="6"/>
  <c r="K582" i="6"/>
  <c r="K599" i="6"/>
  <c r="K616" i="6"/>
  <c r="K633" i="6"/>
  <c r="K650" i="6"/>
  <c r="K667" i="6"/>
  <c r="K685" i="6"/>
  <c r="K702" i="6"/>
  <c r="K719" i="6"/>
  <c r="K736" i="6"/>
  <c r="K753" i="6"/>
  <c r="K770" i="6"/>
  <c r="K787" i="6"/>
  <c r="K804" i="6"/>
  <c r="K18" i="6"/>
  <c r="K36" i="6"/>
  <c r="K54" i="6"/>
  <c r="K72" i="6"/>
  <c r="K90" i="6"/>
  <c r="K110" i="6"/>
  <c r="K128" i="6"/>
  <c r="K146" i="6"/>
  <c r="K164" i="6"/>
  <c r="K182" i="6"/>
  <c r="K200" i="6"/>
  <c r="K218" i="6"/>
  <c r="K238" i="6"/>
  <c r="K256" i="6"/>
  <c r="K274" i="6"/>
  <c r="K292" i="6"/>
  <c r="K310" i="6"/>
  <c r="K328" i="6"/>
  <c r="K346" i="6"/>
  <c r="K366" i="6"/>
  <c r="K384" i="6"/>
  <c r="K402" i="6"/>
  <c r="K420" i="6"/>
  <c r="K438" i="6"/>
  <c r="K456" i="6"/>
  <c r="K474" i="6"/>
  <c r="K494" i="6"/>
  <c r="K512" i="6"/>
  <c r="K530" i="6"/>
  <c r="K548" i="6"/>
  <c r="K566" i="6"/>
  <c r="K583" i="6"/>
  <c r="K600" i="6"/>
  <c r="K617" i="6"/>
  <c r="K634" i="6"/>
  <c r="K651" i="6"/>
  <c r="K669" i="6"/>
  <c r="K686" i="6"/>
  <c r="K703" i="6"/>
  <c r="K720" i="6"/>
  <c r="K737" i="6"/>
  <c r="K754" i="6"/>
  <c r="K771" i="6"/>
  <c r="K788" i="6"/>
  <c r="K805" i="6"/>
  <c r="K19" i="6"/>
  <c r="K37" i="6"/>
  <c r="K55" i="6"/>
  <c r="K73" i="6"/>
  <c r="K91" i="6"/>
  <c r="K111" i="6"/>
  <c r="K129" i="6"/>
  <c r="K147" i="6"/>
  <c r="K165" i="6"/>
  <c r="K183" i="6"/>
  <c r="K201" i="6"/>
  <c r="K219" i="6"/>
  <c r="K239" i="6"/>
  <c r="K257" i="6"/>
  <c r="K275" i="6"/>
  <c r="K293" i="6"/>
  <c r="K311" i="6"/>
  <c r="K329" i="6"/>
  <c r="K347" i="6"/>
  <c r="K367" i="6"/>
  <c r="K385" i="6"/>
  <c r="K403" i="6"/>
  <c r="K421" i="6"/>
  <c r="K439" i="6"/>
  <c r="K457" i="6"/>
  <c r="K475" i="6"/>
  <c r="K495" i="6"/>
  <c r="K513" i="6"/>
  <c r="K531" i="6"/>
  <c r="K549" i="6"/>
  <c r="K567" i="6"/>
  <c r="K584" i="6"/>
  <c r="K601" i="6"/>
  <c r="K618" i="6"/>
  <c r="K635" i="6"/>
  <c r="K653" i="6"/>
  <c r="K670" i="6"/>
  <c r="K687" i="6"/>
  <c r="K704" i="6"/>
  <c r="K721" i="6"/>
  <c r="K738" i="6"/>
  <c r="K755" i="6"/>
  <c r="K772" i="6"/>
  <c r="K789" i="6"/>
  <c r="K806" i="6"/>
  <c r="K20" i="6"/>
  <c r="K38" i="6"/>
  <c r="K56" i="6"/>
  <c r="K74" i="6"/>
  <c r="K94" i="6"/>
  <c r="K112" i="6"/>
  <c r="K130" i="6"/>
  <c r="K148" i="6"/>
  <c r="K166" i="6"/>
  <c r="K184" i="6"/>
  <c r="K202" i="6"/>
  <c r="K222" i="6"/>
  <c r="K240" i="6"/>
  <c r="K258" i="6"/>
  <c r="K276" i="6"/>
  <c r="K294" i="6"/>
  <c r="K312" i="6"/>
  <c r="K330" i="6"/>
  <c r="K350" i="6"/>
  <c r="K368" i="6"/>
  <c r="K386" i="6"/>
  <c r="K404" i="6"/>
  <c r="K422" i="6"/>
  <c r="K440" i="6"/>
  <c r="K458" i="6"/>
  <c r="K478" i="6"/>
  <c r="K496" i="6"/>
  <c r="K514" i="6"/>
  <c r="K532" i="6"/>
  <c r="K550" i="6"/>
  <c r="K568" i="6"/>
  <c r="K585" i="6"/>
  <c r="K602" i="6"/>
  <c r="K619" i="6"/>
  <c r="K637" i="6"/>
  <c r="K654" i="6"/>
  <c r="K671" i="6"/>
  <c r="K688" i="6"/>
  <c r="K705" i="6"/>
  <c r="K722" i="6"/>
  <c r="K739" i="6"/>
  <c r="K756" i="6"/>
  <c r="K773" i="6"/>
  <c r="K790" i="6"/>
  <c r="K807" i="6"/>
  <c r="K21" i="6"/>
  <c r="K39" i="6"/>
  <c r="K57" i="6"/>
  <c r="K75" i="6"/>
  <c r="K95" i="6"/>
  <c r="K113" i="6"/>
  <c r="K131" i="6"/>
  <c r="K149" i="6"/>
  <c r="K167" i="6"/>
  <c r="K185" i="6"/>
  <c r="K203" i="6"/>
  <c r="K223" i="6"/>
  <c r="K241" i="6"/>
  <c r="K259" i="6"/>
  <c r="K277" i="6"/>
  <c r="K295" i="6"/>
  <c r="K313" i="6"/>
  <c r="K331" i="6"/>
  <c r="K351" i="6"/>
  <c r="K369" i="6"/>
  <c r="K387" i="6"/>
  <c r="K405" i="6"/>
  <c r="K423" i="6"/>
  <c r="K441" i="6"/>
  <c r="K459" i="6"/>
  <c r="K479" i="6"/>
  <c r="K497" i="6"/>
  <c r="K515" i="6"/>
  <c r="K533" i="6"/>
  <c r="K551" i="6"/>
  <c r="K569" i="6"/>
  <c r="K586" i="6"/>
  <c r="K603" i="6"/>
  <c r="K621" i="6"/>
  <c r="K638" i="6"/>
  <c r="K655" i="6"/>
  <c r="K672" i="6"/>
  <c r="K689" i="6"/>
  <c r="K706" i="6"/>
  <c r="K723" i="6"/>
  <c r="K740" i="6"/>
  <c r="K757" i="6"/>
  <c r="K774" i="6"/>
  <c r="K791" i="6"/>
  <c r="K808" i="6"/>
  <c r="K22" i="6"/>
  <c r="K40" i="6"/>
  <c r="K58" i="6"/>
  <c r="K78" i="6"/>
  <c r="K96" i="6"/>
  <c r="K114" i="6"/>
  <c r="K132" i="6"/>
  <c r="K150" i="6"/>
  <c r="K168" i="6"/>
  <c r="K186" i="6"/>
  <c r="K206" i="6"/>
  <c r="K224" i="6"/>
  <c r="K242" i="6"/>
  <c r="K260" i="6"/>
  <c r="K278" i="6"/>
  <c r="K296" i="6"/>
  <c r="K314" i="6"/>
  <c r="K334" i="6"/>
  <c r="K352" i="6"/>
  <c r="K370" i="6"/>
  <c r="K388" i="6"/>
  <c r="K406" i="6"/>
  <c r="K424" i="6"/>
  <c r="K442" i="6"/>
  <c r="K462" i="6"/>
  <c r="K480" i="6"/>
  <c r="K498" i="6"/>
  <c r="K516" i="6"/>
  <c r="K534" i="6"/>
  <c r="K552" i="6"/>
  <c r="K570" i="6"/>
  <c r="K587" i="6"/>
  <c r="K605" i="6"/>
  <c r="K622" i="6"/>
  <c r="K639" i="6"/>
  <c r="K656" i="6"/>
  <c r="K673" i="6"/>
  <c r="K690" i="6"/>
  <c r="K707" i="6"/>
  <c r="K724" i="6"/>
  <c r="K741" i="6"/>
  <c r="K758" i="6"/>
  <c r="K775" i="6"/>
  <c r="K792" i="6"/>
  <c r="K809" i="6"/>
  <c r="K43" i="6"/>
  <c r="K153" i="6"/>
  <c r="K245" i="6"/>
  <c r="K299" i="6"/>
  <c r="K391" i="6"/>
  <c r="K447" i="6"/>
  <c r="K519" i="6"/>
  <c r="K574" i="6"/>
  <c r="K608" i="6"/>
  <c r="K659" i="6"/>
  <c r="K710" i="6"/>
  <c r="K761" i="6"/>
  <c r="K46" i="6"/>
  <c r="K320" i="6"/>
  <c r="K466" i="6"/>
  <c r="K558" i="6"/>
  <c r="K677" i="6"/>
  <c r="K745" i="6"/>
  <c r="K814" i="6"/>
  <c r="K48" i="6"/>
  <c r="K394" i="6"/>
  <c r="K560" i="6"/>
  <c r="K679" i="6"/>
  <c r="K765" i="6"/>
  <c r="K49" i="6"/>
  <c r="K213" i="6"/>
  <c r="K341" i="6"/>
  <c r="K451" i="6"/>
  <c r="K543" i="6"/>
  <c r="K629" i="6"/>
  <c r="K714" i="6"/>
  <c r="K800" i="6"/>
  <c r="K23" i="6"/>
  <c r="K41" i="6"/>
  <c r="K59" i="6"/>
  <c r="K79" i="6"/>
  <c r="K97" i="6"/>
  <c r="K115" i="6"/>
  <c r="K133" i="6"/>
  <c r="K151" i="6"/>
  <c r="K169" i="6"/>
  <c r="K187" i="6"/>
  <c r="K207" i="6"/>
  <c r="K225" i="6"/>
  <c r="K243" i="6"/>
  <c r="K261" i="6"/>
  <c r="K279" i="6"/>
  <c r="K297" i="6"/>
  <c r="K315" i="6"/>
  <c r="K335" i="6"/>
  <c r="K353" i="6"/>
  <c r="K371" i="6"/>
  <c r="K389" i="6"/>
  <c r="K407" i="6"/>
  <c r="K425" i="6"/>
  <c r="K443" i="6"/>
  <c r="K463" i="6"/>
  <c r="K481" i="6"/>
  <c r="K499" i="6"/>
  <c r="K517" i="6"/>
  <c r="K535" i="6"/>
  <c r="K553" i="6"/>
  <c r="K571" i="6"/>
  <c r="K589" i="6"/>
  <c r="K606" i="6"/>
  <c r="K623" i="6"/>
  <c r="K640" i="6"/>
  <c r="K657" i="6"/>
  <c r="K674" i="6"/>
  <c r="K691" i="6"/>
  <c r="K708" i="6"/>
  <c r="K725" i="6"/>
  <c r="K742" i="6"/>
  <c r="K759" i="6"/>
  <c r="K776" i="6"/>
  <c r="K793" i="6"/>
  <c r="K810" i="6"/>
  <c r="K25" i="6"/>
  <c r="K99" i="6"/>
  <c r="K135" i="6"/>
  <c r="K191" i="6"/>
  <c r="K209" i="6"/>
  <c r="K263" i="6"/>
  <c r="K319" i="6"/>
  <c r="K355" i="6"/>
  <c r="K409" i="6"/>
  <c r="K483" i="6"/>
  <c r="K555" i="6"/>
  <c r="K625" i="6"/>
  <c r="K693" i="6"/>
  <c r="K744" i="6"/>
  <c r="K795" i="6"/>
  <c r="K64" i="6"/>
  <c r="K356" i="6"/>
  <c r="K502" i="6"/>
  <c r="K575" i="6"/>
  <c r="K643" i="6"/>
  <c r="K711" i="6"/>
  <c r="K779" i="6"/>
  <c r="K84" i="6"/>
  <c r="K468" i="6"/>
  <c r="K662" i="6"/>
  <c r="K799" i="6"/>
  <c r="K67" i="6"/>
  <c r="K249" i="6"/>
  <c r="K377" i="6"/>
  <c r="K469" i="6"/>
  <c r="K578" i="6"/>
  <c r="K680" i="6"/>
  <c r="K783" i="6"/>
  <c r="K24" i="6"/>
  <c r="K42" i="6"/>
  <c r="K62" i="6"/>
  <c r="K80" i="6"/>
  <c r="K98" i="6"/>
  <c r="K116" i="6"/>
  <c r="K134" i="6"/>
  <c r="K152" i="6"/>
  <c r="K170" i="6"/>
  <c r="K190" i="6"/>
  <c r="K208" i="6"/>
  <c r="K226" i="6"/>
  <c r="K244" i="6"/>
  <c r="K262" i="6"/>
  <c r="K280" i="6"/>
  <c r="K298" i="6"/>
  <c r="K318" i="6"/>
  <c r="K336" i="6"/>
  <c r="K354" i="6"/>
  <c r="K372" i="6"/>
  <c r="K390" i="6"/>
  <c r="K408" i="6"/>
  <c r="K426" i="6"/>
  <c r="K446" i="6"/>
  <c r="K464" i="6"/>
  <c r="K482" i="6"/>
  <c r="K500" i="6"/>
  <c r="K518" i="6"/>
  <c r="K536" i="6"/>
  <c r="K554" i="6"/>
  <c r="K573" i="6"/>
  <c r="K590" i="6"/>
  <c r="K607" i="6"/>
  <c r="K624" i="6"/>
  <c r="K641" i="6"/>
  <c r="K658" i="6"/>
  <c r="K675" i="6"/>
  <c r="K692" i="6"/>
  <c r="K709" i="6"/>
  <c r="K726" i="6"/>
  <c r="K743" i="6"/>
  <c r="K760" i="6"/>
  <c r="K777" i="6"/>
  <c r="K794" i="6"/>
  <c r="K811" i="6"/>
  <c r="K81" i="6"/>
  <c r="K117" i="6"/>
  <c r="K171" i="6"/>
  <c r="K227" i="6"/>
  <c r="K281" i="6"/>
  <c r="K337" i="6"/>
  <c r="K373" i="6"/>
  <c r="K427" i="6"/>
  <c r="K465" i="6"/>
  <c r="K537" i="6"/>
  <c r="K591" i="6"/>
  <c r="K642" i="6"/>
  <c r="K676" i="6"/>
  <c r="K727" i="6"/>
  <c r="K778" i="6"/>
  <c r="K82" i="6"/>
  <c r="K338" i="6"/>
  <c r="K448" i="6"/>
  <c r="K520" i="6"/>
  <c r="K609" i="6"/>
  <c r="K694" i="6"/>
  <c r="K762" i="6"/>
  <c r="K66" i="6"/>
  <c r="K432" i="6"/>
  <c r="K594" i="6"/>
  <c r="K713" i="6"/>
  <c r="K85" i="6"/>
  <c r="K267" i="6"/>
  <c r="K395" i="6"/>
  <c r="K487" i="6"/>
  <c r="K612" i="6"/>
  <c r="K731" i="6"/>
  <c r="K63" i="6"/>
  <c r="K501" i="6"/>
  <c r="K813" i="6"/>
  <c r="K392" i="6"/>
  <c r="K626" i="6"/>
  <c r="K158" i="6"/>
  <c r="K522" i="6"/>
  <c r="K747" i="6"/>
  <c r="K103" i="6"/>
  <c r="K287" i="6"/>
  <c r="K433" i="6"/>
  <c r="K561" i="6"/>
  <c r="K697" i="6"/>
  <c r="K26" i="6"/>
  <c r="K100" i="6"/>
  <c r="K118" i="6"/>
  <c r="K136" i="6"/>
  <c r="K154" i="6"/>
  <c r="K174" i="6"/>
  <c r="K192" i="6"/>
  <c r="K210" i="6"/>
  <c r="K228" i="6"/>
  <c r="K246" i="6"/>
  <c r="K264" i="6"/>
  <c r="K282" i="6"/>
  <c r="K302" i="6"/>
  <c r="K374" i="6"/>
  <c r="K410" i="6"/>
  <c r="K430" i="6"/>
  <c r="K484" i="6"/>
  <c r="K538" i="6"/>
  <c r="K592" i="6"/>
  <c r="K660" i="6"/>
  <c r="K728" i="6"/>
  <c r="K797" i="6"/>
  <c r="K340" i="6"/>
  <c r="K628" i="6"/>
  <c r="K121" i="6"/>
  <c r="K323" i="6"/>
  <c r="K523" i="6"/>
  <c r="K663" i="6"/>
  <c r="K766" i="6"/>
  <c r="K27" i="6"/>
  <c r="K47" i="6"/>
  <c r="K65" i="6"/>
  <c r="K83" i="6"/>
  <c r="K101" i="6"/>
  <c r="K119" i="6"/>
  <c r="K137" i="6"/>
  <c r="K155" i="6"/>
  <c r="K175" i="6"/>
  <c r="K193" i="6"/>
  <c r="K211" i="6"/>
  <c r="K229" i="6"/>
  <c r="K247" i="6"/>
  <c r="K265" i="6"/>
  <c r="K283" i="6"/>
  <c r="K303" i="6"/>
  <c r="K321" i="6"/>
  <c r="K339" i="6"/>
  <c r="K357" i="6"/>
  <c r="K375" i="6"/>
  <c r="K393" i="6"/>
  <c r="K411" i="6"/>
  <c r="K431" i="6"/>
  <c r="K449" i="6"/>
  <c r="K467" i="6"/>
  <c r="K485" i="6"/>
  <c r="K503" i="6"/>
  <c r="K521" i="6"/>
  <c r="K539" i="6"/>
  <c r="K559" i="6"/>
  <c r="K576" i="6"/>
  <c r="K593" i="6"/>
  <c r="K610" i="6"/>
  <c r="K627" i="6"/>
  <c r="K644" i="6"/>
  <c r="K661" i="6"/>
  <c r="K678" i="6"/>
  <c r="K695" i="6"/>
  <c r="K712" i="6"/>
  <c r="K729" i="6"/>
  <c r="K746" i="6"/>
  <c r="K763" i="6"/>
  <c r="K781" i="6"/>
  <c r="K798" i="6"/>
  <c r="K815" i="6"/>
  <c r="K30" i="6"/>
  <c r="K102" i="6"/>
  <c r="K120" i="6"/>
  <c r="K138" i="6"/>
  <c r="K176" i="6"/>
  <c r="K194" i="6"/>
  <c r="K212" i="6"/>
  <c r="K230" i="6"/>
  <c r="K248" i="6"/>
  <c r="K266" i="6"/>
  <c r="K286" i="6"/>
  <c r="K304" i="6"/>
  <c r="K322" i="6"/>
  <c r="K358" i="6"/>
  <c r="K376" i="6"/>
  <c r="K414" i="6"/>
  <c r="K450" i="6"/>
  <c r="K486" i="6"/>
  <c r="K504" i="6"/>
  <c r="K542" i="6"/>
  <c r="K577" i="6"/>
  <c r="K611" i="6"/>
  <c r="K645" i="6"/>
  <c r="K696" i="6"/>
  <c r="K730" i="6"/>
  <c r="K782" i="6"/>
  <c r="K816" i="6"/>
  <c r="K31" i="6"/>
  <c r="K139" i="6"/>
  <c r="K159" i="6"/>
  <c r="K177" i="6"/>
  <c r="K195" i="6"/>
  <c r="K231" i="6"/>
  <c r="K305" i="6"/>
  <c r="K359" i="6"/>
  <c r="K415" i="6"/>
  <c r="K505" i="6"/>
  <c r="K595" i="6"/>
  <c r="K646" i="6"/>
  <c r="K749" i="6"/>
  <c r="K365" i="6"/>
  <c r="K93" i="6"/>
  <c r="K652" i="6"/>
  <c r="K396" i="6"/>
  <c r="K140" i="6"/>
  <c r="K557" i="6"/>
  <c r="K572" i="6"/>
  <c r="K253" i="6"/>
  <c r="K300" i="6"/>
  <c r="K237" i="6"/>
  <c r="K284" i="6"/>
  <c r="K780" i="6"/>
  <c r="K461" i="6"/>
  <c r="K429" i="6"/>
  <c r="K188" i="6"/>
  <c r="K125" i="6"/>
  <c r="K156" i="6"/>
  <c r="K349" i="6"/>
  <c r="K77" i="6"/>
  <c r="K636" i="6"/>
  <c r="K380" i="6"/>
  <c r="K124" i="6"/>
  <c r="K301" i="6"/>
  <c r="K332" i="6"/>
  <c r="K269" i="6"/>
  <c r="K60" i="6"/>
  <c r="K812" i="6"/>
  <c r="K509" i="6"/>
  <c r="K28" i="6"/>
  <c r="K221" i="6"/>
  <c r="K268" i="6"/>
  <c r="K477" i="6"/>
  <c r="K508" i="6"/>
  <c r="K492" i="6"/>
  <c r="K445" i="6"/>
  <c r="K732" i="6"/>
  <c r="K716" i="6"/>
  <c r="K397" i="6"/>
  <c r="K172" i="6"/>
  <c r="K109" i="6"/>
  <c r="K333" i="6"/>
  <c r="K61" i="6"/>
  <c r="K620" i="6"/>
  <c r="K364" i="6"/>
  <c r="K108" i="6"/>
  <c r="K29" i="6"/>
  <c r="K588" i="6"/>
  <c r="K76" i="6"/>
  <c r="K541" i="6"/>
  <c r="K13" i="6"/>
  <c r="K525" i="6"/>
  <c r="K44" i="6"/>
  <c r="K796" i="6"/>
  <c r="K524" i="6"/>
  <c r="K205" i="6"/>
  <c r="K252" i="6"/>
  <c r="K748" i="6"/>
  <c r="K236" i="6"/>
  <c r="K173" i="6"/>
  <c r="K476" i="6"/>
  <c r="K460" i="6"/>
  <c r="K413" i="6"/>
  <c r="K684" i="6"/>
  <c r="K412" i="6"/>
  <c r="K285" i="6"/>
  <c r="K317" i="6"/>
  <c r="K45" i="6"/>
  <c r="K604" i="6"/>
  <c r="K348" i="6"/>
  <c r="K92" i="6"/>
  <c r="K316" i="6"/>
  <c r="K556" i="6"/>
  <c r="K540" i="6"/>
  <c r="K493" i="6"/>
  <c r="K764" i="6"/>
  <c r="K220" i="6"/>
  <c r="K157" i="6"/>
  <c r="K141" i="6"/>
  <c r="K428" i="6"/>
  <c r="K668" i="6"/>
  <c r="K444" i="6"/>
  <c r="K189" i="6"/>
  <c r="K204" i="6"/>
  <c r="K700" i="6"/>
  <c r="K381" i="6"/>
  <c r="L12" i="6" l="1" a="1"/>
  <c r="M12" i="6" a="1"/>
  <c r="N12" i="6" a="1"/>
  <c r="O12" i="6" a="1"/>
  <c r="O65" i="6" l="1"/>
  <c r="O609" i="6"/>
  <c r="O758" i="6"/>
  <c r="O514" i="6"/>
  <c r="O487" i="6"/>
  <c r="O444" i="6"/>
  <c r="O18" i="6"/>
  <c r="O790" i="6"/>
  <c r="O795" i="6"/>
  <c r="O784" i="6"/>
  <c r="O294" i="6"/>
  <c r="O299" i="6"/>
  <c r="O288" i="6"/>
  <c r="O613" i="6"/>
  <c r="O602" i="6"/>
  <c r="O607" i="6"/>
  <c r="O373" i="6"/>
  <c r="O362" i="6"/>
  <c r="O367" i="6"/>
  <c r="O53" i="6"/>
  <c r="O122" i="6"/>
  <c r="O127" i="6"/>
  <c r="O628" i="6"/>
  <c r="O729" i="6"/>
  <c r="O718" i="6"/>
  <c r="O404" i="6"/>
  <c r="O505" i="6"/>
  <c r="O494" i="6"/>
  <c r="O164" i="6"/>
  <c r="O265" i="6"/>
  <c r="O254" i="6"/>
  <c r="O439" i="6"/>
  <c r="O132" i="6"/>
  <c r="O480" i="6"/>
  <c r="O621" i="6"/>
  <c r="O778" i="6"/>
  <c r="O663" i="6"/>
  <c r="O228" i="6"/>
  <c r="O250" i="6"/>
  <c r="O436" i="6"/>
  <c r="O736" i="6"/>
  <c r="O435" i="6"/>
  <c r="O235" i="6"/>
  <c r="O708" i="6"/>
  <c r="O434" i="6"/>
  <c r="O264" i="6"/>
  <c r="O14" i="6"/>
  <c r="O451" i="6"/>
  <c r="O490" i="6"/>
  <c r="O28" i="6"/>
  <c r="O511" i="6"/>
  <c r="O49" i="6"/>
  <c r="O242" i="6"/>
  <c r="O215" i="6"/>
  <c r="O770" i="6"/>
  <c r="O743" i="6"/>
  <c r="O700" i="6"/>
  <c r="O274" i="6"/>
  <c r="O247" i="6"/>
  <c r="O204" i="6"/>
  <c r="O209" i="6"/>
  <c r="O550" i="6"/>
  <c r="O555" i="6"/>
  <c r="O544" i="6"/>
  <c r="O54" i="6"/>
  <c r="O59" i="6"/>
  <c r="O48" i="6"/>
  <c r="O629" i="6"/>
  <c r="O618" i="6"/>
  <c r="O623" i="6"/>
  <c r="O389" i="6"/>
  <c r="O378" i="6"/>
  <c r="O383" i="6"/>
  <c r="O85" i="6"/>
  <c r="O154" i="6"/>
  <c r="O159" i="6"/>
  <c r="O660" i="6"/>
  <c r="O761" i="6"/>
  <c r="O750" i="6"/>
  <c r="O420" i="6"/>
  <c r="O521" i="6"/>
  <c r="O510" i="6"/>
  <c r="O344" i="6"/>
  <c r="O740" i="6"/>
  <c r="O513" i="6"/>
  <c r="O446" i="6"/>
  <c r="O619" i="6"/>
  <c r="O520" i="6"/>
  <c r="O229" i="6"/>
  <c r="O139" i="6"/>
  <c r="O405" i="6"/>
  <c r="O194" i="6"/>
  <c r="O661" i="6"/>
  <c r="O396" i="6"/>
  <c r="O286" i="6"/>
  <c r="O452" i="6"/>
  <c r="O809" i="6"/>
  <c r="O814" i="6"/>
  <c r="O644" i="6"/>
  <c r="O731" i="6"/>
  <c r="O125" i="6"/>
  <c r="O269" i="6"/>
  <c r="O33" i="6"/>
  <c r="O498" i="6"/>
  <c r="O471" i="6"/>
  <c r="O563" i="6"/>
  <c r="O168" i="6"/>
  <c r="O141" i="6"/>
  <c r="O530" i="6"/>
  <c r="O503" i="6"/>
  <c r="O460" i="6"/>
  <c r="O34" i="6"/>
  <c r="O806" i="6"/>
  <c r="O811" i="6"/>
  <c r="O800" i="6"/>
  <c r="O310" i="6"/>
  <c r="O315" i="6"/>
  <c r="O304" i="6"/>
  <c r="O70" i="6"/>
  <c r="O75" i="6"/>
  <c r="O64" i="6"/>
  <c r="O645" i="6"/>
  <c r="O634" i="6"/>
  <c r="O639" i="6"/>
  <c r="O421" i="6"/>
  <c r="O410" i="6"/>
  <c r="O415" i="6"/>
  <c r="O117" i="6"/>
  <c r="O186" i="6"/>
  <c r="O191" i="6"/>
  <c r="O676" i="6"/>
  <c r="O777" i="6"/>
  <c r="O766" i="6"/>
  <c r="O201" i="6"/>
  <c r="O757" i="6"/>
  <c r="O610" i="6"/>
  <c r="O223" i="6"/>
  <c r="O364" i="6"/>
  <c r="O313" i="6"/>
  <c r="O134" i="6"/>
  <c r="O130" i="6"/>
  <c r="O214" i="6"/>
  <c r="O371" i="6"/>
  <c r="O40" i="6"/>
  <c r="O381" i="6"/>
  <c r="O124" i="6"/>
  <c r="O390" i="6"/>
  <c r="O443" i="6"/>
  <c r="O208" i="6"/>
  <c r="O486" i="6"/>
  <c r="O684" i="6"/>
  <c r="O222" i="6"/>
  <c r="O704" i="6"/>
  <c r="O17" i="6"/>
  <c r="O754" i="6"/>
  <c r="O727" i="6"/>
  <c r="O273" i="6"/>
  <c r="O424" i="6"/>
  <c r="O397" i="6"/>
  <c r="O786" i="6"/>
  <c r="O759" i="6"/>
  <c r="O716" i="6"/>
  <c r="O290" i="6"/>
  <c r="O263" i="6"/>
  <c r="O220" i="6"/>
  <c r="O257" i="6"/>
  <c r="O566" i="6"/>
  <c r="O571" i="6"/>
  <c r="O560" i="6"/>
  <c r="O326" i="6"/>
  <c r="O331" i="6"/>
  <c r="O320" i="6"/>
  <c r="O86" i="6"/>
  <c r="O91" i="6"/>
  <c r="O80" i="6"/>
  <c r="O677" i="6"/>
  <c r="O666" i="6"/>
  <c r="O671" i="6"/>
  <c r="O453" i="6"/>
  <c r="O442" i="6"/>
  <c r="O447" i="6"/>
  <c r="O165" i="6"/>
  <c r="O202" i="6"/>
  <c r="O207" i="6"/>
  <c r="O769" i="6"/>
  <c r="O646" i="6"/>
  <c r="O787" i="6"/>
  <c r="O767" i="6"/>
  <c r="O93" i="6"/>
  <c r="O218" i="6"/>
  <c r="O742" i="6"/>
  <c r="O738" i="6"/>
  <c r="O151" i="6"/>
  <c r="O533" i="6"/>
  <c r="O569" i="6"/>
  <c r="O574" i="6"/>
  <c r="O386" i="6"/>
  <c r="O136" i="6"/>
  <c r="O620" i="6"/>
  <c r="O384" i="6"/>
  <c r="O776" i="6"/>
  <c r="O78" i="6"/>
  <c r="O399" i="6"/>
  <c r="O705" i="6"/>
  <c r="O547" i="6"/>
  <c r="O152" i="6"/>
  <c r="O163" i="6"/>
  <c r="O680" i="6"/>
  <c r="O653" i="6"/>
  <c r="O595" i="6"/>
  <c r="O184" i="6"/>
  <c r="O157" i="6"/>
  <c r="O546" i="6"/>
  <c r="O519" i="6"/>
  <c r="O476" i="6"/>
  <c r="O50" i="6"/>
  <c r="O23" i="6"/>
  <c r="O753" i="6"/>
  <c r="O289" i="6"/>
  <c r="O582" i="6"/>
  <c r="O587" i="6"/>
  <c r="O576" i="6"/>
  <c r="O342" i="6"/>
  <c r="O347" i="6"/>
  <c r="O336" i="6"/>
  <c r="O118" i="6"/>
  <c r="O123" i="6"/>
  <c r="O112" i="6"/>
  <c r="O709" i="6"/>
  <c r="O698" i="6"/>
  <c r="O703" i="6"/>
  <c r="O469" i="6"/>
  <c r="O458" i="6"/>
  <c r="O463" i="6"/>
  <c r="O730" i="6"/>
  <c r="O455" i="6"/>
  <c r="O180" i="6"/>
  <c r="O496" i="6"/>
  <c r="O637" i="6"/>
  <c r="O794" i="6"/>
  <c r="O679" i="6"/>
  <c r="O67" i="6"/>
  <c r="O149" i="6"/>
  <c r="O423" i="6"/>
  <c r="O219" i="6"/>
  <c r="O655" i="6"/>
  <c r="O531" i="6"/>
  <c r="O793" i="6"/>
  <c r="O781" i="6"/>
  <c r="O403" i="6"/>
  <c r="O474" i="6"/>
  <c r="O271" i="6"/>
  <c r="O432" i="6"/>
  <c r="O673" i="6"/>
  <c r="O241" i="6"/>
  <c r="O408" i="6"/>
  <c r="O803" i="6"/>
  <c r="O105" i="6"/>
  <c r="O94" i="6"/>
  <c r="O305" i="6"/>
  <c r="O440" i="6"/>
  <c r="O413" i="6"/>
  <c r="O802" i="6"/>
  <c r="O775" i="6"/>
  <c r="O732" i="6"/>
  <c r="O306" i="6"/>
  <c r="O279" i="6"/>
  <c r="O236" i="6"/>
  <c r="O66" i="6"/>
  <c r="O39" i="6"/>
  <c r="O181" i="6"/>
  <c r="O321" i="6"/>
  <c r="O598" i="6"/>
  <c r="O603" i="6"/>
  <c r="O592" i="6"/>
  <c r="O374" i="6"/>
  <c r="O379" i="6"/>
  <c r="O368" i="6"/>
  <c r="O150" i="6"/>
  <c r="O155" i="6"/>
  <c r="O144" i="6"/>
  <c r="O725" i="6"/>
  <c r="O714" i="6"/>
  <c r="O719" i="6"/>
  <c r="O475" i="6"/>
  <c r="O360" i="6"/>
  <c r="O69" i="6"/>
  <c r="O545" i="6"/>
  <c r="O478" i="6"/>
  <c r="O651" i="6"/>
  <c r="O552" i="6"/>
  <c r="O388" i="6"/>
  <c r="O632" i="6"/>
  <c r="O553" i="6"/>
  <c r="O156" i="6"/>
  <c r="O25" i="6"/>
  <c r="O358" i="6"/>
  <c r="O395" i="6"/>
  <c r="O798" i="6"/>
  <c r="O612" i="6"/>
  <c r="O715" i="6"/>
  <c r="O352" i="6"/>
  <c r="O707" i="6"/>
  <c r="O657" i="6"/>
  <c r="O131" i="6"/>
  <c r="O664" i="6"/>
  <c r="O260" i="6"/>
  <c r="O361" i="6"/>
  <c r="O350" i="6"/>
  <c r="O179" i="6"/>
  <c r="O696" i="6"/>
  <c r="O669" i="6"/>
  <c r="O611" i="6"/>
  <c r="O200" i="6"/>
  <c r="O173" i="6"/>
  <c r="O562" i="6"/>
  <c r="O535" i="6"/>
  <c r="O492" i="6"/>
  <c r="O322" i="6"/>
  <c r="O295" i="6"/>
  <c r="O252" i="6"/>
  <c r="O82" i="6"/>
  <c r="O55" i="6"/>
  <c r="O12" i="6"/>
  <c r="O401" i="6"/>
  <c r="O630" i="6"/>
  <c r="O635" i="6"/>
  <c r="O624" i="6"/>
  <c r="O406" i="6"/>
  <c r="O411" i="6"/>
  <c r="O400" i="6"/>
  <c r="O166" i="6"/>
  <c r="O171" i="6"/>
  <c r="O160" i="6"/>
  <c r="O172" i="6"/>
  <c r="O233" i="6"/>
  <c r="O773" i="6"/>
  <c r="O642" i="6"/>
  <c r="O239" i="6"/>
  <c r="O380" i="6"/>
  <c r="O98" i="6"/>
  <c r="O277" i="6"/>
  <c r="O537" i="6"/>
  <c r="O187" i="6"/>
  <c r="O365" i="6"/>
  <c r="O354" i="6"/>
  <c r="O120" i="6"/>
  <c r="O572" i="6"/>
  <c r="O176" i="6"/>
  <c r="O470" i="6"/>
  <c r="O668" i="6"/>
  <c r="O515" i="6"/>
  <c r="O485" i="6"/>
  <c r="O641" i="6"/>
  <c r="O579" i="6"/>
  <c r="O89" i="6"/>
  <c r="O516" i="6"/>
  <c r="O617" i="6"/>
  <c r="O606" i="6"/>
  <c r="O20" i="6"/>
  <c r="O121" i="6"/>
  <c r="O110" i="6"/>
  <c r="O337" i="6"/>
  <c r="O456" i="6"/>
  <c r="O429" i="6"/>
  <c r="O51" i="6"/>
  <c r="O791" i="6"/>
  <c r="O748" i="6"/>
  <c r="O578" i="6"/>
  <c r="O551" i="6"/>
  <c r="O508" i="6"/>
  <c r="O338" i="6"/>
  <c r="O311" i="6"/>
  <c r="O268" i="6"/>
  <c r="O114" i="6"/>
  <c r="O87" i="6"/>
  <c r="O44" i="6"/>
  <c r="O465" i="6"/>
  <c r="O662" i="6"/>
  <c r="O667" i="6"/>
  <c r="O656" i="6"/>
  <c r="O422" i="6"/>
  <c r="O427" i="6"/>
  <c r="O416" i="6"/>
  <c r="O13" i="6"/>
  <c r="O245" i="6"/>
  <c r="O694" i="6"/>
  <c r="O193" i="6"/>
  <c r="O783" i="6"/>
  <c r="O109" i="6"/>
  <c r="O722" i="6"/>
  <c r="O198" i="6"/>
  <c r="O394" i="6"/>
  <c r="O140" i="6"/>
  <c r="O558" i="6"/>
  <c r="O499" i="6"/>
  <c r="O745" i="6"/>
  <c r="O573" i="6"/>
  <c r="O287" i="6"/>
  <c r="O648" i="6"/>
  <c r="O62" i="6"/>
  <c r="O323" i="6"/>
  <c r="O327" i="6"/>
  <c r="O625" i="6"/>
  <c r="O244" i="6"/>
  <c r="O345" i="6"/>
  <c r="O772" i="6"/>
  <c r="O42" i="6"/>
  <c r="O47" i="6"/>
  <c r="O276" i="6"/>
  <c r="O377" i="6"/>
  <c r="O366" i="6"/>
  <c r="O211" i="6"/>
  <c r="O712" i="6"/>
  <c r="O685" i="6"/>
  <c r="O627" i="6"/>
  <c r="O216" i="6"/>
  <c r="O189" i="6"/>
  <c r="O99" i="6"/>
  <c r="O807" i="6"/>
  <c r="O764" i="6"/>
  <c r="O594" i="6"/>
  <c r="O567" i="6"/>
  <c r="O524" i="6"/>
  <c r="O370" i="6"/>
  <c r="O343" i="6"/>
  <c r="O300" i="6"/>
  <c r="O146" i="6"/>
  <c r="O119" i="6"/>
  <c r="O76" i="6"/>
  <c r="O497" i="6"/>
  <c r="O678" i="6"/>
  <c r="O683" i="6"/>
  <c r="O672" i="6"/>
  <c r="O589" i="6"/>
  <c r="O746" i="6"/>
  <c r="O583" i="6"/>
  <c r="O196" i="6"/>
  <c r="O608" i="6"/>
  <c r="O749" i="6"/>
  <c r="O35" i="6"/>
  <c r="O103" i="6"/>
  <c r="O203" i="6"/>
  <c r="O349" i="6"/>
  <c r="O543" i="6"/>
  <c r="O230" i="6"/>
  <c r="O363" i="6"/>
  <c r="O782" i="6"/>
  <c r="O107" i="6"/>
  <c r="O426" i="6"/>
  <c r="O31" i="6"/>
  <c r="O506" i="6"/>
  <c r="O57" i="6"/>
  <c r="O385" i="6"/>
  <c r="O500" i="6"/>
  <c r="O601" i="6"/>
  <c r="O309" i="6"/>
  <c r="O298" i="6"/>
  <c r="O303" i="6"/>
  <c r="O532" i="6"/>
  <c r="O633" i="6"/>
  <c r="O622" i="6"/>
  <c r="O36" i="6"/>
  <c r="O137" i="6"/>
  <c r="O126" i="6"/>
  <c r="O369" i="6"/>
  <c r="O472" i="6"/>
  <c r="O445" i="6"/>
  <c r="O643" i="6"/>
  <c r="O232" i="6"/>
  <c r="O205" i="6"/>
  <c r="O147" i="6"/>
  <c r="O721" i="6"/>
  <c r="O780" i="6"/>
  <c r="O626" i="6"/>
  <c r="O599" i="6"/>
  <c r="O556" i="6"/>
  <c r="O402" i="6"/>
  <c r="O375" i="6"/>
  <c r="O332" i="6"/>
  <c r="O162" i="6"/>
  <c r="O135" i="6"/>
  <c r="O92" i="6"/>
  <c r="O353" i="6"/>
  <c r="O318" i="6"/>
  <c r="O491" i="6"/>
  <c r="O376" i="6"/>
  <c r="O101" i="6"/>
  <c r="O561" i="6"/>
  <c r="O526" i="6"/>
  <c r="O356" i="6"/>
  <c r="O711" i="6"/>
  <c r="O747" i="6"/>
  <c r="O542" i="6"/>
  <c r="O752" i="6"/>
  <c r="O104" i="6"/>
  <c r="O428" i="6"/>
  <c r="O128" i="6"/>
  <c r="O259" i="6"/>
  <c r="O699" i="6"/>
  <c r="O240" i="6"/>
  <c r="O501" i="6"/>
  <c r="O650" i="6"/>
  <c r="O225" i="6"/>
  <c r="O756" i="6"/>
  <c r="O26" i="6"/>
  <c r="O565" i="6"/>
  <c r="O554" i="6"/>
  <c r="O559" i="6"/>
  <c r="O788" i="6"/>
  <c r="O58" i="6"/>
  <c r="O63" i="6"/>
  <c r="O292" i="6"/>
  <c r="O393" i="6"/>
  <c r="O382" i="6"/>
  <c r="O243" i="6"/>
  <c r="O728" i="6"/>
  <c r="O701" i="6"/>
  <c r="O417" i="6"/>
  <c r="O488" i="6"/>
  <c r="O461" i="6"/>
  <c r="O659" i="6"/>
  <c r="O248" i="6"/>
  <c r="O221" i="6"/>
  <c r="O227" i="6"/>
  <c r="O24" i="6"/>
  <c r="O812" i="6"/>
  <c r="O658" i="6"/>
  <c r="O631" i="6"/>
  <c r="O588" i="6"/>
  <c r="O418" i="6"/>
  <c r="O391" i="6"/>
  <c r="O348" i="6"/>
  <c r="O466" i="6"/>
  <c r="O143" i="6"/>
  <c r="O284" i="6"/>
  <c r="O281" i="6"/>
  <c r="O789" i="6"/>
  <c r="O690" i="6"/>
  <c r="O255" i="6"/>
  <c r="O261" i="6"/>
  <c r="O616" i="6"/>
  <c r="O540" i="6"/>
  <c r="O527" i="6"/>
  <c r="O359" i="6"/>
  <c r="O713" i="6"/>
  <c r="O525" i="6"/>
  <c r="O183" i="6"/>
  <c r="O484" i="6"/>
  <c r="O652" i="6"/>
  <c r="O73" i="6"/>
  <c r="O517" i="6"/>
  <c r="O60" i="6"/>
  <c r="O161" i="6"/>
  <c r="O293" i="6"/>
  <c r="O282" i="6"/>
  <c r="O133" i="6"/>
  <c r="O810" i="6"/>
  <c r="O815" i="6"/>
  <c r="O325" i="6"/>
  <c r="O314" i="6"/>
  <c r="O319" i="6"/>
  <c r="O548" i="6"/>
  <c r="O649" i="6"/>
  <c r="O638" i="6"/>
  <c r="O52" i="6"/>
  <c r="O153" i="6"/>
  <c r="O142" i="6"/>
  <c r="O275" i="6"/>
  <c r="O744" i="6"/>
  <c r="O717" i="6"/>
  <c r="O449" i="6"/>
  <c r="O504" i="6"/>
  <c r="O477" i="6"/>
  <c r="O691" i="6"/>
  <c r="O280" i="6"/>
  <c r="O253" i="6"/>
  <c r="O307" i="6"/>
  <c r="O56" i="6"/>
  <c r="O29" i="6"/>
  <c r="O674" i="6"/>
  <c r="O647" i="6"/>
  <c r="O604" i="6"/>
  <c r="O755" i="6"/>
  <c r="O735" i="6"/>
  <c r="O61" i="6"/>
  <c r="O138" i="6"/>
  <c r="O710" i="6"/>
  <c r="O481" i="6"/>
  <c r="O799" i="6"/>
  <c r="O182" i="6"/>
  <c r="O489" i="6"/>
  <c r="O317" i="6"/>
  <c r="O720" i="6"/>
  <c r="O226" i="6"/>
  <c r="O251" i="6"/>
  <c r="O734" i="6"/>
  <c r="O495" i="6"/>
  <c r="O454" i="6"/>
  <c r="O30" i="6"/>
  <c r="O407" i="6"/>
  <c r="O675" i="6"/>
  <c r="O237" i="6"/>
  <c r="O129" i="6"/>
  <c r="O549" i="6"/>
  <c r="O538" i="6"/>
  <c r="O262" i="6"/>
  <c r="O267" i="6"/>
  <c r="O256" i="6"/>
  <c r="O581" i="6"/>
  <c r="O570" i="6"/>
  <c r="O575" i="6"/>
  <c r="O804" i="6"/>
  <c r="O74" i="6"/>
  <c r="O79" i="6"/>
  <c r="O308" i="6"/>
  <c r="O409" i="6"/>
  <c r="O398" i="6"/>
  <c r="O68" i="6"/>
  <c r="O169" i="6"/>
  <c r="O158" i="6"/>
  <c r="O291" i="6"/>
  <c r="O760" i="6"/>
  <c r="O733" i="6"/>
  <c r="O529" i="6"/>
  <c r="O536" i="6"/>
  <c r="O509" i="6"/>
  <c r="O723" i="6"/>
  <c r="O312" i="6"/>
  <c r="O285" i="6"/>
  <c r="O355" i="6"/>
  <c r="O72" i="6"/>
  <c r="O45" i="6"/>
  <c r="O100" i="6"/>
  <c r="O464" i="6"/>
  <c r="O605" i="6"/>
  <c r="O762" i="6"/>
  <c r="O615" i="6"/>
  <c r="O212" i="6"/>
  <c r="O640" i="6"/>
  <c r="O71" i="6"/>
  <c r="O266" i="6"/>
  <c r="O46" i="6"/>
  <c r="O796" i="6"/>
  <c r="O467" i="6"/>
  <c r="O412" i="6"/>
  <c r="O96" i="6"/>
  <c r="O333" i="6"/>
  <c r="O296" i="6"/>
  <c r="O15" i="6"/>
  <c r="O483" i="6"/>
  <c r="O437" i="6"/>
  <c r="O270" i="6"/>
  <c r="O689" i="6"/>
  <c r="O805" i="6"/>
  <c r="O113" i="6"/>
  <c r="O518" i="6"/>
  <c r="O523" i="6"/>
  <c r="O512" i="6"/>
  <c r="O22" i="6"/>
  <c r="O27" i="6"/>
  <c r="O16" i="6"/>
  <c r="O341" i="6"/>
  <c r="O330" i="6"/>
  <c r="O335" i="6"/>
  <c r="O564" i="6"/>
  <c r="O665" i="6"/>
  <c r="O654" i="6"/>
  <c r="O324" i="6"/>
  <c r="O425" i="6"/>
  <c r="O414" i="6"/>
  <c r="O84" i="6"/>
  <c r="O185" i="6"/>
  <c r="O174" i="6"/>
  <c r="O339" i="6"/>
  <c r="O792" i="6"/>
  <c r="O765" i="6"/>
  <c r="O785" i="6"/>
  <c r="O568" i="6"/>
  <c r="O541" i="6"/>
  <c r="O739" i="6"/>
  <c r="O328" i="6"/>
  <c r="O301" i="6"/>
  <c r="O724" i="6"/>
  <c r="O433" i="6"/>
  <c r="O334" i="6"/>
  <c r="O507" i="6"/>
  <c r="O392" i="6"/>
  <c r="O197" i="6"/>
  <c r="O577" i="6"/>
  <c r="O695" i="6"/>
  <c r="O178" i="6"/>
  <c r="O590" i="6"/>
  <c r="O108" i="6"/>
  <c r="O693" i="6"/>
  <c r="O493" i="6"/>
  <c r="O190" i="6"/>
  <c r="O450" i="6"/>
  <c r="O234" i="6"/>
  <c r="O224" i="6"/>
  <c r="O692" i="6"/>
  <c r="O199" i="6"/>
  <c r="O479" i="6"/>
  <c r="O816" i="6"/>
  <c r="O177" i="6"/>
  <c r="O246" i="6"/>
  <c r="O801" i="6"/>
  <c r="O774" i="6"/>
  <c r="O779" i="6"/>
  <c r="O768" i="6"/>
  <c r="O278" i="6"/>
  <c r="O283" i="6"/>
  <c r="O272" i="6"/>
  <c r="O597" i="6"/>
  <c r="O586" i="6"/>
  <c r="O591" i="6"/>
  <c r="O21" i="6"/>
  <c r="O90" i="6"/>
  <c r="O95" i="6"/>
  <c r="O580" i="6"/>
  <c r="O681" i="6"/>
  <c r="O670" i="6"/>
  <c r="O340" i="6"/>
  <c r="O441" i="6"/>
  <c r="O430" i="6"/>
  <c r="O116" i="6"/>
  <c r="O217" i="6"/>
  <c r="O206" i="6"/>
  <c r="O387" i="6"/>
  <c r="O737" i="6"/>
  <c r="O797" i="6"/>
  <c r="O19" i="6"/>
  <c r="O584" i="6"/>
  <c r="O557" i="6"/>
  <c r="O741" i="6"/>
  <c r="O482" i="6"/>
  <c r="O175" i="6"/>
  <c r="O316" i="6"/>
  <c r="O297" i="6"/>
  <c r="O102" i="6"/>
  <c r="O706" i="6"/>
  <c r="O600" i="6"/>
  <c r="O195" i="6"/>
  <c r="O431" i="6"/>
  <c r="O329" i="6"/>
  <c r="O88" i="6"/>
  <c r="O702" i="6"/>
  <c r="O682" i="6"/>
  <c r="O468" i="6"/>
  <c r="O459" i="6"/>
  <c r="O763" i="6"/>
  <c r="O167" i="6"/>
  <c r="O41" i="6"/>
  <c r="O448" i="6"/>
  <c r="O258" i="6"/>
  <c r="O596" i="6"/>
  <c r="O170" i="6"/>
  <c r="O231" i="6"/>
  <c r="O697" i="6"/>
  <c r="O726" i="6"/>
  <c r="O188" i="6"/>
  <c r="O686" i="6"/>
  <c r="O593" i="6"/>
  <c r="O145" i="6"/>
  <c r="O372" i="6"/>
  <c r="O457" i="6"/>
  <c r="O534" i="6"/>
  <c r="O473" i="6"/>
  <c r="O83" i="6"/>
  <c r="O539" i="6"/>
  <c r="O462" i="6"/>
  <c r="O192" i="6"/>
  <c r="O77" i="6"/>
  <c r="O528" i="6"/>
  <c r="O148" i="6"/>
  <c r="O210" i="6"/>
  <c r="O38" i="6"/>
  <c r="O249" i="6"/>
  <c r="O585" i="6"/>
  <c r="O43" i="6"/>
  <c r="O238" i="6"/>
  <c r="O687" i="6"/>
  <c r="O32" i="6"/>
  <c r="O419" i="6"/>
  <c r="O302" i="6"/>
  <c r="O357" i="6"/>
  <c r="O213" i="6"/>
  <c r="O438" i="6"/>
  <c r="O346" i="6"/>
  <c r="O813" i="6"/>
  <c r="O636" i="6"/>
  <c r="O115" i="6"/>
  <c r="O351" i="6"/>
  <c r="O614" i="6"/>
  <c r="O688" i="6"/>
  <c r="O502" i="6"/>
  <c r="O81" i="6"/>
  <c r="O37" i="6"/>
  <c r="O771" i="6"/>
  <c r="O808" i="6"/>
  <c r="O111" i="6"/>
  <c r="O97" i="6"/>
  <c r="O106" i="6"/>
  <c r="O751" i="6"/>
  <c r="O522" i="6"/>
  <c r="N241" i="6"/>
  <c r="N178" i="6"/>
  <c r="N423" i="6"/>
  <c r="N364" i="6"/>
  <c r="N198" i="6"/>
  <c r="N171" i="6"/>
  <c r="N181" i="6"/>
  <c r="N218" i="6"/>
  <c r="N707" i="6"/>
  <c r="N57" i="6"/>
  <c r="N242" i="6"/>
  <c r="N487" i="6"/>
  <c r="N428" i="6"/>
  <c r="N515" i="6"/>
  <c r="N712" i="6"/>
  <c r="N322" i="6"/>
  <c r="N567" i="6"/>
  <c r="N177" i="6"/>
  <c r="N306" i="6"/>
  <c r="N28" i="6"/>
  <c r="N354" i="6"/>
  <c r="N44" i="6"/>
  <c r="N370" i="6"/>
  <c r="N60" i="6"/>
  <c r="N386" i="6"/>
  <c r="N76" i="6"/>
  <c r="N402" i="6"/>
  <c r="N18" i="6"/>
  <c r="N652" i="6"/>
  <c r="N274" i="6"/>
  <c r="N398" i="6"/>
  <c r="N102" i="6"/>
  <c r="N530" i="6"/>
  <c r="N113" i="6"/>
  <c r="N434" i="6"/>
  <c r="N679" i="6"/>
  <c r="N620" i="6"/>
  <c r="N454" i="6"/>
  <c r="N427" i="6"/>
  <c r="N437" i="6"/>
  <c r="N474" i="6"/>
  <c r="N244" i="6"/>
  <c r="N313" i="6"/>
  <c r="N498" i="6"/>
  <c r="N743" i="6"/>
  <c r="N81" i="6"/>
  <c r="N771" i="6"/>
  <c r="N121" i="6"/>
  <c r="N578" i="6"/>
  <c r="N100" i="6"/>
  <c r="N497" i="6"/>
  <c r="N83" i="6"/>
  <c r="N492" i="6"/>
  <c r="N99" i="6"/>
  <c r="N508" i="6"/>
  <c r="N115" i="6"/>
  <c r="N524" i="6"/>
  <c r="N131" i="6"/>
  <c r="N540" i="6"/>
  <c r="N243" i="6"/>
  <c r="N610" i="6"/>
  <c r="N173" i="6"/>
  <c r="N499" i="6"/>
  <c r="N782" i="6"/>
  <c r="N649" i="6"/>
  <c r="N579" i="6"/>
  <c r="N814" i="6"/>
  <c r="N33" i="6"/>
  <c r="N690" i="6"/>
  <c r="N88" i="6"/>
  <c r="N321" i="6"/>
  <c r="N774" i="6"/>
  <c r="N683" i="6"/>
  <c r="N693" i="6"/>
  <c r="N730" i="6"/>
  <c r="N500" i="6"/>
  <c r="N569" i="6"/>
  <c r="N754" i="6"/>
  <c r="N152" i="6"/>
  <c r="N385" i="6"/>
  <c r="N308" i="6"/>
  <c r="N377" i="6"/>
  <c r="N35" i="6"/>
  <c r="N232" i="6"/>
  <c r="N82" i="6"/>
  <c r="N627" i="6"/>
  <c r="N780" i="6"/>
  <c r="N643" i="6"/>
  <c r="N796" i="6"/>
  <c r="N739" i="6"/>
  <c r="N812" i="6"/>
  <c r="N755" i="6"/>
  <c r="N13" i="6"/>
  <c r="N787" i="6"/>
  <c r="N355" i="6"/>
  <c r="N557" i="6"/>
  <c r="N644" i="6"/>
  <c r="N287" i="6"/>
  <c r="N538" i="6"/>
  <c r="N676" i="6"/>
  <c r="N17" i="6"/>
  <c r="N147" i="6"/>
  <c r="N344" i="6"/>
  <c r="N641" i="6"/>
  <c r="N183" i="6"/>
  <c r="N124" i="6"/>
  <c r="N214" i="6"/>
  <c r="N187" i="6"/>
  <c r="N756" i="6"/>
  <c r="N164" i="6"/>
  <c r="N211" i="6"/>
  <c r="N408" i="6"/>
  <c r="N801" i="6"/>
  <c r="N564" i="6"/>
  <c r="N633" i="6"/>
  <c r="N291" i="6"/>
  <c r="N488" i="6"/>
  <c r="N338" i="6"/>
  <c r="N420" i="6"/>
  <c r="N221" i="6"/>
  <c r="N436" i="6"/>
  <c r="N237" i="6"/>
  <c r="N532" i="6"/>
  <c r="N253" i="6"/>
  <c r="N548" i="6"/>
  <c r="N269" i="6"/>
  <c r="N580" i="6"/>
  <c r="N148" i="6"/>
  <c r="N62" i="6"/>
  <c r="N501" i="6"/>
  <c r="N607" i="6"/>
  <c r="N331" i="6"/>
  <c r="N581" i="6"/>
  <c r="N737" i="6"/>
  <c r="N403" i="6"/>
  <c r="N600" i="6"/>
  <c r="N194" i="6"/>
  <c r="N439" i="6"/>
  <c r="N380" i="6"/>
  <c r="N470" i="6"/>
  <c r="N443" i="6"/>
  <c r="N197" i="6"/>
  <c r="N234" i="6"/>
  <c r="N467" i="6"/>
  <c r="N664" i="6"/>
  <c r="N258" i="6"/>
  <c r="N68" i="6"/>
  <c r="N42" i="6"/>
  <c r="N547" i="6"/>
  <c r="N744" i="6"/>
  <c r="N594" i="6"/>
  <c r="N117" i="6"/>
  <c r="N477" i="6"/>
  <c r="N133" i="6"/>
  <c r="N493" i="6"/>
  <c r="N229" i="6"/>
  <c r="N509" i="6"/>
  <c r="N245" i="6"/>
  <c r="N525" i="6"/>
  <c r="N277" i="6"/>
  <c r="N162" i="6"/>
  <c r="N382" i="6"/>
  <c r="N566" i="6"/>
  <c r="N176" i="6"/>
  <c r="N236" i="6"/>
  <c r="N630" i="6"/>
  <c r="N721" i="6"/>
  <c r="N659" i="6"/>
  <c r="N678" i="6"/>
  <c r="N450" i="6"/>
  <c r="N695" i="6"/>
  <c r="N337" i="6"/>
  <c r="N790" i="6"/>
  <c r="N699" i="6"/>
  <c r="N453" i="6"/>
  <c r="N490" i="6"/>
  <c r="N723" i="6"/>
  <c r="N73" i="6"/>
  <c r="N514" i="6"/>
  <c r="N261" i="6"/>
  <c r="N298" i="6"/>
  <c r="N803" i="6"/>
  <c r="N153" i="6"/>
  <c r="N51" i="6"/>
  <c r="N629" i="6"/>
  <c r="N733" i="6"/>
  <c r="N645" i="6"/>
  <c r="N749" i="6"/>
  <c r="N741" i="6"/>
  <c r="N765" i="6"/>
  <c r="N757" i="6"/>
  <c r="N781" i="6"/>
  <c r="N789" i="6"/>
  <c r="N387" i="6"/>
  <c r="N766" i="6"/>
  <c r="N359" i="6"/>
  <c r="N496" i="6"/>
  <c r="N700" i="6"/>
  <c r="N391" i="6"/>
  <c r="N705" i="6"/>
  <c r="N196" i="6"/>
  <c r="N265" i="6"/>
  <c r="N706" i="6"/>
  <c r="N104" i="6"/>
  <c r="N673" i="6"/>
  <c r="N199" i="6"/>
  <c r="N140" i="6"/>
  <c r="N709" i="6"/>
  <c r="N746" i="6"/>
  <c r="N260" i="6"/>
  <c r="N329" i="6"/>
  <c r="N770" i="6"/>
  <c r="N517" i="6"/>
  <c r="N554" i="6"/>
  <c r="N340" i="6"/>
  <c r="N409" i="6"/>
  <c r="N307" i="6"/>
  <c r="N390" i="6"/>
  <c r="N174" i="6"/>
  <c r="N406" i="6"/>
  <c r="N190" i="6"/>
  <c r="N422" i="6"/>
  <c r="N206" i="6"/>
  <c r="N518" i="6"/>
  <c r="N222" i="6"/>
  <c r="N534" i="6"/>
  <c r="N628" i="6"/>
  <c r="N271" i="6"/>
  <c r="N72" i="6"/>
  <c r="N50" i="6"/>
  <c r="N205" i="6"/>
  <c r="N296" i="6"/>
  <c r="N689" i="6"/>
  <c r="N452" i="6"/>
  <c r="N521" i="6"/>
  <c r="N163" i="6"/>
  <c r="N360" i="6"/>
  <c r="N210" i="6"/>
  <c r="N455" i="6"/>
  <c r="N396" i="6"/>
  <c r="N230" i="6"/>
  <c r="N203" i="6"/>
  <c r="N516" i="6"/>
  <c r="N585" i="6"/>
  <c r="N227" i="6"/>
  <c r="N773" i="6"/>
  <c r="N810" i="6"/>
  <c r="N596" i="6"/>
  <c r="N665" i="6"/>
  <c r="N563" i="6"/>
  <c r="N87" i="6"/>
  <c r="N430" i="6"/>
  <c r="N103" i="6"/>
  <c r="N446" i="6"/>
  <c r="N119" i="6"/>
  <c r="N462" i="6"/>
  <c r="N135" i="6"/>
  <c r="N478" i="6"/>
  <c r="N151" i="6"/>
  <c r="N485" i="6"/>
  <c r="N591" i="6"/>
  <c r="N116" i="6"/>
  <c r="N559" i="6"/>
  <c r="N589" i="6"/>
  <c r="N89" i="6"/>
  <c r="N657" i="6"/>
  <c r="N708" i="6"/>
  <c r="N777" i="6"/>
  <c r="N419" i="6"/>
  <c r="N616" i="6"/>
  <c r="N466" i="6"/>
  <c r="N711" i="6"/>
  <c r="N49" i="6"/>
  <c r="N486" i="6"/>
  <c r="N459" i="6"/>
  <c r="N772" i="6"/>
  <c r="N134" i="6"/>
  <c r="N483" i="6"/>
  <c r="N294" i="6"/>
  <c r="N267" i="6"/>
  <c r="N37" i="6"/>
  <c r="N74" i="6"/>
  <c r="N20" i="6"/>
  <c r="N551" i="6"/>
  <c r="N686" i="6"/>
  <c r="N583" i="6"/>
  <c r="N702" i="6"/>
  <c r="N599" i="6"/>
  <c r="N718" i="6"/>
  <c r="N615" i="6"/>
  <c r="N734" i="6"/>
  <c r="N631" i="6"/>
  <c r="N374" i="6"/>
  <c r="N160" i="6"/>
  <c r="N617" i="6"/>
  <c r="N97" i="6"/>
  <c r="N94" i="6"/>
  <c r="N761" i="6"/>
  <c r="N561" i="6"/>
  <c r="N149" i="6"/>
  <c r="N186" i="6"/>
  <c r="N675" i="6"/>
  <c r="N25" i="6"/>
  <c r="N722" i="6"/>
  <c r="N120" i="6"/>
  <c r="N353" i="6"/>
  <c r="N806" i="6"/>
  <c r="N715" i="6"/>
  <c r="N213" i="6"/>
  <c r="N250" i="6"/>
  <c r="N129" i="6"/>
  <c r="N550" i="6"/>
  <c r="N523" i="6"/>
  <c r="N293" i="6"/>
  <c r="N330" i="6"/>
  <c r="N356" i="6"/>
  <c r="N168" i="6"/>
  <c r="N127" i="6"/>
  <c r="N184" i="6"/>
  <c r="N143" i="6"/>
  <c r="N216" i="6"/>
  <c r="N159" i="6"/>
  <c r="N248" i="6"/>
  <c r="N175" i="6"/>
  <c r="N264" i="6"/>
  <c r="N343" i="6"/>
  <c r="N480" i="6"/>
  <c r="N522" i="6"/>
  <c r="N418" i="6"/>
  <c r="N414" i="6"/>
  <c r="N570" i="6"/>
  <c r="N465" i="6"/>
  <c r="N405" i="6"/>
  <c r="N442" i="6"/>
  <c r="N212" i="6"/>
  <c r="N281" i="6"/>
  <c r="N179" i="6"/>
  <c r="N376" i="6"/>
  <c r="N753" i="6"/>
  <c r="N215" i="6"/>
  <c r="N156" i="6"/>
  <c r="N469" i="6"/>
  <c r="N506" i="6"/>
  <c r="N433" i="6"/>
  <c r="N23" i="6"/>
  <c r="N779" i="6"/>
  <c r="N549" i="6"/>
  <c r="N586" i="6"/>
  <c r="N612" i="6"/>
  <c r="N568" i="6"/>
  <c r="N383" i="6"/>
  <c r="N584" i="6"/>
  <c r="N399" i="6"/>
  <c r="N680" i="6"/>
  <c r="N415" i="6"/>
  <c r="N696" i="6"/>
  <c r="N431" i="6"/>
  <c r="N728" i="6"/>
  <c r="N56" i="6"/>
  <c r="N800" i="6"/>
  <c r="N315" i="6"/>
  <c r="N531" i="6"/>
  <c r="N798" i="6"/>
  <c r="N347" i="6"/>
  <c r="N769" i="6"/>
  <c r="N661" i="6"/>
  <c r="N698" i="6"/>
  <c r="N468" i="6"/>
  <c r="N537" i="6"/>
  <c r="N435" i="6"/>
  <c r="N632" i="6"/>
  <c r="N226" i="6"/>
  <c r="N471" i="6"/>
  <c r="N412" i="6"/>
  <c r="N725" i="6"/>
  <c r="N762" i="6"/>
  <c r="N34" i="6"/>
  <c r="N279" i="6"/>
  <c r="N220" i="6"/>
  <c r="N805" i="6"/>
  <c r="N43" i="6"/>
  <c r="N53" i="6"/>
  <c r="N201" i="6"/>
  <c r="N639" i="6"/>
  <c r="N217" i="6"/>
  <c r="N655" i="6"/>
  <c r="N233" i="6"/>
  <c r="N671" i="6"/>
  <c r="N249" i="6"/>
  <c r="N687" i="6"/>
  <c r="N345" i="6"/>
  <c r="N808" i="6"/>
  <c r="N400" i="6"/>
  <c r="N204" i="6"/>
  <c r="N660" i="6"/>
  <c r="N303" i="6"/>
  <c r="N268" i="6"/>
  <c r="N529" i="6"/>
  <c r="N182" i="6"/>
  <c r="N155" i="6"/>
  <c r="N724" i="6"/>
  <c r="N793" i="6"/>
  <c r="N691" i="6"/>
  <c r="N41" i="6"/>
  <c r="N482" i="6"/>
  <c r="N727" i="6"/>
  <c r="N668" i="6"/>
  <c r="N246" i="6"/>
  <c r="N219" i="6"/>
  <c r="N290" i="6"/>
  <c r="N535" i="6"/>
  <c r="N476" i="6"/>
  <c r="N326" i="6"/>
  <c r="N299" i="6"/>
  <c r="N309" i="6"/>
  <c r="N681" i="6"/>
  <c r="N80" i="6"/>
  <c r="N697" i="6"/>
  <c r="N96" i="6"/>
  <c r="N713" i="6"/>
  <c r="N112" i="6"/>
  <c r="N729" i="6"/>
  <c r="N128" i="6"/>
  <c r="N745" i="6"/>
  <c r="N601" i="6"/>
  <c r="N776" i="6"/>
  <c r="N684" i="6"/>
  <c r="N533" i="6"/>
  <c r="N623" i="6"/>
  <c r="N716" i="6"/>
  <c r="N401" i="6"/>
  <c r="N438" i="6"/>
  <c r="N411" i="6"/>
  <c r="N165" i="6"/>
  <c r="N202" i="6"/>
  <c r="N228" i="6"/>
  <c r="N297" i="6"/>
  <c r="N738" i="6"/>
  <c r="N136" i="6"/>
  <c r="N65" i="6"/>
  <c r="N502" i="6"/>
  <c r="N475" i="6"/>
  <c r="N546" i="6"/>
  <c r="N791" i="6"/>
  <c r="N161" i="6"/>
  <c r="N582" i="6"/>
  <c r="N555" i="6"/>
  <c r="N565" i="6"/>
  <c r="N282" i="6"/>
  <c r="N336" i="6"/>
  <c r="N314" i="6"/>
  <c r="N352" i="6"/>
  <c r="N346" i="6"/>
  <c r="N368" i="6"/>
  <c r="N362" i="6"/>
  <c r="N384" i="6"/>
  <c r="N378" i="6"/>
  <c r="N426" i="6"/>
  <c r="N670" i="6"/>
  <c r="N189" i="6"/>
  <c r="N598" i="6"/>
  <c r="N192" i="6"/>
  <c r="N285" i="6"/>
  <c r="N816" i="6"/>
  <c r="N305" i="6"/>
  <c r="N758" i="6"/>
  <c r="N667" i="6"/>
  <c r="N421" i="6"/>
  <c r="N458" i="6"/>
  <c r="N484" i="6"/>
  <c r="N553" i="6"/>
  <c r="N195" i="6"/>
  <c r="N392" i="6"/>
  <c r="N369" i="6"/>
  <c r="N132" i="6"/>
  <c r="N731" i="6"/>
  <c r="N802" i="6"/>
  <c r="N200" i="6"/>
  <c r="N481" i="6"/>
  <c r="N55" i="6"/>
  <c r="N811" i="6"/>
  <c r="N22" i="6"/>
  <c r="N682" i="6"/>
  <c r="N592" i="6"/>
  <c r="N778" i="6"/>
  <c r="N608" i="6"/>
  <c r="N794" i="6"/>
  <c r="N624" i="6"/>
  <c r="N27" i="6"/>
  <c r="N640" i="6"/>
  <c r="N59" i="6"/>
  <c r="N283" i="6"/>
  <c r="N389" i="6"/>
  <c r="N573" i="6"/>
  <c r="N375" i="6"/>
  <c r="N512" i="6"/>
  <c r="N605" i="6"/>
  <c r="N714" i="6"/>
  <c r="N379" i="6"/>
  <c r="N208" i="6"/>
  <c r="N539" i="6"/>
  <c r="N611" i="6"/>
  <c r="N31" i="6"/>
  <c r="N169" i="6"/>
  <c r="N489" i="6"/>
  <c r="N29" i="6"/>
  <c r="N38" i="6"/>
  <c r="N288" i="6"/>
  <c r="N444" i="6"/>
  <c r="N609" i="6"/>
  <c r="N286" i="6"/>
  <c r="N536" i="6"/>
  <c r="N324" i="6"/>
  <c r="N207" i="6"/>
  <c r="N795" i="6"/>
  <c r="N371" i="6"/>
  <c r="N332" i="6"/>
  <c r="N740" i="6"/>
  <c r="N449" i="6"/>
  <c r="N528" i="6"/>
  <c r="N284" i="6"/>
  <c r="N788" i="6"/>
  <c r="N351" i="6"/>
  <c r="N58" i="6"/>
  <c r="N30" i="6"/>
  <c r="N349" i="6"/>
  <c r="N663" i="6"/>
  <c r="N672" i="6"/>
  <c r="N61" i="6"/>
  <c r="N19" i="6"/>
  <c r="N606" i="6"/>
  <c r="N441" i="6"/>
  <c r="N341" i="6"/>
  <c r="N527" i="6"/>
  <c r="N588" i="6"/>
  <c r="N366" i="6"/>
  <c r="N130" i="6"/>
  <c r="N809" i="6"/>
  <c r="N395" i="6"/>
  <c r="N720" i="6"/>
  <c r="N732" i="6"/>
  <c r="N613" i="6"/>
  <c r="N735" i="6"/>
  <c r="N634" i="6"/>
  <c r="N768" i="6"/>
  <c r="N669" i="6"/>
  <c r="N472" i="6"/>
  <c r="N16" i="6"/>
  <c r="N381" i="6"/>
  <c r="N276" i="6"/>
  <c r="N111" i="6"/>
  <c r="N154" i="6"/>
  <c r="N278" i="6"/>
  <c r="N32" i="6"/>
  <c r="N125" i="6"/>
  <c r="N255" i="6"/>
  <c r="N526" i="6"/>
  <c r="N451" i="6"/>
  <c r="N513" i="6"/>
  <c r="N141" i="6"/>
  <c r="N301" i="6"/>
  <c r="N710" i="6"/>
  <c r="N240" i="6"/>
  <c r="N587" i="6"/>
  <c r="N257" i="6"/>
  <c r="N238" i="6"/>
  <c r="N361" i="6"/>
  <c r="N12" i="6"/>
  <c r="N701" i="6"/>
  <c r="N101" i="6"/>
  <c r="N495" i="6"/>
  <c r="N107" i="6"/>
  <c r="N247" i="6"/>
  <c r="N416" i="6"/>
  <c r="N445" i="6"/>
  <c r="N784" i="6"/>
  <c r="N703" i="6"/>
  <c r="N648" i="6"/>
  <c r="N491" i="6"/>
  <c r="N327" i="6"/>
  <c r="N621" i="6"/>
  <c r="N503" i="6"/>
  <c r="N560" i="6"/>
  <c r="N316" i="6"/>
  <c r="N658" i="6"/>
  <c r="N558" i="6"/>
  <c r="N106" i="6"/>
  <c r="N593" i="6"/>
  <c r="N270" i="6"/>
  <c r="N166" i="6"/>
  <c r="N815" i="6"/>
  <c r="N747" i="6"/>
  <c r="N70" i="6"/>
  <c r="N736" i="6"/>
  <c r="N14" i="6"/>
  <c r="N40" i="6"/>
  <c r="N424" i="6"/>
  <c r="N785" i="6"/>
  <c r="N545" i="6"/>
  <c r="N193" i="6"/>
  <c r="N126" i="6"/>
  <c r="N328" i="6"/>
  <c r="N158" i="6"/>
  <c r="N764" i="6"/>
  <c r="N52" i="6"/>
  <c r="N63" i="6"/>
  <c r="N666" i="6"/>
  <c r="N786" i="6"/>
  <c r="N590" i="6"/>
  <c r="N39" i="6"/>
  <c r="N320" i="6"/>
  <c r="N556" i="6"/>
  <c r="N552" i="6"/>
  <c r="N114" i="6"/>
  <c r="N334" i="6"/>
  <c r="N792" i="6"/>
  <c r="N231" i="6"/>
  <c r="N507" i="6"/>
  <c r="N562" i="6"/>
  <c r="N510" i="6"/>
  <c r="N137" i="6"/>
  <c r="P137" i="6" s="1"/>
  <c r="N797" i="6"/>
  <c r="N333" i="6"/>
  <c r="N21" i="6"/>
  <c r="N447" i="6"/>
  <c r="N619" i="6"/>
  <c r="N180" i="6"/>
  <c r="N95" i="6"/>
  <c r="N775" i="6"/>
  <c r="N704" i="6"/>
  <c r="N413" i="6"/>
  <c r="N457" i="6"/>
  <c r="N323" i="6"/>
  <c r="N654" i="6"/>
  <c r="N636" i="6"/>
  <c r="N118" i="6"/>
  <c r="N172" i="6"/>
  <c r="N188" i="6"/>
  <c r="N595" i="6"/>
  <c r="N15" i="6"/>
  <c r="N26" i="6"/>
  <c r="N235" i="6"/>
  <c r="N653" i="6"/>
  <c r="N86" i="6"/>
  <c r="N767" i="6"/>
  <c r="N348" i="6"/>
  <c r="N85" i="6"/>
  <c r="N479" i="6"/>
  <c r="N520" i="6"/>
  <c r="N93" i="6"/>
  <c r="N302" i="6"/>
  <c r="N170" i="6"/>
  <c r="N372" i="6"/>
  <c r="N223" i="6"/>
  <c r="N157" i="6"/>
  <c r="N626" i="6"/>
  <c r="N259" i="6"/>
  <c r="N410" i="6"/>
  <c r="N692" i="6"/>
  <c r="N335" i="6"/>
  <c r="N618" i="6"/>
  <c r="N225" i="6"/>
  <c r="N542" i="6"/>
  <c r="N742" i="6"/>
  <c r="N272" i="6"/>
  <c r="N45" i="6"/>
  <c r="N150" i="6"/>
  <c r="N799" i="6"/>
  <c r="N425" i="6"/>
  <c r="N388" i="6"/>
  <c r="N622" i="6"/>
  <c r="N123" i="6"/>
  <c r="N357" i="6"/>
  <c r="N543" i="6"/>
  <c r="N146" i="6"/>
  <c r="N602" i="6"/>
  <c r="N807" i="6"/>
  <c r="N139" i="6"/>
  <c r="N456" i="6"/>
  <c r="N78" i="6"/>
  <c r="N597" i="6"/>
  <c r="N719" i="6"/>
  <c r="N571" i="6"/>
  <c r="N642" i="6"/>
  <c r="N47" i="6"/>
  <c r="N647" i="6"/>
  <c r="N656" i="6"/>
  <c r="N365" i="6"/>
  <c r="N614" i="6"/>
  <c r="N304" i="6"/>
  <c r="N138" i="6"/>
  <c r="N604" i="6"/>
  <c r="N511" i="6"/>
  <c r="N763" i="6"/>
  <c r="N310" i="6"/>
  <c r="N48" i="6"/>
  <c r="N92" i="6"/>
  <c r="N677" i="6"/>
  <c r="N275" i="6"/>
  <c r="N66" i="6"/>
  <c r="N280" i="6"/>
  <c r="N662" i="6"/>
  <c r="N224" i="6"/>
  <c r="N300" i="6"/>
  <c r="N36" i="6"/>
  <c r="N367" i="6"/>
  <c r="N440" i="6"/>
  <c r="N339" i="6"/>
  <c r="N685" i="6"/>
  <c r="N759" i="6"/>
  <c r="N688" i="6"/>
  <c r="N91" i="6"/>
  <c r="N64" i="6"/>
  <c r="N342" i="6"/>
  <c r="N572" i="6"/>
  <c r="N263" i="6"/>
  <c r="N432" i="6"/>
  <c r="N144" i="6"/>
  <c r="N417" i="6"/>
  <c r="N638" i="6"/>
  <c r="N289" i="6"/>
  <c r="N311" i="6"/>
  <c r="N145" i="6"/>
  <c r="N407" i="6"/>
  <c r="N544" i="6"/>
  <c r="N748" i="6"/>
  <c r="N804" i="6"/>
  <c r="N751" i="6"/>
  <c r="N185" i="6"/>
  <c r="N577" i="6"/>
  <c r="N254" i="6"/>
  <c r="N504" i="6"/>
  <c r="N292" i="6"/>
  <c r="N651" i="6"/>
  <c r="N67" i="6"/>
  <c r="N461" i="6"/>
  <c r="N109" i="6"/>
  <c r="N694" i="6"/>
  <c r="N752" i="6"/>
  <c r="N541" i="6"/>
  <c r="N717" i="6"/>
  <c r="N625" i="6"/>
  <c r="N252" i="6"/>
  <c r="N110" i="6"/>
  <c r="N312" i="6"/>
  <c r="N295" i="6"/>
  <c r="N317" i="6"/>
  <c r="N54" i="6"/>
  <c r="N256" i="6"/>
  <c r="N90" i="6"/>
  <c r="N674" i="6"/>
  <c r="N574" i="6"/>
  <c r="N393" i="6"/>
  <c r="N24" i="6"/>
  <c r="N460" i="6"/>
  <c r="N325" i="6"/>
  <c r="N404" i="6"/>
  <c r="N429" i="6"/>
  <c r="N760" i="6"/>
  <c r="N373" i="6"/>
  <c r="N575" i="6"/>
  <c r="N635" i="6"/>
  <c r="N167" i="6"/>
  <c r="N273" i="6"/>
  <c r="N494" i="6"/>
  <c r="N105" i="6"/>
  <c r="N350" i="6"/>
  <c r="N637" i="6"/>
  <c r="N726" i="6"/>
  <c r="N576" i="6"/>
  <c r="N650" i="6"/>
  <c r="N84" i="6"/>
  <c r="N79" i="6"/>
  <c r="N122" i="6"/>
  <c r="N239" i="6"/>
  <c r="N77" i="6"/>
  <c r="N262" i="6"/>
  <c r="N505" i="6"/>
  <c r="N813" i="6"/>
  <c r="N473" i="6"/>
  <c r="N394" i="6"/>
  <c r="N46" i="6"/>
  <c r="N251" i="6"/>
  <c r="N108" i="6"/>
  <c r="N363" i="6"/>
  <c r="N319" i="6"/>
  <c r="N646" i="6"/>
  <c r="N209" i="6"/>
  <c r="N142" i="6"/>
  <c r="N519" i="6"/>
  <c r="N191" i="6"/>
  <c r="N603" i="6"/>
  <c r="N69" i="6"/>
  <c r="N463" i="6"/>
  <c r="N75" i="6"/>
  <c r="N358" i="6"/>
  <c r="N397" i="6"/>
  <c r="N71" i="6"/>
  <c r="N98" i="6"/>
  <c r="N318" i="6"/>
  <c r="N266" i="6"/>
  <c r="N448" i="6"/>
  <c r="N750" i="6"/>
  <c r="N783" i="6"/>
  <c r="N464" i="6"/>
  <c r="M497" i="6"/>
  <c r="M708" i="6"/>
  <c r="M132" i="6"/>
  <c r="M341" i="6"/>
  <c r="M561" i="6"/>
  <c r="M773" i="6"/>
  <c r="M194" i="6"/>
  <c r="M438" i="6"/>
  <c r="M692" i="6"/>
  <c r="M117" i="6"/>
  <c r="M364" i="6"/>
  <c r="M613" i="6"/>
  <c r="M51" i="6"/>
  <c r="M289" i="6"/>
  <c r="M540" i="6"/>
  <c r="M788" i="6"/>
  <c r="M209" i="6"/>
  <c r="M593" i="6"/>
  <c r="M572" i="6"/>
  <c r="M124" i="6"/>
  <c r="M805" i="6"/>
  <c r="M353" i="6"/>
  <c r="M45" i="6"/>
  <c r="M683" i="6"/>
  <c r="M104" i="6"/>
  <c r="M798" i="6"/>
  <c r="M329" i="6"/>
  <c r="M811" i="6"/>
  <c r="M320" i="6"/>
  <c r="M669" i="6"/>
  <c r="M568" i="6"/>
  <c r="M96" i="6"/>
  <c r="M794" i="6"/>
  <c r="M394" i="6"/>
  <c r="M766" i="6"/>
  <c r="M615" i="6"/>
  <c r="M639" i="6"/>
  <c r="M567" i="6"/>
  <c r="M655" i="6"/>
  <c r="M392" i="6"/>
  <c r="M461" i="6"/>
  <c r="M298" i="6"/>
  <c r="M123" i="6"/>
  <c r="M379" i="6"/>
  <c r="M217" i="6"/>
  <c r="M256" i="6"/>
  <c r="M679" i="6"/>
  <c r="M463" i="6"/>
  <c r="M781" i="6"/>
  <c r="M795" i="6"/>
  <c r="M131" i="6"/>
  <c r="M787" i="6"/>
  <c r="M183" i="6"/>
  <c r="M365" i="6"/>
  <c r="M454" i="6"/>
  <c r="M674" i="6"/>
  <c r="M100" i="6"/>
  <c r="M307" i="6"/>
  <c r="M524" i="6"/>
  <c r="M739" i="6"/>
  <c r="M161" i="6"/>
  <c r="M404" i="6"/>
  <c r="M658" i="6"/>
  <c r="M85" i="6"/>
  <c r="M325" i="6"/>
  <c r="M579" i="6"/>
  <c r="M19" i="6"/>
  <c r="M246" i="6"/>
  <c r="M501" i="6"/>
  <c r="M754" i="6"/>
  <c r="M172" i="6"/>
  <c r="M449" i="6"/>
  <c r="M428" i="6"/>
  <c r="M517" i="6"/>
  <c r="M660" i="6"/>
  <c r="M70" i="6"/>
  <c r="M103" i="6"/>
  <c r="M318" i="6"/>
  <c r="M360" i="6"/>
  <c r="M255" i="6"/>
  <c r="M585" i="6"/>
  <c r="M702" i="6"/>
  <c r="M806" i="6"/>
  <c r="M510" i="6"/>
  <c r="M89" i="6"/>
  <c r="M384" i="6"/>
  <c r="M283" i="6"/>
  <c r="M32" i="6"/>
  <c r="M14" i="6"/>
  <c r="M312" i="6"/>
  <c r="M381" i="6"/>
  <c r="M24" i="6"/>
  <c r="M413" i="6"/>
  <c r="M696" i="6"/>
  <c r="M366" i="6"/>
  <c r="M586" i="6"/>
  <c r="M272" i="6"/>
  <c r="M667" i="6"/>
  <c r="M537" i="6"/>
  <c r="M544" i="6"/>
  <c r="M168" i="6"/>
  <c r="M783" i="6"/>
  <c r="M16" i="6"/>
  <c r="M375" i="6"/>
  <c r="M340" i="6"/>
  <c r="M600" i="6"/>
  <c r="M31" i="6"/>
  <c r="M346" i="6"/>
  <c r="M216" i="6"/>
  <c r="M420" i="6"/>
  <c r="M636" i="6"/>
  <c r="M68" i="6"/>
  <c r="M273" i="6"/>
  <c r="M485" i="6"/>
  <c r="M705" i="6"/>
  <c r="M129" i="6"/>
  <c r="M370" i="6"/>
  <c r="M620" i="6"/>
  <c r="M53" i="6"/>
  <c r="M291" i="6"/>
  <c r="M546" i="6"/>
  <c r="M796" i="6"/>
  <c r="M212" i="6"/>
  <c r="M467" i="6"/>
  <c r="M716" i="6"/>
  <c r="M140" i="6"/>
  <c r="M300" i="6"/>
  <c r="M278" i="6"/>
  <c r="M227" i="6"/>
  <c r="M516" i="6"/>
  <c r="M338" i="6"/>
  <c r="M391" i="6"/>
  <c r="M221" i="6"/>
  <c r="M616" i="6"/>
  <c r="M511" i="6"/>
  <c r="M151" i="6"/>
  <c r="M621" i="6"/>
  <c r="M471" i="6"/>
  <c r="M287" i="6"/>
  <c r="M409" i="6"/>
  <c r="M704" i="6"/>
  <c r="M571" i="6"/>
  <c r="M199" i="6"/>
  <c r="M47" i="6"/>
  <c r="M664" i="6"/>
  <c r="M286" i="6"/>
  <c r="M328" i="6"/>
  <c r="M334" i="6"/>
  <c r="M169" i="6"/>
  <c r="M208" i="6"/>
  <c r="M75" i="6"/>
  <c r="M155" i="6"/>
  <c r="M542" i="6"/>
  <c r="M26" i="6"/>
  <c r="M152" i="6"/>
  <c r="M472" i="6"/>
  <c r="M749" i="6"/>
  <c r="M304" i="6"/>
  <c r="M223" i="6"/>
  <c r="M386" i="6"/>
  <c r="M597" i="6"/>
  <c r="M36" i="6"/>
  <c r="M230" i="6"/>
  <c r="M451" i="6"/>
  <c r="M662" i="6"/>
  <c r="M97" i="6"/>
  <c r="M332" i="6"/>
  <c r="M581" i="6"/>
  <c r="M21" i="6"/>
  <c r="M257" i="6"/>
  <c r="M508" i="6"/>
  <c r="M757" i="6"/>
  <c r="M179" i="6"/>
  <c r="M433" i="6"/>
  <c r="M677" i="6"/>
  <c r="M108" i="6"/>
  <c r="M157" i="6"/>
  <c r="M141" i="6"/>
  <c r="M678" i="6"/>
  <c r="M371" i="6"/>
  <c r="M193" i="6"/>
  <c r="M695" i="6"/>
  <c r="M765" i="6"/>
  <c r="M41" i="6"/>
  <c r="M767" i="6"/>
  <c r="M234" i="6"/>
  <c r="M462" i="6"/>
  <c r="M807" i="6"/>
  <c r="M575" i="6"/>
  <c r="M713" i="6"/>
  <c r="M663" i="6"/>
  <c r="M429" i="6"/>
  <c r="M519" i="6"/>
  <c r="M335" i="6"/>
  <c r="M137" i="6"/>
  <c r="M144" i="6"/>
  <c r="M680" i="6"/>
  <c r="M192" i="6"/>
  <c r="M489" i="6"/>
  <c r="M496" i="6"/>
  <c r="M363" i="6"/>
  <c r="M759" i="6"/>
  <c r="M397" i="6"/>
  <c r="M330" i="6"/>
  <c r="M634" i="6"/>
  <c r="M776" i="6"/>
  <c r="M782" i="6"/>
  <c r="M592" i="6"/>
  <c r="M543" i="6"/>
  <c r="M492" i="6"/>
  <c r="M82" i="6"/>
  <c r="M566" i="6"/>
  <c r="M737" i="6"/>
  <c r="M244" i="6"/>
  <c r="M495" i="6"/>
  <c r="M232" i="6"/>
  <c r="M73" i="6"/>
  <c r="M778" i="6"/>
  <c r="M254" i="6"/>
  <c r="M777" i="6"/>
  <c r="M570" i="6"/>
  <c r="M573" i="6"/>
  <c r="M58" i="6"/>
  <c r="M665" i="6"/>
  <c r="M348" i="6"/>
  <c r="M563" i="6"/>
  <c r="M780" i="6"/>
  <c r="M196" i="6"/>
  <c r="M417" i="6"/>
  <c r="M628" i="6"/>
  <c r="M65" i="6"/>
  <c r="M293" i="6"/>
  <c r="M548" i="6"/>
  <c r="M802" i="6"/>
  <c r="M214" i="6"/>
  <c r="M469" i="6"/>
  <c r="M723" i="6"/>
  <c r="M146" i="6"/>
  <c r="M390" i="6"/>
  <c r="M643" i="6"/>
  <c r="M76" i="6"/>
  <c r="M29" i="6"/>
  <c r="M13" i="6"/>
  <c r="M534" i="6"/>
  <c r="M226" i="6"/>
  <c r="M61" i="6"/>
  <c r="M88" i="6"/>
  <c r="M590" i="6"/>
  <c r="M313" i="6"/>
  <c r="M653" i="6"/>
  <c r="M455" i="6"/>
  <c r="M271" i="6"/>
  <c r="M248" i="6"/>
  <c r="M237" i="6"/>
  <c r="M154" i="6"/>
  <c r="M735" i="6"/>
  <c r="M750" i="6"/>
  <c r="M167" i="6"/>
  <c r="M623" i="6"/>
  <c r="M457" i="6"/>
  <c r="M464" i="6"/>
  <c r="M153" i="6"/>
  <c r="M480" i="6"/>
  <c r="M793" i="6"/>
  <c r="M784" i="6"/>
  <c r="M651" i="6"/>
  <c r="M382" i="6"/>
  <c r="M190" i="6"/>
  <c r="M618" i="6"/>
  <c r="M447" i="6"/>
  <c r="M249" i="6"/>
  <c r="M288" i="6"/>
  <c r="M203" i="6"/>
  <c r="M173" i="6"/>
  <c r="M707" i="6"/>
  <c r="M71" i="6"/>
  <c r="M250" i="6"/>
  <c r="M345" i="6"/>
  <c r="M309" i="6"/>
  <c r="M530" i="6"/>
  <c r="M741" i="6"/>
  <c r="M163" i="6"/>
  <c r="M374" i="6"/>
  <c r="M594" i="6"/>
  <c r="M33" i="6"/>
  <c r="M259" i="6"/>
  <c r="M514" i="6"/>
  <c r="M764" i="6"/>
  <c r="M181" i="6"/>
  <c r="M435" i="6"/>
  <c r="M689" i="6"/>
  <c r="M114" i="6"/>
  <c r="M356" i="6"/>
  <c r="M609" i="6"/>
  <c r="M44" i="6"/>
  <c r="M556" i="6"/>
  <c r="M125" i="6"/>
  <c r="M389" i="6"/>
  <c r="M92" i="6"/>
  <c r="M771" i="6"/>
  <c r="M344" i="6"/>
  <c r="M239" i="6"/>
  <c r="M569" i="6"/>
  <c r="M446" i="6"/>
  <c r="M791" i="6"/>
  <c r="M559" i="6"/>
  <c r="M552" i="6"/>
  <c r="M142" i="6"/>
  <c r="M490" i="6"/>
  <c r="M509" i="6"/>
  <c r="M733" i="6"/>
  <c r="M296" i="6"/>
  <c r="M349" i="6"/>
  <c r="M761" i="6"/>
  <c r="M752" i="6"/>
  <c r="M473" i="6"/>
  <c r="M768" i="6"/>
  <c r="M282" i="6"/>
  <c r="M528" i="6"/>
  <c r="M478" i="6"/>
  <c r="M279" i="6"/>
  <c r="M127" i="6"/>
  <c r="M107" i="6"/>
  <c r="M666" i="6"/>
  <c r="M617" i="6"/>
  <c r="M576" i="6"/>
  <c r="M589" i="6"/>
  <c r="M62" i="6"/>
  <c r="M275" i="6"/>
  <c r="M322" i="6"/>
  <c r="M12" i="6"/>
  <c r="M483" i="6"/>
  <c r="M626" i="6"/>
  <c r="M176" i="6"/>
  <c r="M205" i="6"/>
  <c r="M80" i="6"/>
  <c r="M648" i="6"/>
  <c r="M367" i="6"/>
  <c r="M526" i="6"/>
  <c r="M631" i="6"/>
  <c r="M395" i="6"/>
  <c r="M343" i="6"/>
  <c r="M816" i="6"/>
  <c r="M241" i="6"/>
  <c r="M453" i="6"/>
  <c r="M673" i="6"/>
  <c r="M99" i="6"/>
  <c r="M306" i="6"/>
  <c r="M518" i="6"/>
  <c r="M770" i="6"/>
  <c r="M188" i="6"/>
  <c r="M437" i="6"/>
  <c r="M691" i="6"/>
  <c r="M116" i="6"/>
  <c r="M358" i="6"/>
  <c r="M612" i="6"/>
  <c r="M50" i="6"/>
  <c r="M284" i="6"/>
  <c r="M533" i="6"/>
  <c r="M753" i="6"/>
  <c r="M588" i="6"/>
  <c r="M710" i="6"/>
  <c r="M109" i="6"/>
  <c r="M498" i="6"/>
  <c r="M482" i="6"/>
  <c r="M25" i="6"/>
  <c r="M751" i="6"/>
  <c r="M218" i="6"/>
  <c r="M432" i="6"/>
  <c r="M536" i="6"/>
  <c r="M94" i="6"/>
  <c r="M393" i="6"/>
  <c r="M368" i="6"/>
  <c r="M267" i="6"/>
  <c r="M503" i="6"/>
  <c r="M319" i="6"/>
  <c r="M121" i="6"/>
  <c r="M128" i="6"/>
  <c r="M538" i="6"/>
  <c r="M240" i="6"/>
  <c r="M266" i="6"/>
  <c r="M601" i="6"/>
  <c r="M59" i="6"/>
  <c r="M200" i="6"/>
  <c r="M158" i="6"/>
  <c r="M72" i="6"/>
  <c r="M477" i="6"/>
  <c r="M715" i="6"/>
  <c r="M779" i="6"/>
  <c r="M362" i="6"/>
  <c r="M743" i="6"/>
  <c r="M520" i="6"/>
  <c r="M410" i="6"/>
  <c r="M225" i="6"/>
  <c r="M786" i="6"/>
  <c r="M198" i="6"/>
  <c r="M419" i="6"/>
  <c r="M630" i="6"/>
  <c r="M67" i="6"/>
  <c r="M268" i="6"/>
  <c r="M484" i="6"/>
  <c r="M732" i="6"/>
  <c r="M150" i="6"/>
  <c r="M403" i="6"/>
  <c r="M657" i="6"/>
  <c r="M84" i="6"/>
  <c r="M324" i="6"/>
  <c r="M578" i="6"/>
  <c r="M18" i="6"/>
  <c r="M245" i="6"/>
  <c r="M499" i="6"/>
  <c r="M604" i="6"/>
  <c r="M444" i="6"/>
  <c r="M565" i="6"/>
  <c r="M372" i="6"/>
  <c r="M204" i="6"/>
  <c r="M337" i="6"/>
  <c r="M281" i="6"/>
  <c r="M605" i="6"/>
  <c r="M474" i="6"/>
  <c r="M688" i="6"/>
  <c r="M407" i="6"/>
  <c r="M64" i="6"/>
  <c r="M697" i="6"/>
  <c r="M656" i="6"/>
  <c r="M555" i="6"/>
  <c r="M87" i="6"/>
  <c r="M607" i="6"/>
  <c r="M441" i="6"/>
  <c r="M448" i="6"/>
  <c r="M27" i="6"/>
  <c r="M233" i="6"/>
  <c r="M554" i="6"/>
  <c r="M159" i="6"/>
  <c r="M347" i="6"/>
  <c r="M263" i="6"/>
  <c r="M111" i="6"/>
  <c r="M424" i="6"/>
  <c r="M350" i="6"/>
  <c r="M574" i="6"/>
  <c r="M815" i="6"/>
  <c r="M650" i="6"/>
  <c r="M184" i="6"/>
  <c r="M48" i="6"/>
  <c r="M219" i="6"/>
  <c r="M804" i="6"/>
  <c r="M748" i="6"/>
  <c r="M165" i="6"/>
  <c r="M385" i="6"/>
  <c r="M596" i="6"/>
  <c r="M35" i="6"/>
  <c r="M229" i="6"/>
  <c r="M450" i="6"/>
  <c r="M693" i="6"/>
  <c r="M118" i="6"/>
  <c r="M369" i="6"/>
  <c r="M614" i="6"/>
  <c r="M52" i="6"/>
  <c r="M290" i="6"/>
  <c r="M545" i="6"/>
  <c r="M790" i="6"/>
  <c r="M211" i="6"/>
  <c r="M465" i="6"/>
  <c r="M460" i="6"/>
  <c r="M294" i="6"/>
  <c r="M421" i="6"/>
  <c r="M676" i="6"/>
  <c r="M789" i="6"/>
  <c r="M189" i="6"/>
  <c r="M553" i="6"/>
  <c r="M414" i="6"/>
  <c r="M730" i="6"/>
  <c r="M135" i="6"/>
  <c r="M377" i="6"/>
  <c r="M352" i="6"/>
  <c r="M138" i="6"/>
  <c r="M285" i="6"/>
  <c r="M269" i="6"/>
  <c r="M280" i="6"/>
  <c r="M317" i="6"/>
  <c r="M745" i="6"/>
  <c r="M736" i="6"/>
  <c r="M315" i="6"/>
  <c r="M606" i="6"/>
  <c r="M43" i="6"/>
  <c r="M560" i="6"/>
  <c r="M635" i="6"/>
  <c r="M599" i="6"/>
  <c r="M399" i="6"/>
  <c r="M728" i="6"/>
  <c r="M90" i="6"/>
  <c r="M445" i="6"/>
  <c r="M311" i="6"/>
  <c r="M139" i="6"/>
  <c r="M488" i="6"/>
  <c r="M361" i="6"/>
  <c r="M336" i="6"/>
  <c r="M557" i="6"/>
  <c r="M709" i="6"/>
  <c r="M133" i="6"/>
  <c r="M342" i="6"/>
  <c r="M562" i="6"/>
  <c r="M774" i="6"/>
  <c r="M195" i="6"/>
  <c r="M412" i="6"/>
  <c r="M659" i="6"/>
  <c r="M86" i="6"/>
  <c r="M326" i="6"/>
  <c r="M580" i="6"/>
  <c r="M20" i="6"/>
  <c r="M252" i="6"/>
  <c r="M502" i="6"/>
  <c r="M756" i="6"/>
  <c r="M178" i="6"/>
  <c r="M422" i="6"/>
  <c r="M310" i="6"/>
  <c r="M156" i="6"/>
  <c r="M276" i="6"/>
  <c r="M532" i="6"/>
  <c r="M644" i="6"/>
  <c r="M60" i="6"/>
  <c r="M809" i="6"/>
  <c r="M160" i="6"/>
  <c r="M187" i="6"/>
  <c r="M439" i="6"/>
  <c r="M681" i="6"/>
  <c r="M640" i="6"/>
  <c r="M442" i="6"/>
  <c r="M703" i="6"/>
  <c r="M734" i="6"/>
  <c r="M584" i="6"/>
  <c r="M206" i="6"/>
  <c r="M186" i="6"/>
  <c r="M760" i="6"/>
  <c r="M603" i="6"/>
  <c r="M622" i="6"/>
  <c r="M331" i="6"/>
  <c r="M633" i="6"/>
  <c r="M238" i="6"/>
  <c r="M56" i="6"/>
  <c r="M687" i="6"/>
  <c r="M201" i="6"/>
  <c r="M207" i="6"/>
  <c r="M222" i="6"/>
  <c r="M456" i="6"/>
  <c r="M459" i="6"/>
  <c r="M792" i="6"/>
  <c r="M624" i="6"/>
  <c r="M698" i="6"/>
  <c r="M148" i="6"/>
  <c r="M675" i="6"/>
  <c r="M101" i="6"/>
  <c r="M308" i="6"/>
  <c r="M529" i="6"/>
  <c r="M740" i="6"/>
  <c r="M162" i="6"/>
  <c r="M373" i="6"/>
  <c r="M625" i="6"/>
  <c r="M54" i="6"/>
  <c r="M292" i="6"/>
  <c r="M547" i="6"/>
  <c r="M801" i="6"/>
  <c r="M213" i="6"/>
  <c r="M468" i="6"/>
  <c r="M722" i="6"/>
  <c r="M145" i="6"/>
  <c r="M388" i="6"/>
  <c r="M166" i="6"/>
  <c r="M28" i="6"/>
  <c r="M134" i="6"/>
  <c r="M387" i="6"/>
  <c r="M500" i="6"/>
  <c r="M755" i="6"/>
  <c r="M202" i="6"/>
  <c r="M416" i="6"/>
  <c r="M443" i="6"/>
  <c r="M727" i="6"/>
  <c r="M122" i="6"/>
  <c r="M415" i="6"/>
  <c r="M762" i="6"/>
  <c r="M717" i="6"/>
  <c r="M701" i="6"/>
  <c r="M105" i="6"/>
  <c r="M112" i="6"/>
  <c r="M522" i="6"/>
  <c r="M479" i="6"/>
  <c r="M813" i="6"/>
  <c r="M763" i="6"/>
  <c r="M619" i="6"/>
  <c r="M682" i="6"/>
  <c r="M333" i="6"/>
  <c r="M408" i="6"/>
  <c r="M525" i="6"/>
  <c r="M521" i="6"/>
  <c r="M295" i="6"/>
  <c r="M143" i="6"/>
  <c r="M42" i="6"/>
  <c r="M747" i="6"/>
  <c r="M74" i="6"/>
  <c r="M106" i="6"/>
  <c r="M507" i="6"/>
  <c r="M401" i="6"/>
  <c r="M641" i="6"/>
  <c r="M69" i="6"/>
  <c r="M274" i="6"/>
  <c r="M486" i="6"/>
  <c r="M706" i="6"/>
  <c r="M130" i="6"/>
  <c r="M339" i="6"/>
  <c r="M582" i="6"/>
  <c r="M22" i="6"/>
  <c r="M258" i="6"/>
  <c r="M513" i="6"/>
  <c r="M758" i="6"/>
  <c r="M180" i="6"/>
  <c r="M434" i="6"/>
  <c r="M684" i="6"/>
  <c r="M113" i="6"/>
  <c r="M354" i="6"/>
  <c r="M38" i="6"/>
  <c r="M700" i="6"/>
  <c r="M694" i="6"/>
  <c r="M242" i="6"/>
  <c r="M355" i="6"/>
  <c r="M610" i="6"/>
  <c r="M458" i="6"/>
  <c r="M672" i="6"/>
  <c r="M699" i="6"/>
  <c r="M120" i="6"/>
  <c r="M426" i="6"/>
  <c r="M411" i="6"/>
  <c r="M251" i="6"/>
  <c r="M55" i="6"/>
  <c r="M15" i="6"/>
  <c r="M425" i="6"/>
  <c r="M400" i="6"/>
  <c r="M810" i="6"/>
  <c r="M649" i="6"/>
  <c r="M814" i="6"/>
  <c r="M359" i="6"/>
  <c r="M110" i="6"/>
  <c r="M527" i="6"/>
  <c r="M126" i="6"/>
  <c r="M712" i="6"/>
  <c r="M494" i="6"/>
  <c r="M297" i="6"/>
  <c r="M647" i="6"/>
  <c r="M431" i="6"/>
  <c r="M270" i="6"/>
  <c r="M638" i="6"/>
  <c r="M475" i="6"/>
  <c r="M686" i="6"/>
  <c r="M725" i="6"/>
  <c r="M598" i="6"/>
  <c r="M37" i="6"/>
  <c r="M236" i="6"/>
  <c r="M452" i="6"/>
  <c r="M668" i="6"/>
  <c r="M98" i="6"/>
  <c r="M305" i="6"/>
  <c r="M549" i="6"/>
  <c r="M803" i="6"/>
  <c r="M220" i="6"/>
  <c r="M470" i="6"/>
  <c r="M724" i="6"/>
  <c r="M147" i="6"/>
  <c r="M396" i="6"/>
  <c r="M645" i="6"/>
  <c r="M81" i="6"/>
  <c r="M316" i="6"/>
  <c r="M406" i="6"/>
  <c r="M261" i="6"/>
  <c r="M550" i="6"/>
  <c r="M102" i="6"/>
  <c r="M210" i="6"/>
  <c r="M466" i="6"/>
  <c r="M714" i="6"/>
  <c r="M119" i="6"/>
  <c r="M398" i="6"/>
  <c r="M376" i="6"/>
  <c r="M746" i="6"/>
  <c r="M378" i="6"/>
  <c r="M539" i="6"/>
  <c r="M487" i="6"/>
  <c r="M303" i="6"/>
  <c r="M729" i="6"/>
  <c r="M720" i="6"/>
  <c r="M299" i="6"/>
  <c r="M30" i="6"/>
  <c r="M46" i="6"/>
  <c r="M491" i="6"/>
  <c r="M301" i="6"/>
  <c r="M247" i="6"/>
  <c r="M95" i="6"/>
  <c r="M185" i="6"/>
  <c r="M224" i="6"/>
  <c r="M314" i="6"/>
  <c r="M136" i="6"/>
  <c r="M719" i="6"/>
  <c r="M504" i="6"/>
  <c r="M493" i="6"/>
  <c r="M654" i="6"/>
  <c r="M430" i="6"/>
  <c r="M646" i="6"/>
  <c r="M564" i="6"/>
  <c r="M785" i="6"/>
  <c r="M197" i="6"/>
  <c r="M418" i="6"/>
  <c r="M629" i="6"/>
  <c r="M66" i="6"/>
  <c r="M262" i="6"/>
  <c r="M515" i="6"/>
  <c r="M769" i="6"/>
  <c r="M182" i="6"/>
  <c r="M436" i="6"/>
  <c r="M690" i="6"/>
  <c r="M115" i="6"/>
  <c r="M357" i="6"/>
  <c r="M611" i="6"/>
  <c r="M49" i="6"/>
  <c r="M277" i="6"/>
  <c r="M772" i="6"/>
  <c r="M627" i="6"/>
  <c r="M405" i="6"/>
  <c r="M661" i="6"/>
  <c r="M77" i="6"/>
  <c r="M321" i="6"/>
  <c r="M171" i="6"/>
  <c r="M423" i="6"/>
  <c r="M253" i="6"/>
  <c r="M632" i="6"/>
  <c r="M235" i="6"/>
  <c r="M808" i="6"/>
  <c r="M812" i="6"/>
  <c r="M39" i="6"/>
  <c r="M591" i="6"/>
  <c r="M170" i="6"/>
  <c r="M731" i="6"/>
  <c r="M587" i="6"/>
  <c r="M215" i="6"/>
  <c r="M63" i="6"/>
  <c r="M608" i="6"/>
  <c r="M78" i="6"/>
  <c r="M583" i="6"/>
  <c r="M383" i="6"/>
  <c r="M505" i="6"/>
  <c r="M512" i="6"/>
  <c r="M602" i="6"/>
  <c r="M440" i="6"/>
  <c r="M685" i="6"/>
  <c r="M541" i="6"/>
  <c r="M302" i="6"/>
  <c r="M191" i="6"/>
  <c r="M775" i="6"/>
  <c r="M476" i="6"/>
  <c r="M531" i="6"/>
  <c r="M742" i="6"/>
  <c r="M164" i="6"/>
  <c r="M380" i="6"/>
  <c r="M595" i="6"/>
  <c r="M34" i="6"/>
  <c r="M228" i="6"/>
  <c r="M481" i="6"/>
  <c r="M726" i="6"/>
  <c r="M149" i="6"/>
  <c r="M402" i="6"/>
  <c r="M652" i="6"/>
  <c r="M83" i="6"/>
  <c r="M323" i="6"/>
  <c r="M577" i="6"/>
  <c r="M17" i="6"/>
  <c r="M243" i="6"/>
  <c r="M738" i="6"/>
  <c r="M721" i="6"/>
  <c r="M260" i="6"/>
  <c r="M93" i="6"/>
  <c r="M642" i="6"/>
  <c r="M177" i="6"/>
  <c r="M427" i="6"/>
  <c r="M711" i="6"/>
  <c r="M797" i="6"/>
  <c r="M57" i="6"/>
  <c r="M523" i="6"/>
  <c r="M670" i="6"/>
  <c r="M718" i="6"/>
  <c r="M264" i="6"/>
  <c r="M174" i="6"/>
  <c r="M506" i="6"/>
  <c r="M265" i="6"/>
  <c r="M637" i="6"/>
  <c r="M535" i="6"/>
  <c r="M351" i="6"/>
  <c r="M231" i="6"/>
  <c r="M79" i="6"/>
  <c r="M40" i="6"/>
  <c r="M671" i="6"/>
  <c r="M551" i="6"/>
  <c r="M800" i="6"/>
  <c r="M91" i="6"/>
  <c r="M744" i="6"/>
  <c r="M558" i="6"/>
  <c r="M327" i="6"/>
  <c r="M175" i="6"/>
  <c r="M799" i="6"/>
  <c r="M23" i="6"/>
  <c r="L57" i="6"/>
  <c r="L278" i="6"/>
  <c r="L139" i="6"/>
  <c r="P139" i="6" s="1"/>
  <c r="L346" i="6"/>
  <c r="L219" i="6"/>
  <c r="P219" i="6" s="1"/>
  <c r="L85" i="6"/>
  <c r="P85" i="6" s="1"/>
  <c r="L297" i="6"/>
  <c r="L647" i="6"/>
  <c r="L88" i="6"/>
  <c r="L648" i="6"/>
  <c r="L439" i="6"/>
  <c r="L389" i="6"/>
  <c r="P389" i="6" s="1"/>
  <c r="L580" i="6"/>
  <c r="L440" i="6"/>
  <c r="L500" i="6"/>
  <c r="L502" i="6"/>
  <c r="L423" i="6"/>
  <c r="L450" i="6"/>
  <c r="L634" i="6"/>
  <c r="P634" i="6" s="1"/>
  <c r="L633" i="6"/>
  <c r="L296" i="6"/>
  <c r="L762" i="6"/>
  <c r="L298" i="6"/>
  <c r="P298" i="6" s="1"/>
  <c r="L763" i="6"/>
  <c r="L592" i="6"/>
  <c r="P592" i="6" s="1"/>
  <c r="L617" i="6"/>
  <c r="P617" i="6" s="1"/>
  <c r="L518" i="6"/>
  <c r="L178" i="6"/>
  <c r="L542" i="6"/>
  <c r="L237" i="6"/>
  <c r="L17" i="6"/>
  <c r="L332" i="6"/>
  <c r="L384" i="6"/>
  <c r="P384" i="6" s="1"/>
  <c r="L307" i="6"/>
  <c r="P307" i="6" s="1"/>
  <c r="L287" i="6"/>
  <c r="L527" i="6"/>
  <c r="P527" i="6" s="1"/>
  <c r="L813" i="6"/>
  <c r="L226" i="6"/>
  <c r="L620" i="6"/>
  <c r="L588" i="6"/>
  <c r="L399" i="6"/>
  <c r="L177" i="6"/>
  <c r="L115" i="6"/>
  <c r="L211" i="6"/>
  <c r="L36" i="6"/>
  <c r="P36" i="6" s="1"/>
  <c r="L400" i="6"/>
  <c r="P400" i="6" s="1"/>
  <c r="L99" i="6"/>
  <c r="L685" i="6"/>
  <c r="L748" i="6"/>
  <c r="P748" i="6" s="1"/>
  <c r="L371" i="6"/>
  <c r="P371" i="6" s="1"/>
  <c r="L249" i="6"/>
  <c r="L595" i="6"/>
  <c r="P595" i="6" s="1"/>
  <c r="L175" i="6"/>
  <c r="L91" i="6"/>
  <c r="P91" i="6" s="1"/>
  <c r="L310" i="6"/>
  <c r="P310" i="6" s="1"/>
  <c r="L182" i="6"/>
  <c r="P182" i="6" s="1"/>
  <c r="L39" i="6"/>
  <c r="P39" i="6" s="1"/>
  <c r="L261" i="6"/>
  <c r="P261" i="6" s="1"/>
  <c r="L119" i="6"/>
  <c r="L329" i="6"/>
  <c r="L674" i="6"/>
  <c r="L566" i="6"/>
  <c r="P566" i="6" s="1"/>
  <c r="L676" i="6"/>
  <c r="L469" i="6"/>
  <c r="P469" i="6" s="1"/>
  <c r="L416" i="6"/>
  <c r="L656" i="6"/>
  <c r="L470" i="6"/>
  <c r="L578" i="6"/>
  <c r="L530" i="6"/>
  <c r="L482" i="6"/>
  <c r="L474" i="6"/>
  <c r="L740" i="6"/>
  <c r="P740" i="6" s="1"/>
  <c r="L661" i="6"/>
  <c r="L372" i="6"/>
  <c r="L788" i="6"/>
  <c r="P788" i="6" s="1"/>
  <c r="L373" i="6"/>
  <c r="L789" i="6"/>
  <c r="P789" i="6" s="1"/>
  <c r="L644" i="6"/>
  <c r="L645" i="6"/>
  <c r="P645" i="6" s="1"/>
  <c r="L544" i="6"/>
  <c r="P544" i="6" s="1"/>
  <c r="L212" i="6"/>
  <c r="P212" i="6" s="1"/>
  <c r="L286" i="6"/>
  <c r="P286" i="6" s="1"/>
  <c r="L401" i="6"/>
  <c r="P401" i="6" s="1"/>
  <c r="L782" i="6"/>
  <c r="L15" i="6"/>
  <c r="P15" i="6" s="1"/>
  <c r="L559" i="6"/>
  <c r="P559" i="6" s="1"/>
  <c r="L19" i="6"/>
  <c r="L652" i="6"/>
  <c r="L368" i="6"/>
  <c r="P368" i="6" s="1"/>
  <c r="L557" i="6"/>
  <c r="L737" i="6"/>
  <c r="L364" i="6"/>
  <c r="L335" i="6"/>
  <c r="L13" i="6"/>
  <c r="L735" i="6"/>
  <c r="P735" i="6" s="1"/>
  <c r="L260" i="6"/>
  <c r="L144" i="6"/>
  <c r="L483" i="6"/>
  <c r="P483" i="6" s="1"/>
  <c r="L623" i="6"/>
  <c r="P623" i="6" s="1"/>
  <c r="L653" i="6"/>
  <c r="P653" i="6" s="1"/>
  <c r="L429" i="6"/>
  <c r="P429" i="6" s="1"/>
  <c r="L50" i="6"/>
  <c r="P50" i="6" s="1"/>
  <c r="L460" i="6"/>
  <c r="P460" i="6" s="1"/>
  <c r="L410" i="6"/>
  <c r="L20" i="6"/>
  <c r="P20" i="6" s="1"/>
  <c r="L134" i="6"/>
  <c r="P134" i="6" s="1"/>
  <c r="L341" i="6"/>
  <c r="P341" i="6" s="1"/>
  <c r="L216" i="6"/>
  <c r="L73" i="6"/>
  <c r="L293" i="6"/>
  <c r="L153" i="6"/>
  <c r="P153" i="6" s="1"/>
  <c r="L359" i="6"/>
  <c r="P359" i="6" s="1"/>
  <c r="L697" i="6"/>
  <c r="L791" i="6"/>
  <c r="P791" i="6" s="1"/>
  <c r="L698" i="6"/>
  <c r="P698" i="6" s="1"/>
  <c r="L496" i="6"/>
  <c r="L441" i="6"/>
  <c r="L708" i="6"/>
  <c r="P708" i="6" s="1"/>
  <c r="L498" i="6"/>
  <c r="L651" i="6"/>
  <c r="L553" i="6"/>
  <c r="P553" i="6" s="1"/>
  <c r="L534" i="6"/>
  <c r="L503" i="6"/>
  <c r="L487" i="6"/>
  <c r="L683" i="6"/>
  <c r="L395" i="6"/>
  <c r="L809" i="6"/>
  <c r="L402" i="6"/>
  <c r="L810" i="6"/>
  <c r="L720" i="6"/>
  <c r="L667" i="6"/>
  <c r="L568" i="6"/>
  <c r="L691" i="6"/>
  <c r="L30" i="6"/>
  <c r="L671" i="6"/>
  <c r="L526" i="6"/>
  <c r="L432" i="6"/>
  <c r="L333" i="6"/>
  <c r="L769" i="6"/>
  <c r="L396" i="6"/>
  <c r="L303" i="6"/>
  <c r="L301" i="6"/>
  <c r="L465" i="6"/>
  <c r="L108" i="6"/>
  <c r="L654" i="6"/>
  <c r="L604" i="6"/>
  <c r="L686" i="6"/>
  <c r="L68" i="6"/>
  <c r="L113" i="6"/>
  <c r="L163" i="6"/>
  <c r="L796" i="6"/>
  <c r="L292" i="6"/>
  <c r="L173" i="6"/>
  <c r="L476" i="6"/>
  <c r="L381" i="6"/>
  <c r="L137" i="6"/>
  <c r="L798" i="6"/>
  <c r="L189" i="6"/>
  <c r="L168" i="6"/>
  <c r="L25" i="6"/>
  <c r="L250" i="6"/>
  <c r="L107" i="6"/>
  <c r="L325" i="6"/>
  <c r="L187" i="6"/>
  <c r="L104" i="6"/>
  <c r="L725" i="6"/>
  <c r="L120" i="6"/>
  <c r="L726" i="6"/>
  <c r="L521" i="6"/>
  <c r="L471" i="6"/>
  <c r="L757" i="6"/>
  <c r="L522" i="6"/>
  <c r="L729" i="6"/>
  <c r="L581" i="6"/>
  <c r="L560" i="6"/>
  <c r="L532" i="6"/>
  <c r="L54" i="6"/>
  <c r="L711" i="6"/>
  <c r="L424" i="6"/>
  <c r="L86" i="6"/>
  <c r="L425" i="6"/>
  <c r="L199" i="6"/>
  <c r="L770" i="6"/>
  <c r="L695" i="6"/>
  <c r="L596" i="6"/>
  <c r="L435" i="6"/>
  <c r="L655" i="6"/>
  <c r="L308" i="6"/>
  <c r="L270" i="6"/>
  <c r="L159" i="6"/>
  <c r="L77" i="6"/>
  <c r="L497" i="6"/>
  <c r="L140" i="6"/>
  <c r="L318" i="6"/>
  <c r="L64" i="6"/>
  <c r="L209" i="6"/>
  <c r="L547" i="6"/>
  <c r="L812" i="6"/>
  <c r="L733" i="6"/>
  <c r="L430" i="6"/>
  <c r="L515" i="6"/>
  <c r="L780" i="6"/>
  <c r="L114" i="6"/>
  <c r="L540" i="6"/>
  <c r="L739" i="6"/>
  <c r="L320" i="6"/>
  <c r="L49" i="6"/>
  <c r="L224" i="6"/>
  <c r="L619" i="6"/>
  <c r="L412" i="6"/>
  <c r="L12" i="6"/>
  <c r="L202" i="6"/>
  <c r="L59" i="6"/>
  <c r="L282" i="6"/>
  <c r="L150" i="6"/>
  <c r="L354" i="6"/>
  <c r="L230" i="6"/>
  <c r="L231" i="6"/>
  <c r="L747" i="6"/>
  <c r="L233" i="6"/>
  <c r="L752" i="6"/>
  <c r="L549" i="6"/>
  <c r="L523" i="6"/>
  <c r="L804" i="6"/>
  <c r="L550" i="6"/>
  <c r="P550" i="6" s="1"/>
  <c r="L803" i="6"/>
  <c r="P803" i="6" s="1"/>
  <c r="L603" i="6"/>
  <c r="P603" i="6" s="1"/>
  <c r="L612" i="6"/>
  <c r="P612" i="6" s="1"/>
  <c r="L554" i="6"/>
  <c r="P554" i="6" s="1"/>
  <c r="L166" i="6"/>
  <c r="L738" i="6"/>
  <c r="P738" i="6" s="1"/>
  <c r="L454" i="6"/>
  <c r="L299" i="6"/>
  <c r="L455" i="6"/>
  <c r="P455" i="6" s="1"/>
  <c r="L404" i="6"/>
  <c r="L89" i="6"/>
  <c r="L722" i="6"/>
  <c r="P722" i="6" s="1"/>
  <c r="L618" i="6"/>
  <c r="P618" i="6" s="1"/>
  <c r="L179" i="6"/>
  <c r="P179" i="6" s="1"/>
  <c r="L95" i="6"/>
  <c r="L80" i="6"/>
  <c r="P80" i="6" s="1"/>
  <c r="L14" i="6"/>
  <c r="P14" i="6" s="1"/>
  <c r="L321" i="6"/>
  <c r="L128" i="6"/>
  <c r="P128" i="6" s="1"/>
  <c r="L241" i="6"/>
  <c r="L579" i="6"/>
  <c r="L220" i="6"/>
  <c r="L255" i="6"/>
  <c r="P255" i="6" s="1"/>
  <c r="L48" i="6"/>
  <c r="P48" i="6" s="1"/>
  <c r="L721" i="6"/>
  <c r="P721" i="6" s="1"/>
  <c r="L98" i="6"/>
  <c r="P98" i="6" s="1"/>
  <c r="L625" i="6"/>
  <c r="P625" i="6" s="1"/>
  <c r="L174" i="6"/>
  <c r="P174" i="6" s="1"/>
  <c r="L227" i="6"/>
  <c r="P227" i="6" s="1"/>
  <c r="L590" i="6"/>
  <c r="L641" i="6"/>
  <c r="L284" i="6"/>
  <c r="P284" i="6" s="1"/>
  <c r="L419" i="6"/>
  <c r="L543" i="6"/>
  <c r="L302" i="6"/>
  <c r="L716" i="6"/>
  <c r="L528" i="6"/>
  <c r="L594" i="6"/>
  <c r="L702" i="6"/>
  <c r="L244" i="6"/>
  <c r="L22" i="6"/>
  <c r="L245" i="6"/>
  <c r="P245" i="6" s="1"/>
  <c r="L102" i="6"/>
  <c r="L314" i="6"/>
  <c r="L184" i="6"/>
  <c r="P184" i="6" s="1"/>
  <c r="L41" i="6"/>
  <c r="L263" i="6"/>
  <c r="P263" i="6" s="1"/>
  <c r="L330" i="6"/>
  <c r="L773" i="6"/>
  <c r="P773" i="6" s="1"/>
  <c r="L331" i="6"/>
  <c r="L774" i="6"/>
  <c r="L571" i="6"/>
  <c r="P571" i="6" s="1"/>
  <c r="L551" i="6"/>
  <c r="P551" i="6" s="1"/>
  <c r="L312" i="6"/>
  <c r="L576" i="6"/>
  <c r="P576" i="6" s="1"/>
  <c r="L602" i="6"/>
  <c r="P602" i="6" s="1"/>
  <c r="L631" i="6"/>
  <c r="P631" i="6" s="1"/>
  <c r="L662" i="6"/>
  <c r="L582" i="6"/>
  <c r="L280" i="6"/>
  <c r="L760" i="6"/>
  <c r="P760" i="6" s="1"/>
  <c r="L484" i="6"/>
  <c r="P484" i="6" s="1"/>
  <c r="L374" i="6"/>
  <c r="P374" i="6" s="1"/>
  <c r="L485" i="6"/>
  <c r="P485" i="6" s="1"/>
  <c r="L456" i="6"/>
  <c r="P456" i="6" s="1"/>
  <c r="L214" i="6"/>
  <c r="L745" i="6"/>
  <c r="P745" i="6" s="1"/>
  <c r="L646" i="6"/>
  <c r="P646" i="6" s="1"/>
  <c r="L162" i="6"/>
  <c r="P162" i="6" s="1"/>
  <c r="L621" i="6"/>
  <c r="L593" i="6"/>
  <c r="L607" i="6"/>
  <c r="L164" i="6"/>
  <c r="L319" i="6"/>
  <c r="L464" i="6"/>
  <c r="P464" i="6" s="1"/>
  <c r="L479" i="6"/>
  <c r="P479" i="6" s="1"/>
  <c r="L132" i="6"/>
  <c r="P132" i="6" s="1"/>
  <c r="L380" i="6"/>
  <c r="L718" i="6"/>
  <c r="P718" i="6" s="1"/>
  <c r="L783" i="6"/>
  <c r="P783" i="6" s="1"/>
  <c r="L622" i="6"/>
  <c r="P622" i="6" s="1"/>
  <c r="L110" i="6"/>
  <c r="P110" i="6" s="1"/>
  <c r="L208" i="6"/>
  <c r="P208" i="6" s="1"/>
  <c r="L146" i="6"/>
  <c r="L62" i="6"/>
  <c r="L385" i="6"/>
  <c r="L28" i="6"/>
  <c r="L131" i="6"/>
  <c r="L764" i="6"/>
  <c r="L659" i="6"/>
  <c r="P659" i="6" s="1"/>
  <c r="L34" i="6"/>
  <c r="L778" i="6"/>
  <c r="P778" i="6" s="1"/>
  <c r="L195" i="6"/>
  <c r="L205" i="6"/>
  <c r="P205" i="6" s="1"/>
  <c r="L56" i="6"/>
  <c r="P56" i="6" s="1"/>
  <c r="L277" i="6"/>
  <c r="P277" i="6" s="1"/>
  <c r="L136" i="6"/>
  <c r="P136" i="6" s="1"/>
  <c r="L345" i="6"/>
  <c r="L218" i="6"/>
  <c r="L75" i="6"/>
  <c r="L295" i="6"/>
  <c r="P295" i="6" s="1"/>
  <c r="L378" i="6"/>
  <c r="P378" i="6" s="1"/>
  <c r="L794" i="6"/>
  <c r="P794" i="6" s="1"/>
  <c r="L379" i="6"/>
  <c r="P379" i="6" s="1"/>
  <c r="L795" i="6"/>
  <c r="P795" i="6" s="1"/>
  <c r="L599" i="6"/>
  <c r="L601" i="6"/>
  <c r="P601" i="6" s="1"/>
  <c r="L516" i="6"/>
  <c r="L600" i="6"/>
  <c r="L427" i="6"/>
  <c r="L658" i="6"/>
  <c r="P658" i="6" s="1"/>
  <c r="L712" i="6"/>
  <c r="L608" i="6"/>
  <c r="P608" i="6" s="1"/>
  <c r="L363" i="6"/>
  <c r="P363" i="6" s="1"/>
  <c r="L786" i="6"/>
  <c r="P786" i="6" s="1"/>
  <c r="L506" i="6"/>
  <c r="P506" i="6" s="1"/>
  <c r="L426" i="6"/>
  <c r="L507" i="6"/>
  <c r="L514" i="6"/>
  <c r="P514" i="6" s="1"/>
  <c r="L313" i="6"/>
  <c r="L771" i="6"/>
  <c r="L672" i="6"/>
  <c r="L705" i="6"/>
  <c r="P705" i="6" s="1"/>
  <c r="L365" i="6"/>
  <c r="P365" i="6" s="1"/>
  <c r="L236" i="6"/>
  <c r="P236" i="6" s="1"/>
  <c r="L79" i="6"/>
  <c r="P79" i="6" s="1"/>
  <c r="L611" i="6"/>
  <c r="P611" i="6" s="1"/>
  <c r="L668" i="6"/>
  <c r="P668" i="6" s="1"/>
  <c r="L750" i="6"/>
  <c r="P750" i="6" s="1"/>
  <c r="L45" i="6"/>
  <c r="L291" i="6"/>
  <c r="L719" i="6"/>
  <c r="P719" i="6" s="1"/>
  <c r="L462" i="6"/>
  <c r="P462" i="6" s="1"/>
  <c r="L446" i="6"/>
  <c r="P446" i="6" s="1"/>
  <c r="L445" i="6"/>
  <c r="P445" i="6" s="1"/>
  <c r="L575" i="6"/>
  <c r="P575" i="6" s="1"/>
  <c r="L367" i="6"/>
  <c r="P367" i="6" s="1"/>
  <c r="L673" i="6"/>
  <c r="P673" i="6" s="1"/>
  <c r="L499" i="6"/>
  <c r="L129" i="6"/>
  <c r="P129" i="6" s="1"/>
  <c r="L467" i="6"/>
  <c r="L82" i="6"/>
  <c r="L508" i="6"/>
  <c r="P508" i="6" s="1"/>
  <c r="L814" i="6"/>
  <c r="L561" i="6"/>
  <c r="L411" i="6"/>
  <c r="P411" i="6" s="1"/>
  <c r="L538" i="6"/>
  <c r="L275" i="6"/>
  <c r="L492" i="6"/>
  <c r="P492" i="6" s="1"/>
  <c r="L90" i="6"/>
  <c r="L309" i="6"/>
  <c r="P309" i="6" s="1"/>
  <c r="L170" i="6"/>
  <c r="L38" i="6"/>
  <c r="P38" i="6" s="1"/>
  <c r="L258" i="6"/>
  <c r="L118" i="6"/>
  <c r="L327" i="6"/>
  <c r="P327" i="6" s="1"/>
  <c r="L408" i="6"/>
  <c r="L138" i="6"/>
  <c r="P138" i="6" s="1"/>
  <c r="L409" i="6"/>
  <c r="P409" i="6" s="1"/>
  <c r="L358" i="6"/>
  <c r="L626" i="6"/>
  <c r="P626" i="6" s="1"/>
  <c r="L629" i="6"/>
  <c r="P629" i="6" s="1"/>
  <c r="L616" i="6"/>
  <c r="P616" i="6" s="1"/>
  <c r="L628" i="6"/>
  <c r="P628" i="6" s="1"/>
  <c r="L666" i="6"/>
  <c r="P666" i="6" s="1"/>
  <c r="L681" i="6"/>
  <c r="P681" i="6" s="1"/>
  <c r="L761" i="6"/>
  <c r="P761" i="6" s="1"/>
  <c r="L632" i="6"/>
  <c r="P632" i="6" s="1"/>
  <c r="L393" i="6"/>
  <c r="P393" i="6" s="1"/>
  <c r="L807" i="6"/>
  <c r="L535" i="6"/>
  <c r="L486" i="6"/>
  <c r="P486" i="6" s="1"/>
  <c r="L536" i="6"/>
  <c r="P536" i="6" s="1"/>
  <c r="L565" i="6"/>
  <c r="P565" i="6" s="1"/>
  <c r="L376" i="6"/>
  <c r="L792" i="6"/>
  <c r="L696" i="6"/>
  <c r="L196" i="6"/>
  <c r="L109" i="6"/>
  <c r="L65" i="6"/>
  <c r="L605" i="6"/>
  <c r="L323" i="6"/>
  <c r="L156" i="6"/>
  <c r="L494" i="6"/>
  <c r="L636" i="6"/>
  <c r="L242" i="6"/>
  <c r="L52" i="6"/>
  <c r="L206" i="6"/>
  <c r="L190" i="6"/>
  <c r="L268" i="6"/>
  <c r="L799" i="6"/>
  <c r="L765" i="6"/>
  <c r="L417" i="6"/>
  <c r="L657" i="6"/>
  <c r="L591" i="6"/>
  <c r="L366" i="6"/>
  <c r="L609" i="6"/>
  <c r="L252" i="6"/>
  <c r="L46" i="6"/>
  <c r="L204" i="6"/>
  <c r="L185" i="6"/>
  <c r="L304" i="6"/>
  <c r="L133" i="6"/>
  <c r="L340" i="6"/>
  <c r="L213" i="6"/>
  <c r="L72" i="6"/>
  <c r="L290" i="6"/>
  <c r="L152" i="6"/>
  <c r="L357" i="6"/>
  <c r="L437" i="6"/>
  <c r="L360" i="6"/>
  <c r="L438" i="6"/>
  <c r="L706" i="6"/>
  <c r="L649" i="6"/>
  <c r="L679" i="6"/>
  <c r="L694" i="6"/>
  <c r="L650" i="6"/>
  <c r="L27" i="6"/>
  <c r="L709" i="6"/>
  <c r="P709" i="6" s="1"/>
  <c r="L808" i="6"/>
  <c r="L660" i="6"/>
  <c r="P660" i="6" s="1"/>
  <c r="L422" i="6"/>
  <c r="P422" i="6" s="1"/>
  <c r="L281" i="6"/>
  <c r="L562" i="6"/>
  <c r="P562" i="6" s="1"/>
  <c r="L537" i="6"/>
  <c r="P537" i="6" s="1"/>
  <c r="L564" i="6"/>
  <c r="L615" i="6"/>
  <c r="L406" i="6"/>
  <c r="L103" i="6"/>
  <c r="P103" i="6" s="1"/>
  <c r="L724" i="6"/>
  <c r="L643" i="6"/>
  <c r="L192" i="6"/>
  <c r="L463" i="6"/>
  <c r="P463" i="6" s="1"/>
  <c r="L349" i="6"/>
  <c r="L35" i="6"/>
  <c r="L493" i="6"/>
  <c r="L238" i="6"/>
  <c r="L124" i="6"/>
  <c r="L753" i="6"/>
  <c r="P753" i="6" s="1"/>
  <c r="L398" i="6"/>
  <c r="L272" i="6"/>
  <c r="L240" i="6"/>
  <c r="P240" i="6" s="1"/>
  <c r="L413" i="6"/>
  <c r="P413" i="6" s="1"/>
  <c r="L577" i="6"/>
  <c r="L509" i="6"/>
  <c r="P509" i="6" s="1"/>
  <c r="L161" i="6"/>
  <c r="P161" i="6" s="1"/>
  <c r="L639" i="6"/>
  <c r="P639" i="6" s="1"/>
  <c r="L638" i="6"/>
  <c r="P638" i="6" s="1"/>
  <c r="L524" i="6"/>
  <c r="L353" i="6"/>
  <c r="L276" i="6"/>
  <c r="L703" i="6"/>
  <c r="P703" i="6" s="1"/>
  <c r="L305" i="6"/>
  <c r="P305" i="6" s="1"/>
  <c r="L624" i="6"/>
  <c r="P624" i="6" s="1"/>
  <c r="L473" i="6"/>
  <c r="L610" i="6"/>
  <c r="L742" i="6"/>
  <c r="P742" i="6" s="1"/>
  <c r="L489" i="6"/>
  <c r="P489" i="6" s="1"/>
  <c r="L96" i="6"/>
  <c r="L572" i="6"/>
  <c r="P572" i="6" s="1"/>
  <c r="L167" i="6"/>
  <c r="P167" i="6" s="1"/>
  <c r="L24" i="6"/>
  <c r="P24" i="6" s="1"/>
  <c r="L247" i="6"/>
  <c r="P247" i="6" s="1"/>
  <c r="L106" i="6"/>
  <c r="L322" i="6"/>
  <c r="L186" i="6"/>
  <c r="P186" i="6" s="1"/>
  <c r="L53" i="6"/>
  <c r="L466" i="6"/>
  <c r="P466" i="6" s="1"/>
  <c r="L418" i="6"/>
  <c r="P418" i="6" s="1"/>
  <c r="L468" i="6"/>
  <c r="P468" i="6" s="1"/>
  <c r="L472" i="6"/>
  <c r="P472" i="6" s="1"/>
  <c r="L677" i="6"/>
  <c r="P677" i="6" s="1"/>
  <c r="L756" i="6"/>
  <c r="L744" i="6"/>
  <c r="L678" i="6"/>
  <c r="P678" i="6" s="1"/>
  <c r="L154" i="6"/>
  <c r="P154" i="6" s="1"/>
  <c r="L731" i="6"/>
  <c r="P731" i="6" s="1"/>
  <c r="L405" i="6"/>
  <c r="P405" i="6" s="1"/>
  <c r="L682" i="6"/>
  <c r="L452" i="6"/>
  <c r="P452" i="6" s="1"/>
  <c r="L394" i="6"/>
  <c r="P394" i="6" s="1"/>
  <c r="L585" i="6"/>
  <c r="P585" i="6" s="1"/>
  <c r="L587" i="6"/>
  <c r="P587" i="6" s="1"/>
  <c r="L586" i="6"/>
  <c r="P586" i="6" s="1"/>
  <c r="L665" i="6"/>
  <c r="P665" i="6" s="1"/>
  <c r="L434" i="6"/>
  <c r="L215" i="6"/>
  <c r="P215" i="6" s="1"/>
  <c r="L746" i="6"/>
  <c r="L355" i="6"/>
  <c r="P355" i="6" s="1"/>
  <c r="L383" i="6"/>
  <c r="L180" i="6"/>
  <c r="P180" i="6" s="1"/>
  <c r="L93" i="6"/>
  <c r="L785" i="6"/>
  <c r="P785" i="6" s="1"/>
  <c r="L130" i="6"/>
  <c r="P130" i="6" s="1"/>
  <c r="L336" i="6"/>
  <c r="P336" i="6" s="1"/>
  <c r="L749" i="6"/>
  <c r="L481" i="6"/>
  <c r="P481" i="6" s="1"/>
  <c r="L44" i="6"/>
  <c r="L447" i="6"/>
  <c r="P447" i="6" s="1"/>
  <c r="L781" i="6"/>
  <c r="L127" i="6"/>
  <c r="L397" i="6"/>
  <c r="P397" i="6" s="1"/>
  <c r="L253" i="6"/>
  <c r="P253" i="6" s="1"/>
  <c r="L687" i="6"/>
  <c r="P687" i="6" s="1"/>
  <c r="L477" i="6"/>
  <c r="P477" i="6" s="1"/>
  <c r="L382" i="6"/>
  <c r="P382" i="6" s="1"/>
  <c r="L78" i="6"/>
  <c r="P78" i="6" s="1"/>
  <c r="L97" i="6"/>
  <c r="P97" i="6" s="1"/>
  <c r="L723" i="6"/>
  <c r="P723" i="6" s="1"/>
  <c r="L111" i="6"/>
  <c r="L265" i="6"/>
  <c r="P265" i="6" s="1"/>
  <c r="L741" i="6"/>
  <c r="L239" i="6"/>
  <c r="P239" i="6" s="1"/>
  <c r="L201" i="6"/>
  <c r="P201" i="6" s="1"/>
  <c r="L58" i="6"/>
  <c r="P58" i="6" s="1"/>
  <c r="L279" i="6"/>
  <c r="P279" i="6" s="1"/>
  <c r="L149" i="6"/>
  <c r="P149" i="6" s="1"/>
  <c r="L347" i="6"/>
  <c r="P347" i="6" s="1"/>
  <c r="L229" i="6"/>
  <c r="P229" i="6" s="1"/>
  <c r="L87" i="6"/>
  <c r="L490" i="6"/>
  <c r="P490" i="6" s="1"/>
  <c r="L501" i="6"/>
  <c r="L491" i="6"/>
  <c r="P491" i="6" s="1"/>
  <c r="L200" i="6"/>
  <c r="L699" i="6"/>
  <c r="P699" i="6" s="1"/>
  <c r="L777" i="6"/>
  <c r="P777" i="6" s="1"/>
  <c r="L816" i="6"/>
  <c r="P816" i="6" s="1"/>
  <c r="L704" i="6"/>
  <c r="P704" i="6" s="1"/>
  <c r="L266" i="6"/>
  <c r="P266" i="6" s="1"/>
  <c r="L758" i="6"/>
  <c r="P758" i="6" s="1"/>
  <c r="L43" i="6"/>
  <c r="L710" i="6"/>
  <c r="P710" i="6" s="1"/>
  <c r="L475" i="6"/>
  <c r="P475" i="6" s="1"/>
  <c r="L505" i="6"/>
  <c r="P505" i="6" s="1"/>
  <c r="L613" i="6"/>
  <c r="P613" i="6" s="1"/>
  <c r="L642" i="6"/>
  <c r="L614" i="6"/>
  <c r="L715" i="6"/>
  <c r="P715" i="6" s="1"/>
  <c r="L458" i="6"/>
  <c r="P458" i="6" s="1"/>
  <c r="L328" i="6"/>
  <c r="P328" i="6" s="1"/>
  <c r="L772" i="6"/>
  <c r="L67" i="6"/>
  <c r="P67" i="6" s="1"/>
  <c r="L700" i="6"/>
  <c r="P700" i="6" s="1"/>
  <c r="L627" i="6"/>
  <c r="L160" i="6"/>
  <c r="P160" i="6" s="1"/>
  <c r="L513" i="6"/>
  <c r="P513" i="6" s="1"/>
  <c r="L142" i="6"/>
  <c r="P142" i="6" s="1"/>
  <c r="L511" i="6"/>
  <c r="L316" i="6"/>
  <c r="P316" i="6" s="1"/>
  <c r="L225" i="6"/>
  <c r="P225" i="6" s="1"/>
  <c r="L147" i="6"/>
  <c r="L797" i="6"/>
  <c r="L525" i="6"/>
  <c r="P525" i="6" s="1"/>
  <c r="L100" i="6"/>
  <c r="P100" i="6" s="1"/>
  <c r="L84" i="6"/>
  <c r="P84" i="6" s="1"/>
  <c r="L480" i="6"/>
  <c r="L670" i="6"/>
  <c r="P670" i="6" s="1"/>
  <c r="L701" i="6"/>
  <c r="P701" i="6" s="1"/>
  <c r="L126" i="6"/>
  <c r="L387" i="6"/>
  <c r="P387" i="6" s="1"/>
  <c r="L431" i="6"/>
  <c r="L403" i="6"/>
  <c r="L125" i="6"/>
  <c r="L42" i="6"/>
  <c r="L197" i="6"/>
  <c r="L92" i="6"/>
  <c r="L235" i="6"/>
  <c r="P235" i="6" s="1"/>
  <c r="L101" i="6"/>
  <c r="L311" i="6"/>
  <c r="P311" i="6" s="1"/>
  <c r="L183" i="6"/>
  <c r="P183" i="6" s="1"/>
  <c r="L40" i="6"/>
  <c r="P40" i="6" s="1"/>
  <c r="L262" i="6"/>
  <c r="L121" i="6"/>
  <c r="L519" i="6"/>
  <c r="P519" i="6" s="1"/>
  <c r="L552" i="6"/>
  <c r="P552" i="6" s="1"/>
  <c r="L520" i="6"/>
  <c r="L122" i="6"/>
  <c r="P122" i="6" s="1"/>
  <c r="L727" i="6"/>
  <c r="P727" i="6" s="1"/>
  <c r="L26" i="6"/>
  <c r="L123" i="6"/>
  <c r="P123" i="6" s="1"/>
  <c r="L728" i="6"/>
  <c r="L361" i="6"/>
  <c r="P361" i="6" s="1"/>
  <c r="L779" i="6"/>
  <c r="P779" i="6" s="1"/>
  <c r="L165" i="6"/>
  <c r="P165" i="6" s="1"/>
  <c r="L736" i="6"/>
  <c r="P736" i="6" s="1"/>
  <c r="L504" i="6"/>
  <c r="P504" i="6" s="1"/>
  <c r="L584" i="6"/>
  <c r="P584" i="6" s="1"/>
  <c r="L635" i="6"/>
  <c r="L693" i="6"/>
  <c r="P693" i="6" s="1"/>
  <c r="L640" i="6"/>
  <c r="P640" i="6" s="1"/>
  <c r="L768" i="6"/>
  <c r="P768" i="6" s="1"/>
  <c r="L488" i="6"/>
  <c r="P488" i="6" s="1"/>
  <c r="L377" i="6"/>
  <c r="L793" i="6"/>
  <c r="L18" i="6"/>
  <c r="L444" i="6"/>
  <c r="P444" i="6" s="1"/>
  <c r="L339" i="6"/>
  <c r="P339" i="6" s="1"/>
  <c r="L351" i="6"/>
  <c r="L257" i="6"/>
  <c r="P257" i="6" s="1"/>
  <c r="L556" i="6"/>
  <c r="L31" i="6"/>
  <c r="L21" i="6"/>
  <c r="P21" i="6" s="1"/>
  <c r="L352" i="6"/>
  <c r="P352" i="6" s="1"/>
  <c r="L157" i="6"/>
  <c r="P157" i="6" s="1"/>
  <c r="L541" i="6"/>
  <c r="P541" i="6" s="1"/>
  <c r="L269" i="6"/>
  <c r="P269" i="6" s="1"/>
  <c r="L259" i="6"/>
  <c r="P259" i="6" s="1"/>
  <c r="L531" i="6"/>
  <c r="P531" i="6" s="1"/>
  <c r="L143" i="6"/>
  <c r="P143" i="6" s="1"/>
  <c r="L414" i="6"/>
  <c r="L669" i="6"/>
  <c r="L112" i="6"/>
  <c r="L574" i="6"/>
  <c r="L606" i="6"/>
  <c r="P606" i="6" s="1"/>
  <c r="L66" i="6"/>
  <c r="P66" i="6" s="1"/>
  <c r="L415" i="6"/>
  <c r="P415" i="6" s="1"/>
  <c r="L315" i="6"/>
  <c r="P315" i="6" s="1"/>
  <c r="L453" i="6"/>
  <c r="P453" i="6" s="1"/>
  <c r="L254" i="6"/>
  <c r="P254" i="6" s="1"/>
  <c r="L274" i="6"/>
  <c r="P274" i="6" s="1"/>
  <c r="L135" i="6"/>
  <c r="L342" i="6"/>
  <c r="P342" i="6" s="1"/>
  <c r="L217" i="6"/>
  <c r="P217" i="6" s="1"/>
  <c r="L74" i="6"/>
  <c r="L294" i="6"/>
  <c r="P294" i="6" s="1"/>
  <c r="L155" i="6"/>
  <c r="L546" i="6"/>
  <c r="L630" i="6"/>
  <c r="P630" i="6" s="1"/>
  <c r="L548" i="6"/>
  <c r="L234" i="6"/>
  <c r="P234" i="6" s="1"/>
  <c r="L754" i="6"/>
  <c r="P754" i="6" s="1"/>
  <c r="L264" i="6"/>
  <c r="P264" i="6" s="1"/>
  <c r="L248" i="6"/>
  <c r="P248" i="6" s="1"/>
  <c r="L755" i="6"/>
  <c r="P755" i="6" s="1"/>
  <c r="L391" i="6"/>
  <c r="P391" i="6" s="1"/>
  <c r="L805" i="6"/>
  <c r="P805" i="6" s="1"/>
  <c r="L267" i="6"/>
  <c r="P267" i="6" s="1"/>
  <c r="L759" i="6"/>
  <c r="P759" i="6" s="1"/>
  <c r="L533" i="6"/>
  <c r="P533" i="6" s="1"/>
  <c r="L688" i="6"/>
  <c r="P688" i="6" s="1"/>
  <c r="L663" i="6"/>
  <c r="P663" i="6" s="1"/>
  <c r="L743" i="6"/>
  <c r="L664" i="6"/>
  <c r="P664" i="6" s="1"/>
  <c r="L811" i="6"/>
  <c r="P811" i="6" s="1"/>
  <c r="L517" i="6"/>
  <c r="P517" i="6" s="1"/>
  <c r="L407" i="6"/>
  <c r="P407" i="6" s="1"/>
  <c r="L228" i="6"/>
  <c r="P228" i="6" s="1"/>
  <c r="L545" i="6"/>
  <c r="P545" i="6" s="1"/>
  <c r="L188" i="6"/>
  <c r="L51" i="6"/>
  <c r="L684" i="6"/>
  <c r="L512" i="6"/>
  <c r="L191" i="6"/>
  <c r="L573" i="6"/>
  <c r="L145" i="6"/>
  <c r="L734" i="6"/>
  <c r="L751" i="6"/>
  <c r="L285" i="6"/>
  <c r="L815" i="6"/>
  <c r="L210" i="6"/>
  <c r="L243" i="6"/>
  <c r="L76" i="6"/>
  <c r="L158" i="6"/>
  <c r="L675" i="6"/>
  <c r="L207" i="6"/>
  <c r="L141" i="6"/>
  <c r="L350" i="6"/>
  <c r="L337" i="6"/>
  <c r="L83" i="6"/>
  <c r="L105" i="6"/>
  <c r="L181" i="6"/>
  <c r="L433" i="6"/>
  <c r="L306" i="6"/>
  <c r="L169" i="6"/>
  <c r="L37" i="6"/>
  <c r="L251" i="6"/>
  <c r="L117" i="6"/>
  <c r="P117" i="6" s="1"/>
  <c r="L326" i="6"/>
  <c r="P326" i="6" s="1"/>
  <c r="L198" i="6"/>
  <c r="L569" i="6"/>
  <c r="L680" i="6"/>
  <c r="P680" i="6" s="1"/>
  <c r="L570" i="6"/>
  <c r="P570" i="6" s="1"/>
  <c r="L343" i="6"/>
  <c r="L775" i="6"/>
  <c r="P775" i="6" s="1"/>
  <c r="L390" i="6"/>
  <c r="P390" i="6" s="1"/>
  <c r="L344" i="6"/>
  <c r="L776" i="6"/>
  <c r="P776" i="6" s="1"/>
  <c r="L420" i="6"/>
  <c r="L55" i="6"/>
  <c r="L362" i="6"/>
  <c r="P362" i="6" s="1"/>
  <c r="L784" i="6"/>
  <c r="L555" i="6"/>
  <c r="P555" i="6" s="1"/>
  <c r="L787" i="6"/>
  <c r="L690" i="6"/>
  <c r="L790" i="6"/>
  <c r="P790" i="6" s="1"/>
  <c r="L692" i="6"/>
  <c r="L375" i="6"/>
  <c r="P375" i="6" s="1"/>
  <c r="L539" i="6"/>
  <c r="L436" i="6"/>
  <c r="L707" i="6"/>
  <c r="L289" i="6"/>
  <c r="P289" i="6" s="1"/>
  <c r="L428" i="6"/>
  <c r="L801" i="6"/>
  <c r="L172" i="6"/>
  <c r="P172" i="6" s="1"/>
  <c r="L766" i="6"/>
  <c r="P766" i="6" s="1"/>
  <c r="L495" i="6"/>
  <c r="P495" i="6" s="1"/>
  <c r="L317" i="6"/>
  <c r="P317" i="6" s="1"/>
  <c r="L271" i="6"/>
  <c r="P271" i="6" s="1"/>
  <c r="L478" i="6"/>
  <c r="P478" i="6" s="1"/>
  <c r="L116" i="6"/>
  <c r="P116" i="6" s="1"/>
  <c r="L29" i="6"/>
  <c r="P29" i="6" s="1"/>
  <c r="L223" i="6"/>
  <c r="L449" i="6"/>
  <c r="P449" i="6" s="1"/>
  <c r="L194" i="6"/>
  <c r="L60" i="6"/>
  <c r="L176" i="6"/>
  <c r="P176" i="6" s="1"/>
  <c r="L47" i="6"/>
  <c r="L717" i="6"/>
  <c r="P717" i="6" s="1"/>
  <c r="L732" i="6"/>
  <c r="P732" i="6" s="1"/>
  <c r="L94" i="6"/>
  <c r="P94" i="6" s="1"/>
  <c r="L81" i="6"/>
  <c r="L558" i="6"/>
  <c r="P558" i="6" s="1"/>
  <c r="L246" i="6"/>
  <c r="P246" i="6" s="1"/>
  <c r="L421" i="6"/>
  <c r="P421" i="6" s="1"/>
  <c r="L767" i="6"/>
  <c r="L324" i="6"/>
  <c r="P324" i="6" s="1"/>
  <c r="L338" i="6"/>
  <c r="L203" i="6"/>
  <c r="P203" i="6" s="1"/>
  <c r="L71" i="6"/>
  <c r="P71" i="6" s="1"/>
  <c r="L283" i="6"/>
  <c r="P283" i="6" s="1"/>
  <c r="L151" i="6"/>
  <c r="P151" i="6" s="1"/>
  <c r="L356" i="6"/>
  <c r="L232" i="6"/>
  <c r="P232" i="6" s="1"/>
  <c r="L597" i="6"/>
  <c r="P597" i="6" s="1"/>
  <c r="L730" i="6"/>
  <c r="P730" i="6" s="1"/>
  <c r="L598" i="6"/>
  <c r="P598" i="6" s="1"/>
  <c r="L386" i="6"/>
  <c r="P386" i="6" s="1"/>
  <c r="L800" i="6"/>
  <c r="P800" i="6" s="1"/>
  <c r="L442" i="6"/>
  <c r="P442" i="6" s="1"/>
  <c r="L388" i="6"/>
  <c r="L802" i="6"/>
  <c r="P802" i="6" s="1"/>
  <c r="L443" i="6"/>
  <c r="P443" i="6" s="1"/>
  <c r="L171" i="6"/>
  <c r="P171" i="6" s="1"/>
  <c r="L392" i="6"/>
  <c r="P392" i="6" s="1"/>
  <c r="L806" i="6"/>
  <c r="P806" i="6" s="1"/>
  <c r="L583" i="6"/>
  <c r="L69" i="6"/>
  <c r="P69" i="6" s="1"/>
  <c r="L713" i="6"/>
  <c r="P713" i="6" s="1"/>
  <c r="L70" i="6"/>
  <c r="P70" i="6" s="1"/>
  <c r="L714" i="6"/>
  <c r="P714" i="6" s="1"/>
  <c r="L457" i="6"/>
  <c r="P457" i="6" s="1"/>
  <c r="L567" i="6"/>
  <c r="L459" i="6"/>
  <c r="P459" i="6" s="1"/>
  <c r="L451" i="6"/>
  <c r="L33" i="6"/>
  <c r="P33" i="6" s="1"/>
  <c r="L589" i="6"/>
  <c r="L529" i="6"/>
  <c r="L63" i="6"/>
  <c r="L510" i="6"/>
  <c r="P510" i="6" s="1"/>
  <c r="L148" i="6"/>
  <c r="P148" i="6" s="1"/>
  <c r="L61" i="6"/>
  <c r="P61" i="6" s="1"/>
  <c r="L300" i="6"/>
  <c r="L222" i="6"/>
  <c r="P222" i="6" s="1"/>
  <c r="L563" i="6"/>
  <c r="P563" i="6" s="1"/>
  <c r="L16" i="6"/>
  <c r="P16" i="6" s="1"/>
  <c r="L348" i="6"/>
  <c r="L193" i="6"/>
  <c r="P193" i="6" s="1"/>
  <c r="L689" i="6"/>
  <c r="P689" i="6" s="1"/>
  <c r="L221" i="6"/>
  <c r="P221" i="6" s="1"/>
  <c r="L448" i="6"/>
  <c r="P448" i="6" s="1"/>
  <c r="L256" i="6"/>
  <c r="P256" i="6" s="1"/>
  <c r="L461" i="6"/>
  <c r="L369" i="6"/>
  <c r="P369" i="6" s="1"/>
  <c r="L32" i="6"/>
  <c r="P32" i="6" s="1"/>
  <c r="L334" i="6"/>
  <c r="P334" i="6" s="1"/>
  <c r="L637" i="6"/>
  <c r="P637" i="6" s="1"/>
  <c r="L23" i="6"/>
  <c r="P23" i="6" s="1"/>
  <c r="L370" i="6"/>
  <c r="L273" i="6"/>
  <c r="P273" i="6" s="1"/>
  <c r="L288" i="6"/>
  <c r="P288" i="6" s="1"/>
  <c r="P303" i="6" l="1"/>
  <c r="P529" i="6"/>
  <c r="P189" i="6"/>
  <c r="P416" i="6"/>
  <c r="P17" i="6"/>
  <c r="P620" i="6"/>
  <c r="P211" i="6"/>
  <c r="P474" i="6"/>
  <c r="P652" i="6"/>
  <c r="P13" i="6"/>
  <c r="P641" i="6"/>
  <c r="P408" i="6"/>
  <c r="P502" i="6"/>
  <c r="P237" i="6"/>
  <c r="P470" i="6"/>
  <c r="P90" i="6"/>
  <c r="P494" i="6"/>
  <c r="P278" i="6"/>
  <c r="P175" i="6"/>
  <c r="P335" i="6"/>
  <c r="P498" i="6"/>
  <c r="P302" i="6"/>
  <c r="P385" i="6"/>
  <c r="P500" i="6"/>
  <c r="P450" i="6"/>
  <c r="P633" i="6"/>
  <c r="P813" i="6"/>
  <c r="P441" i="6"/>
  <c r="P218" i="6"/>
  <c r="P499" i="6"/>
  <c r="P57" i="6"/>
  <c r="P762" i="6"/>
  <c r="P329" i="6"/>
  <c r="P578" i="6"/>
  <c r="P19" i="6"/>
  <c r="P364" i="6"/>
  <c r="P534" i="6"/>
  <c r="P82" i="6"/>
  <c r="P538" i="6"/>
  <c r="P346" i="6"/>
  <c r="P297" i="6"/>
  <c r="P648" i="6"/>
  <c r="P763" i="6"/>
  <c r="P178" i="6"/>
  <c r="P737" i="6"/>
  <c r="P467" i="6"/>
  <c r="P287" i="6"/>
  <c r="P249" i="6"/>
  <c r="P482" i="6"/>
  <c r="P557" i="6"/>
  <c r="P419" i="6"/>
  <c r="P258" i="6"/>
  <c r="P487" i="6"/>
  <c r="P395" i="6"/>
  <c r="P809" i="6"/>
  <c r="P402" i="6"/>
  <c r="P810" i="6"/>
  <c r="P720" i="6"/>
  <c r="P667" i="6"/>
  <c r="P568" i="6"/>
  <c r="P691" i="6"/>
  <c r="P30" i="6"/>
  <c r="P671" i="6"/>
  <c r="P526" i="6"/>
  <c r="P333" i="6"/>
  <c r="P396" i="6"/>
  <c r="P301" i="6"/>
  <c r="P465" i="6"/>
  <c r="P108" i="6"/>
  <c r="P654" i="6"/>
  <c r="P604" i="6"/>
  <c r="P686" i="6"/>
  <c r="P68" i="6"/>
  <c r="P113" i="6"/>
  <c r="P796" i="6"/>
  <c r="P173" i="6"/>
  <c r="P381" i="6"/>
  <c r="P798" i="6"/>
  <c r="P168" i="6"/>
  <c r="P25" i="6"/>
  <c r="P250" i="6"/>
  <c r="P325" i="6"/>
  <c r="P187" i="6"/>
  <c r="P725" i="6"/>
  <c r="P120" i="6"/>
  <c r="P726" i="6"/>
  <c r="P521" i="6"/>
  <c r="P471" i="6"/>
  <c r="P757" i="6"/>
  <c r="P729" i="6"/>
  <c r="P560" i="6"/>
  <c r="P711" i="6"/>
  <c r="P424" i="6"/>
  <c r="P86" i="6"/>
  <c r="P199" i="6"/>
  <c r="P770" i="6"/>
  <c r="P695" i="6"/>
  <c r="P596" i="6"/>
  <c r="P435" i="6"/>
  <c r="P159" i="6"/>
  <c r="P77" i="6"/>
  <c r="P140" i="6"/>
  <c r="P318" i="6"/>
  <c r="P64" i="6"/>
  <c r="P209" i="6"/>
  <c r="P812" i="6"/>
  <c r="P430" i="6"/>
  <c r="P780" i="6"/>
  <c r="P114" i="6"/>
  <c r="P540" i="6"/>
  <c r="P739" i="6"/>
  <c r="P320" i="6"/>
  <c r="P49" i="6"/>
  <c r="P619" i="6"/>
  <c r="P202" i="6"/>
  <c r="P59" i="6"/>
  <c r="P282" i="6"/>
  <c r="P150" i="6"/>
  <c r="P354" i="6"/>
  <c r="P230" i="6"/>
  <c r="P747" i="6"/>
  <c r="P233" i="6"/>
  <c r="P752" i="6"/>
  <c r="P549" i="6"/>
  <c r="P523" i="6"/>
  <c r="P804" i="6"/>
  <c r="P95" i="6"/>
  <c r="P321" i="6"/>
  <c r="P579" i="6"/>
  <c r="P131" i="6"/>
  <c r="P600" i="6"/>
  <c r="P771" i="6"/>
  <c r="P528" i="6"/>
  <c r="P702" i="6"/>
  <c r="P22" i="6"/>
  <c r="P330" i="6"/>
  <c r="P774" i="6"/>
  <c r="P312" i="6"/>
  <c r="P214" i="6"/>
  <c r="P593" i="6"/>
  <c r="P607" i="6"/>
  <c r="P164" i="6"/>
  <c r="P427" i="6"/>
  <c r="P291" i="6"/>
  <c r="P792" i="6"/>
  <c r="P696" i="6"/>
  <c r="P196" i="6"/>
  <c r="P109" i="6"/>
  <c r="P605" i="6"/>
  <c r="P323" i="6"/>
  <c r="P156" i="6"/>
  <c r="P636" i="6"/>
  <c r="P242" i="6"/>
  <c r="P52" i="6"/>
  <c r="P206" i="6"/>
  <c r="P190" i="6"/>
  <c r="P268" i="6"/>
  <c r="P799" i="6"/>
  <c r="P417" i="6"/>
  <c r="P657" i="6"/>
  <c r="P591" i="6"/>
  <c r="P252" i="6"/>
  <c r="P204" i="6"/>
  <c r="P304" i="6"/>
  <c r="P133" i="6"/>
  <c r="P213" i="6"/>
  <c r="P72" i="6"/>
  <c r="P290" i="6"/>
  <c r="P152" i="6"/>
  <c r="P357" i="6"/>
  <c r="P437" i="6"/>
  <c r="P360" i="6"/>
  <c r="P706" i="6"/>
  <c r="P649" i="6"/>
  <c r="P679" i="6"/>
  <c r="P694" i="6"/>
  <c r="P650" i="6"/>
  <c r="P27" i="6"/>
  <c r="P808" i="6"/>
  <c r="P564" i="6"/>
  <c r="P615" i="6"/>
  <c r="P643" i="6"/>
  <c r="P35" i="6"/>
  <c r="P493" i="6"/>
  <c r="P238" i="6"/>
  <c r="P124" i="6"/>
  <c r="P272" i="6"/>
  <c r="P577" i="6"/>
  <c r="P473" i="6"/>
  <c r="P610" i="6"/>
  <c r="P322" i="6"/>
  <c r="P756" i="6"/>
  <c r="P744" i="6"/>
  <c r="P111" i="6"/>
  <c r="P501" i="6"/>
  <c r="P43" i="6"/>
  <c r="P147" i="6"/>
  <c r="P197" i="6"/>
  <c r="P188" i="6"/>
  <c r="P51" i="6"/>
  <c r="P684" i="6"/>
  <c r="P512" i="6"/>
  <c r="P191" i="6"/>
  <c r="P573" i="6"/>
  <c r="P145" i="6"/>
  <c r="P734" i="6"/>
  <c r="P285" i="6"/>
  <c r="P210" i="6"/>
  <c r="P243" i="6"/>
  <c r="P158" i="6"/>
  <c r="P207" i="6"/>
  <c r="P141" i="6"/>
  <c r="P350" i="6"/>
  <c r="P337" i="6"/>
  <c r="P83" i="6"/>
  <c r="P181" i="6"/>
  <c r="P433" i="6"/>
  <c r="P306" i="6"/>
  <c r="P169" i="6"/>
  <c r="P37" i="6"/>
  <c r="P198" i="6"/>
  <c r="P569" i="6"/>
  <c r="P344" i="6"/>
  <c r="P420" i="6"/>
  <c r="P787" i="6"/>
  <c r="P690" i="6"/>
  <c r="P539" i="6"/>
  <c r="P436" i="6"/>
  <c r="P707" i="6"/>
  <c r="P801" i="6"/>
  <c r="P194" i="6"/>
  <c r="P60" i="6"/>
  <c r="P81" i="6"/>
  <c r="P338" i="6"/>
  <c r="P223" i="6"/>
  <c r="P692" i="6"/>
  <c r="P675" i="6"/>
  <c r="P101" i="6"/>
  <c r="P797" i="6"/>
  <c r="P642" i="6"/>
  <c r="P746" i="6"/>
  <c r="P398" i="6"/>
  <c r="P765" i="6"/>
  <c r="P358" i="6"/>
  <c r="P54" i="6"/>
  <c r="P697" i="6"/>
  <c r="P144" i="6"/>
  <c r="P423" i="6"/>
  <c r="P75" i="6"/>
  <c r="P561" i="6"/>
  <c r="P87" i="6"/>
  <c r="P376" i="6"/>
  <c r="P224" i="6"/>
  <c r="P532" i="6"/>
  <c r="P332" i="6"/>
  <c r="P45" i="6"/>
  <c r="P426" i="6"/>
  <c r="P244" i="6"/>
  <c r="P76" i="6"/>
  <c r="P434" i="6"/>
  <c r="P380" i="6"/>
  <c r="P41" i="6"/>
  <c r="P590" i="6"/>
  <c r="P92" i="6"/>
  <c r="P126" i="6"/>
  <c r="P89" i="6"/>
  <c r="P524" i="6"/>
  <c r="P574" i="6"/>
  <c r="P127" i="6"/>
  <c r="P581" i="6"/>
  <c r="P293" i="6"/>
  <c r="P644" i="6"/>
  <c r="P440" i="6"/>
  <c r="P373" i="6"/>
  <c r="P751" i="6"/>
  <c r="P12" i="6"/>
  <c r="P366" i="6"/>
  <c r="P195" i="6"/>
  <c r="P589" i="6"/>
  <c r="P63" i="6"/>
  <c r="P767" i="6"/>
  <c r="P548" i="6"/>
  <c r="P461" i="6"/>
  <c r="P388" i="6"/>
  <c r="P251" i="6"/>
  <c r="P112" i="6"/>
  <c r="P511" i="6"/>
  <c r="P340" i="6"/>
  <c r="P280" i="6"/>
  <c r="P314" i="6"/>
  <c r="P270" i="6"/>
  <c r="P683" i="6"/>
  <c r="P73" i="6"/>
  <c r="P674" i="6"/>
  <c r="P542" i="6"/>
  <c r="P580" i="6"/>
  <c r="P31" i="6"/>
  <c r="P345" i="6"/>
  <c r="P594" i="6"/>
  <c r="P403" i="6"/>
  <c r="P370" i="6"/>
  <c r="P351" i="6"/>
  <c r="P546" i="6"/>
  <c r="P18" i="6"/>
  <c r="P125" i="6"/>
  <c r="P53" i="6"/>
  <c r="P535" i="6"/>
  <c r="P118" i="6"/>
  <c r="P34" i="6"/>
  <c r="P582" i="6"/>
  <c r="P308" i="6"/>
  <c r="P522" i="6"/>
  <c r="P348" i="6"/>
  <c r="P276" i="6"/>
  <c r="P728" i="6"/>
  <c r="P343" i="6"/>
  <c r="P627" i="6"/>
  <c r="P99" i="6"/>
  <c r="P784" i="6"/>
  <c r="P815" i="6"/>
  <c r="P451" i="6"/>
  <c r="P743" i="6"/>
  <c r="P155" i="6"/>
  <c r="P414" i="6"/>
  <c r="P793" i="6"/>
  <c r="P44" i="6"/>
  <c r="P599" i="6"/>
  <c r="P319" i="6"/>
  <c r="P662" i="6"/>
  <c r="P655" i="6"/>
  <c r="P769" i="6"/>
  <c r="P503" i="6"/>
  <c r="P115" i="6"/>
  <c r="P518" i="6"/>
  <c r="P439" i="6"/>
  <c r="P404" i="6"/>
  <c r="P685" i="6"/>
  <c r="P807" i="6"/>
  <c r="P496" i="6"/>
  <c r="P547" i="6"/>
  <c r="P412" i="6"/>
  <c r="P431" i="6"/>
  <c r="P185" i="6"/>
  <c r="P231" i="6"/>
  <c r="P476" i="6"/>
  <c r="P372" i="6"/>
  <c r="P556" i="6"/>
  <c r="P226" i="6"/>
  <c r="P772" i="6"/>
  <c r="P42" i="6"/>
  <c r="P331" i="6"/>
  <c r="P676" i="6"/>
  <c r="P28" i="6"/>
  <c r="P383" i="6"/>
  <c r="P55" i="6"/>
  <c r="P74" i="6"/>
  <c r="P520" i="6"/>
  <c r="P741" i="6"/>
  <c r="P106" i="6"/>
  <c r="P192" i="6"/>
  <c r="P170" i="6"/>
  <c r="P313" i="6"/>
  <c r="P299" i="6"/>
  <c r="P515" i="6"/>
  <c r="P432" i="6"/>
  <c r="P661" i="6"/>
  <c r="P399" i="6"/>
  <c r="P88" i="6"/>
  <c r="P146" i="6"/>
  <c r="P682" i="6"/>
  <c r="P96" i="6"/>
  <c r="P516" i="6"/>
  <c r="P814" i="6"/>
  <c r="P497" i="6"/>
  <c r="P46" i="6"/>
  <c r="P454" i="6"/>
  <c r="P292" i="6"/>
  <c r="P651" i="6"/>
  <c r="P410" i="6"/>
  <c r="P588" i="6"/>
  <c r="P647" i="6"/>
  <c r="P543" i="6"/>
  <c r="P669" i="6"/>
  <c r="P353" i="6"/>
  <c r="P260" i="6"/>
  <c r="P377" i="6"/>
  <c r="P177" i="6"/>
  <c r="P724" i="6"/>
  <c r="P507" i="6"/>
  <c r="P621" i="6"/>
  <c r="P220" i="6"/>
  <c r="P733" i="6"/>
  <c r="P26" i="6"/>
  <c r="P216" i="6"/>
  <c r="P567" i="6"/>
  <c r="P428" i="6"/>
  <c r="P135" i="6"/>
  <c r="P121" i="6"/>
  <c r="P609" i="6"/>
  <c r="P62" i="6"/>
  <c r="P166" i="6"/>
  <c r="P163" i="6"/>
  <c r="P300" i="6"/>
  <c r="P672" i="6"/>
  <c r="P281" i="6"/>
  <c r="P781" i="6"/>
  <c r="P782" i="6"/>
  <c r="P102" i="6"/>
  <c r="P105" i="6"/>
  <c r="P635" i="6"/>
  <c r="P262" i="6"/>
  <c r="P480" i="6"/>
  <c r="P200" i="6"/>
  <c r="P93" i="6"/>
  <c r="P438" i="6"/>
  <c r="P65" i="6"/>
  <c r="P275" i="6"/>
  <c r="P716" i="6"/>
  <c r="P241" i="6"/>
  <c r="P425" i="6"/>
  <c r="P104" i="6"/>
  <c r="P530" i="6"/>
  <c r="P296" i="6"/>
  <c r="P119" i="6"/>
  <c r="P712" i="6"/>
  <c r="P349" i="6"/>
  <c r="P583" i="6"/>
  <c r="P47" i="6"/>
  <c r="P614" i="6"/>
  <c r="P656" i="6"/>
  <c r="P764" i="6"/>
  <c r="P107" i="6"/>
  <c r="P356" i="6"/>
  <c r="P406" i="6"/>
  <c r="P749" i="6"/>
</calcChain>
</file>

<file path=xl/sharedStrings.xml><?xml version="1.0" encoding="utf-8"?>
<sst xmlns="http://schemas.openxmlformats.org/spreadsheetml/2006/main" count="1139" uniqueCount="108">
  <si>
    <t>1Y Swap</t>
  </si>
  <si>
    <t>2Y Swap</t>
  </si>
  <si>
    <t>3Y Swap</t>
  </si>
  <si>
    <t>4Y Swap</t>
  </si>
  <si>
    <t>Bump</t>
  </si>
  <si>
    <t>5Y Swap</t>
  </si>
  <si>
    <t>7Y Swap</t>
  </si>
  <si>
    <t>10Y Swap</t>
  </si>
  <si>
    <t>Notional</t>
  </si>
  <si>
    <t>Years</t>
  </si>
  <si>
    <t>Euribor</t>
  </si>
  <si>
    <t>// Assumptions:</t>
  </si>
  <si>
    <t>// All swaps are quarterly 3M-Euribor (floating leg) versus annual coupon (fixed leg). This is market convention for Euribor swaps.</t>
  </si>
  <si>
    <t>// All coupon periods are exactly 1/4 of a year. We ignore intricansies of the Gregorian calendar.</t>
  </si>
  <si>
    <t>3M Fixing</t>
  </si>
  <si>
    <t>Instrument</t>
  </si>
  <si>
    <t>Quote</t>
  </si>
  <si>
    <t>Maturity in Years</t>
  </si>
  <si>
    <t>Left X</t>
  </si>
  <si>
    <t>Disc Fact</t>
  </si>
  <si>
    <t>Float PV</t>
  </si>
  <si>
    <t>Fixed PV</t>
  </si>
  <si>
    <t>Fixed Freq</t>
  </si>
  <si>
    <t>Fair Swap</t>
  </si>
  <si>
    <t>Input market data</t>
  </si>
  <si>
    <t>Continously compounded yield &amp; pricing a swap</t>
  </si>
  <si>
    <t>Swap Start</t>
  </si>
  <si>
    <t>Swap End</t>
  </si>
  <si>
    <t>(years)</t>
  </si>
  <si>
    <t>(1=annually, 2=semi, 4=quarterly)</t>
  </si>
  <si>
    <t>Swap Rate</t>
  </si>
  <si>
    <t>Buyer PV</t>
  </si>
  <si>
    <t>Hedge Notional</t>
  </si>
  <si>
    <t>a</t>
  </si>
  <si>
    <t>b</t>
  </si>
  <si>
    <t>c</t>
  </si>
  <si>
    <t>d</t>
  </si>
  <si>
    <t>// Each segment of the spine is given by a*x^3 + b*x^2 + c*c + d</t>
  </si>
  <si>
    <t>// A cubic spline tries to match values on the end of the segment, as well as two derivatives</t>
  </si>
  <si>
    <t>// Bump ("shock") for the numerical estimation</t>
  </si>
  <si>
    <t>//  of the dertivative in the Newton method</t>
  </si>
  <si>
    <t>Spline Coefficients</t>
  </si>
  <si>
    <t>Derivatives</t>
  </si>
  <si>
    <t>Left</t>
  </si>
  <si>
    <t>Right</t>
  </si>
  <si>
    <t>Jacobian</t>
  </si>
  <si>
    <t>1. Initial guess</t>
  </si>
  <si>
    <t>Inverse Jacobian</t>
  </si>
  <si>
    <t>1a. Bump parameter #1</t>
  </si>
  <si>
    <t>1b. Bump parameter #2</t>
  </si>
  <si>
    <t>1c. Bump parameter #3</t>
  </si>
  <si>
    <t>1d. Bump parameter #4</t>
  </si>
  <si>
    <t>1e. Bump parameter #5</t>
  </si>
  <si>
    <t>1f. Bump parameter #6</t>
  </si>
  <si>
    <t>1g. Bump parameter #7</t>
  </si>
  <si>
    <t>1h. Bump parameter #8</t>
  </si>
  <si>
    <t>Current Guess</t>
  </si>
  <si>
    <t>Swap</t>
  </si>
  <si>
    <t>Swaps prices following the bump</t>
  </si>
  <si>
    <t>Improved Guess</t>
  </si>
  <si>
    <t>Left Boundary</t>
  </si>
  <si>
    <t>Right Boundary</t>
  </si>
  <si>
    <t>Slope</t>
  </si>
  <si>
    <t>Monotonic</t>
  </si>
  <si>
    <t>3a. Bump parameter #1</t>
  </si>
  <si>
    <t>3b. Bump parameter #2</t>
  </si>
  <si>
    <t>3c. Bump parameter #3</t>
  </si>
  <si>
    <t>3d. Bump parameter #4</t>
  </si>
  <si>
    <t>3e. Bump parameter #5</t>
  </si>
  <si>
    <t>3f. Bump parameter #6</t>
  </si>
  <si>
    <t>3g. Bump parameter #7</t>
  </si>
  <si>
    <t>3h. Bump parameter #8</t>
  </si>
  <si>
    <t>Scale</t>
  </si>
  <si>
    <t>Seller PV</t>
  </si>
  <si>
    <t>PV01 / million</t>
  </si>
  <si>
    <t>Model</t>
  </si>
  <si>
    <t>1*. Improve the initial guess using the inverse Jacobian Matrix</t>
  </si>
  <si>
    <t>2. Make the 2nd pass of the Newton Method using a smaller bump size</t>
  </si>
  <si>
    <t>2a. Bump parameter #1</t>
  </si>
  <si>
    <t>2b. Bump parameter #2</t>
  </si>
  <si>
    <t>2c. Bump parameter #3</t>
  </si>
  <si>
    <t>2d. Bump parameter #4</t>
  </si>
  <si>
    <t>2e. Bump parameter #5</t>
  </si>
  <si>
    <t>2f. Bump parameter #6</t>
  </si>
  <si>
    <t>2g. Bump parameter #7</t>
  </si>
  <si>
    <t>2h. Bump parameter #8</t>
  </si>
  <si>
    <t>2*. Improve the guess using the inverse Jacobian Matrix</t>
  </si>
  <si>
    <t>3. Make the 3rd pass of the Newton Method using a smaller bump size</t>
  </si>
  <si>
    <t>3*. Improve the guess using the inverse Jacobian Matrix</t>
  </si>
  <si>
    <t>4. Make the 4th pass of the Newton Method using a smaller bump size</t>
  </si>
  <si>
    <t>4a. Bump parameter #1</t>
  </si>
  <si>
    <t>4b. Bump parameter #2</t>
  </si>
  <si>
    <t>4c. Bump parameter #3</t>
  </si>
  <si>
    <t>4d. Bump parameter #4</t>
  </si>
  <si>
    <t>4e. Bump parameter #5</t>
  </si>
  <si>
    <t>4f. Bump parameter #6</t>
  </si>
  <si>
    <t>4g. Bump parameter #7</t>
  </si>
  <si>
    <t>4h. Bump parameter #8</t>
  </si>
  <si>
    <t>4*. Improve the guess using the inverse Jacobian Matrix</t>
  </si>
  <si>
    <t>5. Check the solution after the 4th iteration of Newton method</t>
  </si>
  <si>
    <t>// Underlying model is a cubic spline of expected Euribor fixings</t>
  </si>
  <si>
    <t>// A 1-year swap includes fixings at times 0, 0.25, 0.5 and 0.75, so it will be adding x=0.75 as a spline node</t>
  </si>
  <si>
    <t>// Target value for a derivative at interior points is an average of secants</t>
  </si>
  <si>
    <t>// To help with monotonicity, we set derivatives to zero in case slopes on the left and on the right have opposite signs</t>
  </si>
  <si>
    <t>PV01</t>
  </si>
  <si>
    <t>Buyer's</t>
  </si>
  <si>
    <t>Date</t>
  </si>
  <si>
    <t>Euribor,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</si>
</sst>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%"/>
    <numFmt numFmtId="165" formatCode="0.0000%"/>
    <numFmt numFmtId="166" formatCode="#,##0.0000"/>
    <numFmt numFmtId="167" formatCode="#,##0.00_ ;[Red]\-#,##0.00\ "/>
    <numFmt numFmtId="168" formatCode="#,##0_ ;[Red]\-#,##0\ "/>
    <numFmt numFmtId="169" formatCode="0.0000"/>
    <numFmt numFmtId="170" formatCode="#,##0.00000"/>
    <numFmt numFmtId="171" formatCode="#,##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0" fontId="0" fillId="0" borderId="0" xfId="0" applyNumberFormat="1"/>
    <xf numFmtId="10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3" fontId="0" fillId="0" borderId="0" xfId="0" applyNumberFormat="1"/>
    <xf numFmtId="4" fontId="0" fillId="0" borderId="0" xfId="0" applyNumberFormat="1"/>
    <xf numFmtId="3" fontId="0" fillId="2" borderId="0" xfId="0" applyNumberFormat="1" applyFill="1"/>
    <xf numFmtId="165" fontId="0" fillId="0" borderId="0" xfId="0" applyNumberFormat="1"/>
    <xf numFmtId="165" fontId="0" fillId="4" borderId="0" xfId="0" applyNumberFormat="1" applyFill="1"/>
    <xf numFmtId="166" fontId="0" fillId="0" borderId="0" xfId="0" applyNumberFormat="1"/>
    <xf numFmtId="167" fontId="0" fillId="4" borderId="0" xfId="0" applyNumberFormat="1" applyFill="1"/>
    <xf numFmtId="0" fontId="0" fillId="2" borderId="0" xfId="0" applyFill="1"/>
    <xf numFmtId="168" fontId="0" fillId="0" borderId="0" xfId="0" applyNumberFormat="1"/>
    <xf numFmtId="169" fontId="0" fillId="0" borderId="0" xfId="0" applyNumberFormat="1"/>
    <xf numFmtId="165" fontId="0" fillId="0" borderId="0" xfId="1" applyNumberFormat="1" applyFont="1" applyFill="1" applyBorder="1"/>
    <xf numFmtId="14" fontId="0" fillId="0" borderId="0" xfId="0" applyNumberFormat="1"/>
    <xf numFmtId="2" fontId="0" fillId="0" borderId="0" xfId="0" applyNumberFormat="1"/>
    <xf numFmtId="165" fontId="0" fillId="0" borderId="0" xfId="1" applyNumberFormat="1" applyFont="1" applyFill="1"/>
    <xf numFmtId="170" fontId="0" fillId="0" borderId="0" xfId="0" applyNumberFormat="1"/>
    <xf numFmtId="0" fontId="0" fillId="0" borderId="0" xfId="0" applyAlignment="1">
      <alignment horizontal="center"/>
    </xf>
    <xf numFmtId="171" fontId="0" fillId="0" borderId="0" xfId="0" applyNumberFormat="1"/>
    <xf numFmtId="4" fontId="0" fillId="3" borderId="0" xfId="0" applyNumberFormat="1" applyFill="1"/>
    <xf numFmtId="166" fontId="0" fillId="3" borderId="0" xfId="0" applyNumberFormat="1" applyFill="1"/>
    <xf numFmtId="10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165" fontId="0" fillId="2" borderId="0" xfId="0" applyNumberFormat="1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4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for Chart'!$G$11</c:f>
              <c:strCache>
                <c:ptCount val="1"/>
                <c:pt idx="0">
                  <c:v>Euribor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for Chart'!$A$12:$A$1012</c:f>
              <c:numCache>
                <c:formatCode>#,##0.0000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'Data for Chart'!$G$12:$G$1012</c:f>
              <c:numCache>
                <c:formatCode>0.000%</c:formatCode>
                <c:ptCount val="1001"/>
                <c:pt idx="0">
                  <c:v>2.53E-2</c:v>
                </c:pt>
                <c:pt idx="1">
                  <c:v>2.5297569798987361E-2</c:v>
                </c:pt>
                <c:pt idx="2">
                  <c:v>2.5290366378048552E-2</c:v>
                </c:pt>
                <c:pt idx="3">
                  <c:v>2.5278520510332241E-2</c:v>
                </c:pt>
                <c:pt idx="4">
                  <c:v>2.5262162968987083E-2</c:v>
                </c:pt>
                <c:pt idx="5">
                  <c:v>2.5241424527161743E-2</c:v>
                </c:pt>
                <c:pt idx="6">
                  <c:v>2.5216435958004883E-2</c:v>
                </c:pt>
                <c:pt idx="7">
                  <c:v>2.5187328034665162E-2</c:v>
                </c:pt>
                <c:pt idx="8">
                  <c:v>2.5154231530291248E-2</c:v>
                </c:pt>
                <c:pt idx="9">
                  <c:v>2.5117277218031801E-2</c:v>
                </c:pt>
                <c:pt idx="10">
                  <c:v>2.5076595871035483E-2</c:v>
                </c:pt>
                <c:pt idx="11">
                  <c:v>2.5032318262450955E-2</c:v>
                </c:pt>
                <c:pt idx="12">
                  <c:v>2.4984575165426879E-2</c:v>
                </c:pt>
                <c:pt idx="13">
                  <c:v>2.4933497353111917E-2</c:v>
                </c:pt>
                <c:pt idx="14">
                  <c:v>2.4879215598654733E-2</c:v>
                </c:pt>
                <c:pt idx="15">
                  <c:v>2.4821860675203988E-2</c:v>
                </c:pt>
                <c:pt idx="16">
                  <c:v>2.4761563355908345E-2</c:v>
                </c:pt>
                <c:pt idx="17">
                  <c:v>2.4698454413916465E-2</c:v>
                </c:pt>
                <c:pt idx="18">
                  <c:v>2.4632664622377013E-2</c:v>
                </c:pt>
                <c:pt idx="19">
                  <c:v>2.4564324754438649E-2</c:v>
                </c:pt>
                <c:pt idx="20">
                  <c:v>2.4493565583250033E-2</c:v>
                </c:pt>
                <c:pt idx="21">
                  <c:v>2.4420517881959831E-2</c:v>
                </c:pt>
                <c:pt idx="22">
                  <c:v>2.4345312423716702E-2</c:v>
                </c:pt>
                <c:pt idx="23">
                  <c:v>2.426807998166931E-2</c:v>
                </c:pt>
                <c:pt idx="24">
                  <c:v>2.4188951328966316E-2</c:v>
                </c:pt>
                <c:pt idx="25">
                  <c:v>2.4108057238756385E-2</c:v>
                </c:pt>
                <c:pt idx="26">
                  <c:v>2.4025528484188173E-2</c:v>
                </c:pt>
                <c:pt idx="27">
                  <c:v>2.3941495838410348E-2</c:v>
                </c:pt>
                <c:pt idx="28">
                  <c:v>2.3856090074571575E-2</c:v>
                </c:pt>
                <c:pt idx="29">
                  <c:v>2.3769441965820506E-2</c:v>
                </c:pt>
                <c:pt idx="30">
                  <c:v>2.3681682285305809E-2</c:v>
                </c:pt>
                <c:pt idx="31">
                  <c:v>2.3592941806176146E-2</c:v>
                </c:pt>
                <c:pt idx="32">
                  <c:v>2.3503351301580183E-2</c:v>
                </c:pt>
                <c:pt idx="33">
                  <c:v>2.3413041544666575E-2</c:v>
                </c:pt>
                <c:pt idx="34">
                  <c:v>2.3322143308583988E-2</c:v>
                </c:pt>
                <c:pt idx="35">
                  <c:v>2.3230787366481081E-2</c:v>
                </c:pt>
                <c:pt idx="36">
                  <c:v>2.3139104491506524E-2</c:v>
                </c:pt>
                <c:pt idx="37">
                  <c:v>2.3047225456808967E-2</c:v>
                </c:pt>
                <c:pt idx="38">
                  <c:v>2.2955281035537085E-2</c:v>
                </c:pt>
                <c:pt idx="39">
                  <c:v>2.2863402000839528E-2</c:v>
                </c:pt>
                <c:pt idx="40">
                  <c:v>2.2771719125864967E-2</c:v>
                </c:pt>
                <c:pt idx="41">
                  <c:v>2.2680363183762063E-2</c:v>
                </c:pt>
                <c:pt idx="42">
                  <c:v>2.2589464947679477E-2</c:v>
                </c:pt>
                <c:pt idx="43">
                  <c:v>2.2499155190765868E-2</c:v>
                </c:pt>
                <c:pt idx="44">
                  <c:v>2.2409564686169902E-2</c:v>
                </c:pt>
                <c:pt idx="45">
                  <c:v>2.2320824207040242E-2</c:v>
                </c:pt>
                <c:pt idx="46">
                  <c:v>2.2233064526525546E-2</c:v>
                </c:pt>
                <c:pt idx="47">
                  <c:v>2.2146416417774477E-2</c:v>
                </c:pt>
                <c:pt idx="48">
                  <c:v>2.20610106539357E-2</c:v>
                </c:pt>
                <c:pt idx="49">
                  <c:v>2.1976978008157878E-2</c:v>
                </c:pt>
                <c:pt idx="50">
                  <c:v>2.1894449253589666E-2</c:v>
                </c:pt>
                <c:pt idx="51">
                  <c:v>2.1813555163379735E-2</c:v>
                </c:pt>
                <c:pt idx="52">
                  <c:v>2.1734426510676742E-2</c:v>
                </c:pt>
                <c:pt idx="53">
                  <c:v>2.165719406862935E-2</c:v>
                </c:pt>
                <c:pt idx="54">
                  <c:v>2.1581988610386221E-2</c:v>
                </c:pt>
                <c:pt idx="55">
                  <c:v>2.1508940909096018E-2</c:v>
                </c:pt>
                <c:pt idx="56">
                  <c:v>2.1438181737907402E-2</c:v>
                </c:pt>
                <c:pt idx="57">
                  <c:v>2.1369841869969038E-2</c:v>
                </c:pt>
                <c:pt idx="58">
                  <c:v>2.1304052078429586E-2</c:v>
                </c:pt>
                <c:pt idx="59">
                  <c:v>2.1240943136437707E-2</c:v>
                </c:pt>
                <c:pt idx="60">
                  <c:v>2.1180645817142064E-2</c:v>
                </c:pt>
                <c:pt idx="61">
                  <c:v>2.1123290893691318E-2</c:v>
                </c:pt>
                <c:pt idx="62">
                  <c:v>2.1069009139234134E-2</c:v>
                </c:pt>
                <c:pt idx="63">
                  <c:v>2.1017931326919176E-2</c:v>
                </c:pt>
                <c:pt idx="64">
                  <c:v>2.0970188229895097E-2</c:v>
                </c:pt>
                <c:pt idx="65">
                  <c:v>2.0925910621310571E-2</c:v>
                </c:pt>
                <c:pt idx="66">
                  <c:v>2.088522927431425E-2</c:v>
                </c:pt>
                <c:pt idx="67">
                  <c:v>2.08482749620548E-2</c:v>
                </c:pt>
                <c:pt idx="68">
                  <c:v>2.081517845768089E-2</c:v>
                </c:pt>
                <c:pt idx="69">
                  <c:v>2.0786070534341172E-2</c:v>
                </c:pt>
                <c:pt idx="70">
                  <c:v>2.0761081965184308E-2</c:v>
                </c:pt>
                <c:pt idx="71">
                  <c:v>2.0740343523358969E-2</c:v>
                </c:pt>
                <c:pt idx="72">
                  <c:v>2.0723985982013811E-2</c:v>
                </c:pt>
                <c:pt idx="73">
                  <c:v>2.0712140114297499E-2</c:v>
                </c:pt>
                <c:pt idx="74">
                  <c:v>2.070493669335869E-2</c:v>
                </c:pt>
                <c:pt idx="75">
                  <c:v>2.0702506492346052E-2</c:v>
                </c:pt>
                <c:pt idx="76">
                  <c:v>2.0703174698494663E-2</c:v>
                </c:pt>
                <c:pt idx="77">
                  <c:v>2.0705164492655213E-2</c:v>
                </c:pt>
                <c:pt idx="78">
                  <c:v>2.0708453638399807E-2</c:v>
                </c:pt>
                <c:pt idx="79">
                  <c:v>2.0713019899300522E-2</c:v>
                </c:pt>
                <c:pt idx="80">
                  <c:v>2.0718841038929448E-2</c:v>
                </c:pt>
                <c:pt idx="81">
                  <c:v>2.0725894820858678E-2</c:v>
                </c:pt>
                <c:pt idx="82">
                  <c:v>2.0734159008660304E-2</c:v>
                </c:pt>
                <c:pt idx="83">
                  <c:v>2.0743611365906411E-2</c:v>
                </c:pt>
                <c:pt idx="84">
                  <c:v>2.075422965616909E-2</c:v>
                </c:pt>
                <c:pt idx="85">
                  <c:v>2.0765991643020433E-2</c:v>
                </c:pt>
                <c:pt idx="86">
                  <c:v>2.0778875090032525E-2</c:v>
                </c:pt>
                <c:pt idx="87">
                  <c:v>2.079285776077746E-2</c:v>
                </c:pt>
                <c:pt idx="88">
                  <c:v>2.0807917418827329E-2</c:v>
                </c:pt>
                <c:pt idx="89">
                  <c:v>2.0824031827754212E-2</c:v>
                </c:pt>
                <c:pt idx="90">
                  <c:v>2.0841178751130212E-2</c:v>
                </c:pt>
                <c:pt idx="91">
                  <c:v>2.0859335952527411E-2</c:v>
                </c:pt>
                <c:pt idx="92">
                  <c:v>2.0878481195517894E-2</c:v>
                </c:pt>
                <c:pt idx="93">
                  <c:v>2.0898592243673762E-2</c:v>
                </c:pt>
                <c:pt idx="94">
                  <c:v>2.0919646860567097E-2</c:v>
                </c:pt>
                <c:pt idx="95">
                  <c:v>2.0941622809769991E-2</c:v>
                </c:pt>
                <c:pt idx="96">
                  <c:v>2.0964497854854533E-2</c:v>
                </c:pt>
                <c:pt idx="97">
                  <c:v>2.098824975939281E-2</c:v>
                </c:pt>
                <c:pt idx="98">
                  <c:v>2.1012856286956913E-2</c:v>
                </c:pt>
                <c:pt idx="99">
                  <c:v>2.1038295201118939E-2</c:v>
                </c:pt>
                <c:pt idx="100">
                  <c:v>2.1064544265450968E-2</c:v>
                </c:pt>
                <c:pt idx="101">
                  <c:v>2.1091581243525094E-2</c:v>
                </c:pt>
                <c:pt idx="102">
                  <c:v>2.1119383898913408E-2</c:v>
                </c:pt>
                <c:pt idx="103">
                  <c:v>2.114792999518799E-2</c:v>
                </c:pt>
                <c:pt idx="104">
                  <c:v>2.1177197295920942E-2</c:v>
                </c:pt>
                <c:pt idx="105">
                  <c:v>2.1207163564684349E-2</c:v>
                </c:pt>
                <c:pt idx="106">
                  <c:v>2.1237806565050307E-2</c:v>
                </c:pt>
                <c:pt idx="107">
                  <c:v>2.126910406059089E-2</c:v>
                </c:pt>
                <c:pt idx="108">
                  <c:v>2.1301033814878197E-2</c:v>
                </c:pt>
                <c:pt idx="109">
                  <c:v>2.1333573591484318E-2</c:v>
                </c:pt>
                <c:pt idx="110">
                  <c:v>2.1366701153981343E-2</c:v>
                </c:pt>
                <c:pt idx="111">
                  <c:v>2.1400394265941362E-2</c:v>
                </c:pt>
                <c:pt idx="112">
                  <c:v>2.143463069093646E-2</c:v>
                </c:pt>
                <c:pt idx="113">
                  <c:v>2.1469388192538734E-2</c:v>
                </c:pt>
                <c:pt idx="114">
                  <c:v>2.1504644534320265E-2</c:v>
                </c:pt>
                <c:pt idx="115">
                  <c:v>2.154037747985315E-2</c:v>
                </c:pt>
                <c:pt idx="116">
                  <c:v>2.1576564792709477E-2</c:v>
                </c:pt>
                <c:pt idx="117">
                  <c:v>2.161318423646133E-2</c:v>
                </c:pt>
                <c:pt idx="118">
                  <c:v>2.1650213574680804E-2</c:v>
                </c:pt>
                <c:pt idx="119">
                  <c:v>2.1687630570939989E-2</c:v>
                </c:pt>
                <c:pt idx="120">
                  <c:v>2.172541298881097E-2</c:v>
                </c:pt>
                <c:pt idx="121">
                  <c:v>2.176353859186584E-2</c:v>
                </c:pt>
                <c:pt idx="122">
                  <c:v>2.1801985143676691E-2</c:v>
                </c:pt>
                <c:pt idx="123">
                  <c:v>2.184073040781561E-2</c:v>
                </c:pt>
                <c:pt idx="124">
                  <c:v>2.1879752147854686E-2</c:v>
                </c:pt>
                <c:pt idx="125">
                  <c:v>2.1919028127366014E-2</c:v>
                </c:pt>
                <c:pt idx="126">
                  <c:v>2.1958536109921673E-2</c:v>
                </c:pt>
                <c:pt idx="127">
                  <c:v>2.199825385909376E-2</c:v>
                </c:pt>
                <c:pt idx="128">
                  <c:v>2.2038159138454357E-2</c:v>
                </c:pt>
                <c:pt idx="129">
                  <c:v>2.2078229711575571E-2</c:v>
                </c:pt>
                <c:pt idx="130">
                  <c:v>2.2118443342029472E-2</c:v>
                </c:pt>
                <c:pt idx="131">
                  <c:v>2.2158777793388162E-2</c:v>
                </c:pt>
                <c:pt idx="132">
                  <c:v>2.2199210829223725E-2</c:v>
                </c:pt>
                <c:pt idx="133">
                  <c:v>2.2239720213108254E-2</c:v>
                </c:pt>
                <c:pt idx="134">
                  <c:v>2.2280283708613836E-2</c:v>
                </c:pt>
                <c:pt idx="135">
                  <c:v>2.2320879079312562E-2</c:v>
                </c:pt>
                <c:pt idx="136">
                  <c:v>2.2361484088776525E-2</c:v>
                </c:pt>
                <c:pt idx="137">
                  <c:v>2.2402076500577805E-2</c:v>
                </c:pt>
                <c:pt idx="138">
                  <c:v>2.24426340782885E-2</c:v>
                </c:pt>
                <c:pt idx="139">
                  <c:v>2.2483134585480694E-2</c:v>
                </c:pt>
                <c:pt idx="140">
                  <c:v>2.2523555785726485E-2</c:v>
                </c:pt>
                <c:pt idx="141">
                  <c:v>2.2563875442597952E-2</c:v>
                </c:pt>
                <c:pt idx="142">
                  <c:v>2.2604071319667195E-2</c:v>
                </c:pt>
                <c:pt idx="143">
                  <c:v>2.264412118050629E-2</c:v>
                </c:pt>
                <c:pt idx="144">
                  <c:v>2.2684002788687343E-2</c:v>
                </c:pt>
                <c:pt idx="145">
                  <c:v>2.2723693907782443E-2</c:v>
                </c:pt>
                <c:pt idx="146">
                  <c:v>2.2763172301363654E-2</c:v>
                </c:pt>
                <c:pt idx="147">
                  <c:v>2.2802415733003095E-2</c:v>
                </c:pt>
                <c:pt idx="148">
                  <c:v>2.2841401966272844E-2</c:v>
                </c:pt>
                <c:pt idx="149">
                  <c:v>2.2880108764744993E-2</c:v>
                </c:pt>
                <c:pt idx="150">
                  <c:v>2.2918513891991624E-2</c:v>
                </c:pt>
                <c:pt idx="151">
                  <c:v>2.2956595111584842E-2</c:v>
                </c:pt>
                <c:pt idx="152">
                  <c:v>2.2994330187096713E-2</c:v>
                </c:pt>
                <c:pt idx="153">
                  <c:v>2.3031696882099353E-2</c:v>
                </c:pt>
                <c:pt idx="154">
                  <c:v>2.3068672960164835E-2</c:v>
                </c:pt>
                <c:pt idx="155">
                  <c:v>2.3105236184865256E-2</c:v>
                </c:pt>
                <c:pt idx="156">
                  <c:v>2.3141364319772702E-2</c:v>
                </c:pt>
                <c:pt idx="157">
                  <c:v>2.3177035128459259E-2</c:v>
                </c:pt>
                <c:pt idx="158">
                  <c:v>2.3212226374497033E-2</c:v>
                </c:pt>
                <c:pt idx="159">
                  <c:v>2.3246915821458092E-2</c:v>
                </c:pt>
                <c:pt idx="160">
                  <c:v>2.3281081232914533E-2</c:v>
                </c:pt>
                <c:pt idx="161">
                  <c:v>2.3314700372438445E-2</c:v>
                </c:pt>
                <c:pt idx="162">
                  <c:v>2.3347751003601935E-2</c:v>
                </c:pt>
                <c:pt idx="163">
                  <c:v>2.3380210889977066E-2</c:v>
                </c:pt>
                <c:pt idx="164">
                  <c:v>2.3412057795135947E-2</c:v>
                </c:pt>
                <c:pt idx="165">
                  <c:v>2.3443269482650658E-2</c:v>
                </c:pt>
                <c:pt idx="166">
                  <c:v>2.3473823716093287E-2</c:v>
                </c:pt>
                <c:pt idx="167">
                  <c:v>2.3503698259035935E-2</c:v>
                </c:pt>
                <c:pt idx="168">
                  <c:v>2.3532870875050672E-2</c:v>
                </c:pt>
                <c:pt idx="169">
                  <c:v>2.3561319327709614E-2</c:v>
                </c:pt>
                <c:pt idx="170">
                  <c:v>2.3589021380584829E-2</c:v>
                </c:pt>
                <c:pt idx="171">
                  <c:v>2.3615954797248415E-2</c:v>
                </c:pt>
                <c:pt idx="172">
                  <c:v>2.3642097341272459E-2</c:v>
                </c:pt>
                <c:pt idx="173">
                  <c:v>2.3667426776229055E-2</c:v>
                </c:pt>
                <c:pt idx="174">
                  <c:v>2.3691920865690289E-2</c:v>
                </c:pt>
                <c:pt idx="175">
                  <c:v>2.3715557373228259E-2</c:v>
                </c:pt>
                <c:pt idx="176">
                  <c:v>2.3738661288628844E-2</c:v>
                </c:pt>
                <c:pt idx="177">
                  <c:v>2.376157352038703E-2</c:v>
                </c:pt>
                <c:pt idx="178">
                  <c:v>2.3784295710138535E-2</c:v>
                </c:pt>
                <c:pt idx="179">
                  <c:v>2.3806829499519074E-2</c:v>
                </c:pt>
                <c:pt idx="180">
                  <c:v>2.3829176530164375E-2</c:v>
                </c:pt>
                <c:pt idx="181">
                  <c:v>2.3851338443710145E-2</c:v>
                </c:pt>
                <c:pt idx="182">
                  <c:v>2.387331688179211E-2</c:v>
                </c:pt>
                <c:pt idx="183">
                  <c:v>2.3895113486045984E-2</c:v>
                </c:pt>
                <c:pt idx="184">
                  <c:v>2.3916729898107492E-2</c:v>
                </c:pt>
                <c:pt idx="185">
                  <c:v>2.3938167759612345E-2</c:v>
                </c:pt>
                <c:pt idx="186">
                  <c:v>2.3959428712196262E-2</c:v>
                </c:pt>
                <c:pt idx="187">
                  <c:v>2.3980514397494969E-2</c:v>
                </c:pt>
                <c:pt idx="188">
                  <c:v>2.4001426457144176E-2</c:v>
                </c:pt>
                <c:pt idx="189">
                  <c:v>2.4022166532779603E-2</c:v>
                </c:pt>
                <c:pt idx="190">
                  <c:v>2.4042736266036976E-2</c:v>
                </c:pt>
                <c:pt idx="191">
                  <c:v>2.4063137298552004E-2</c:v>
                </c:pt>
                <c:pt idx="192">
                  <c:v>2.4083371271960412E-2</c:v>
                </c:pt>
                <c:pt idx="193">
                  <c:v>2.4103439827897914E-2</c:v>
                </c:pt>
                <c:pt idx="194">
                  <c:v>2.4123344608000231E-2</c:v>
                </c:pt>
                <c:pt idx="195">
                  <c:v>2.414308725390308E-2</c:v>
                </c:pt>
                <c:pt idx="196">
                  <c:v>2.4162669407242179E-2</c:v>
                </c:pt>
                <c:pt idx="197">
                  <c:v>2.4182092709653252E-2</c:v>
                </c:pt>
                <c:pt idx="198">
                  <c:v>2.4201358802772008E-2</c:v>
                </c:pt>
                <c:pt idx="199">
                  <c:v>2.4220469328234174E-2</c:v>
                </c:pt>
                <c:pt idx="200">
                  <c:v>2.4239425927675463E-2</c:v>
                </c:pt>
                <c:pt idx="201">
                  <c:v>2.4258230242731597E-2</c:v>
                </c:pt>
                <c:pt idx="202">
                  <c:v>2.4276883915038291E-2</c:v>
                </c:pt>
                <c:pt idx="203">
                  <c:v>2.4295388586231266E-2</c:v>
                </c:pt>
                <c:pt idx="204">
                  <c:v>2.4313745897946243E-2</c:v>
                </c:pt>
                <c:pt idx="205">
                  <c:v>2.4331957491818934E-2</c:v>
                </c:pt>
                <c:pt idx="206">
                  <c:v>2.4350025009485063E-2</c:v>
                </c:pt>
                <c:pt idx="207">
                  <c:v>2.4367950092580339E-2</c:v>
                </c:pt>
                <c:pt idx="208">
                  <c:v>2.4385734382740498E-2</c:v>
                </c:pt>
                <c:pt idx="209">
                  <c:v>2.4403379521601244E-2</c:v>
                </c:pt>
                <c:pt idx="210">
                  <c:v>2.44208871507983E-2</c:v>
                </c:pt>
                <c:pt idx="211">
                  <c:v>2.4438258911967381E-2</c:v>
                </c:pt>
                <c:pt idx="212">
                  <c:v>2.4455496446744218E-2</c:v>
                </c:pt>
                <c:pt idx="213">
                  <c:v>2.4472601396764507E-2</c:v>
                </c:pt>
                <c:pt idx="214">
                  <c:v>2.4489575403663991E-2</c:v>
                </c:pt>
                <c:pt idx="215">
                  <c:v>2.4506420109078372E-2</c:v>
                </c:pt>
                <c:pt idx="216">
                  <c:v>2.4523137154643371E-2</c:v>
                </c:pt>
                <c:pt idx="217">
                  <c:v>2.4539728181994715E-2</c:v>
                </c:pt>
                <c:pt idx="218">
                  <c:v>2.4556194832768108E-2</c:v>
                </c:pt>
                <c:pt idx="219">
                  <c:v>2.4572538748599285E-2</c:v>
                </c:pt>
                <c:pt idx="220">
                  <c:v>2.4588761571123954E-2</c:v>
                </c:pt>
                <c:pt idx="221">
                  <c:v>2.4604864941977833E-2</c:v>
                </c:pt>
                <c:pt idx="222">
                  <c:v>2.4620850502796648E-2</c:v>
                </c:pt>
                <c:pt idx="223">
                  <c:v>2.4636719895216111E-2</c:v>
                </c:pt>
                <c:pt idx="224">
                  <c:v>2.4652474760871939E-2</c:v>
                </c:pt>
                <c:pt idx="225">
                  <c:v>2.4668116741399855E-2</c:v>
                </c:pt>
                <c:pt idx="226">
                  <c:v>2.4683647478435579E-2</c:v>
                </c:pt>
                <c:pt idx="227">
                  <c:v>2.4699068613614827E-2</c:v>
                </c:pt>
                <c:pt idx="228">
                  <c:v>2.4714381788573311E-2</c:v>
                </c:pt>
                <c:pt idx="229">
                  <c:v>2.4729588644946759E-2</c:v>
                </c:pt>
                <c:pt idx="230">
                  <c:v>2.4744690824370891E-2</c:v>
                </c:pt>
                <c:pt idx="231">
                  <c:v>2.4759689968481415E-2</c:v>
                </c:pt>
                <c:pt idx="232">
                  <c:v>2.4774587718914054E-2</c:v>
                </c:pt>
                <c:pt idx="233">
                  <c:v>2.4789385717304532E-2</c:v>
                </c:pt>
                <c:pt idx="234">
                  <c:v>2.4804085605288562E-2</c:v>
                </c:pt>
                <c:pt idx="235">
                  <c:v>2.481868902450186E-2</c:v>
                </c:pt>
                <c:pt idx="236">
                  <c:v>2.4833197616580153E-2</c:v>
                </c:pt>
                <c:pt idx="237">
                  <c:v>2.4847613023159153E-2</c:v>
                </c:pt>
                <c:pt idx="238">
                  <c:v>2.4861936885874573E-2</c:v>
                </c:pt>
                <c:pt idx="239">
                  <c:v>2.4876170846362143E-2</c:v>
                </c:pt>
                <c:pt idx="240">
                  <c:v>2.4890316546257577E-2</c:v>
                </c:pt>
                <c:pt idx="241">
                  <c:v>2.4904375627196593E-2</c:v>
                </c:pt>
                <c:pt idx="242">
                  <c:v>2.4918349730814911E-2</c:v>
                </c:pt>
                <c:pt idx="243">
                  <c:v>2.4932240498748245E-2</c:v>
                </c:pt>
                <c:pt idx="244">
                  <c:v>2.4946049572632321E-2</c:v>
                </c:pt>
                <c:pt idx="245">
                  <c:v>2.4959778594102849E-2</c:v>
                </c:pt>
                <c:pt idx="246">
                  <c:v>2.4973429204795554E-2</c:v>
                </c:pt>
                <c:pt idx="247">
                  <c:v>2.498700304634615E-2</c:v>
                </c:pt>
                <c:pt idx="248">
                  <c:v>2.5000501760390356E-2</c:v>
                </c:pt>
                <c:pt idx="249">
                  <c:v>2.5013926988563896E-2</c:v>
                </c:pt>
                <c:pt idx="250">
                  <c:v>2.5027280372502486E-2</c:v>
                </c:pt>
                <c:pt idx="251">
                  <c:v>2.5040563553841835E-2</c:v>
                </c:pt>
                <c:pt idx="252">
                  <c:v>2.5053778174217674E-2</c:v>
                </c:pt>
                <c:pt idx="253">
                  <c:v>2.5066925875265718E-2</c:v>
                </c:pt>
                <c:pt idx="254">
                  <c:v>2.508000829862168E-2</c:v>
                </c:pt>
                <c:pt idx="255">
                  <c:v>2.5093027085921288E-2</c:v>
                </c:pt>
                <c:pt idx="256">
                  <c:v>2.5105983878800253E-2</c:v>
                </c:pt>
                <c:pt idx="257">
                  <c:v>2.5118880318894293E-2</c:v>
                </c:pt>
                <c:pt idx="258">
                  <c:v>2.5131718047839133E-2</c:v>
                </c:pt>
                <c:pt idx="259">
                  <c:v>2.514449870727048E-2</c:v>
                </c:pt>
                <c:pt idx="260">
                  <c:v>2.5157223938824073E-2</c:v>
                </c:pt>
                <c:pt idx="261">
                  <c:v>2.516989538413561E-2</c:v>
                </c:pt>
                <c:pt idx="262">
                  <c:v>2.5182514684840816E-2</c:v>
                </c:pt>
                <c:pt idx="263">
                  <c:v>2.5195083482575414E-2</c:v>
                </c:pt>
                <c:pt idx="264">
                  <c:v>2.5207603418975114E-2</c:v>
                </c:pt>
                <c:pt idx="265">
                  <c:v>2.5220076135675638E-2</c:v>
                </c:pt>
                <c:pt idx="266">
                  <c:v>2.5232503274312711E-2</c:v>
                </c:pt>
                <c:pt idx="267">
                  <c:v>2.5244886476522052E-2</c:v>
                </c:pt>
                <c:pt idx="268">
                  <c:v>2.525722738393936E-2</c:v>
                </c:pt>
                <c:pt idx="269">
                  <c:v>2.5269527638200378E-2</c:v>
                </c:pt>
                <c:pt idx="270">
                  <c:v>2.5281788880940806E-2</c:v>
                </c:pt>
                <c:pt idx="271">
                  <c:v>2.5294012753796377E-2</c:v>
                </c:pt>
                <c:pt idx="272">
                  <c:v>2.5306200898402801E-2</c:v>
                </c:pt>
                <c:pt idx="273">
                  <c:v>2.5318354956395797E-2</c:v>
                </c:pt>
                <c:pt idx="274">
                  <c:v>2.5330476569411085E-2</c:v>
                </c:pt>
                <c:pt idx="275">
                  <c:v>2.5342567379084385E-2</c:v>
                </c:pt>
                <c:pt idx="276">
                  <c:v>2.535452520829308E-2</c:v>
                </c:pt>
                <c:pt idx="277">
                  <c:v>2.5366249863654655E-2</c:v>
                </c:pt>
                <c:pt idx="278">
                  <c:v>2.537774596241503E-2</c:v>
                </c:pt>
                <c:pt idx="279">
                  <c:v>2.5389018121820039E-2</c:v>
                </c:pt>
                <c:pt idx="280">
                  <c:v>2.5400070959115603E-2</c:v>
                </c:pt>
                <c:pt idx="281">
                  <c:v>2.5410909091547591E-2</c:v>
                </c:pt>
                <c:pt idx="282">
                  <c:v>2.5421537136361888E-2</c:v>
                </c:pt>
                <c:pt idx="283">
                  <c:v>2.5431959710804378E-2</c:v>
                </c:pt>
                <c:pt idx="284">
                  <c:v>2.5442181432120931E-2</c:v>
                </c:pt>
                <c:pt idx="285">
                  <c:v>2.5452206917557452E-2</c:v>
                </c:pt>
                <c:pt idx="286">
                  <c:v>2.5462040784359811E-2</c:v>
                </c:pt>
                <c:pt idx="287">
                  <c:v>2.547168764977388E-2</c:v>
                </c:pt>
                <c:pt idx="288">
                  <c:v>2.548115213104557E-2</c:v>
                </c:pt>
                <c:pt idx="289">
                  <c:v>2.5490438845420751E-2</c:v>
                </c:pt>
                <c:pt idx="290">
                  <c:v>2.5499552410145315E-2</c:v>
                </c:pt>
                <c:pt idx="291">
                  <c:v>2.5508497442465111E-2</c:v>
                </c:pt>
                <c:pt idx="292">
                  <c:v>2.5517278559626051E-2</c:v>
                </c:pt>
                <c:pt idx="293">
                  <c:v>2.5525900378874034E-2</c:v>
                </c:pt>
                <c:pt idx="294">
                  <c:v>2.5534367517454901E-2</c:v>
                </c:pt>
                <c:pt idx="295">
                  <c:v>2.5542684592614551E-2</c:v>
                </c:pt>
                <c:pt idx="296">
                  <c:v>2.5550856221598903E-2</c:v>
                </c:pt>
                <c:pt idx="297">
                  <c:v>2.5558887021653764E-2</c:v>
                </c:pt>
                <c:pt idx="298">
                  <c:v>2.5566781610025111E-2</c:v>
                </c:pt>
                <c:pt idx="299">
                  <c:v>2.5574544603958749E-2</c:v>
                </c:pt>
                <c:pt idx="300">
                  <c:v>2.5582180620700591E-2</c:v>
                </c:pt>
                <c:pt idx="301">
                  <c:v>2.5589694277496536E-2</c:v>
                </c:pt>
                <c:pt idx="302">
                  <c:v>2.5597090191592425E-2</c:v>
                </c:pt>
                <c:pt idx="303">
                  <c:v>2.56043729802342E-2</c:v>
                </c:pt>
                <c:pt idx="304">
                  <c:v>2.5611547260667694E-2</c:v>
                </c:pt>
                <c:pt idx="305">
                  <c:v>2.5618617650138814E-2</c:v>
                </c:pt>
                <c:pt idx="306">
                  <c:v>2.5625588765893437E-2</c:v>
                </c:pt>
                <c:pt idx="307">
                  <c:v>2.5632465225177425E-2</c:v>
                </c:pt>
                <c:pt idx="308">
                  <c:v>2.5639251645236713E-2</c:v>
                </c:pt>
                <c:pt idx="309">
                  <c:v>2.5645952643317135E-2</c:v>
                </c:pt>
                <c:pt idx="310">
                  <c:v>2.5652572836664583E-2</c:v>
                </c:pt>
                <c:pt idx="311">
                  <c:v>2.5659116842524976E-2</c:v>
                </c:pt>
                <c:pt idx="312">
                  <c:v>2.5665589278144142E-2</c:v>
                </c:pt>
                <c:pt idx="313">
                  <c:v>2.5671994760768022E-2</c:v>
                </c:pt>
                <c:pt idx="314">
                  <c:v>2.567833790764245E-2</c:v>
                </c:pt>
                <c:pt idx="315">
                  <c:v>2.5684623336013318E-2</c:v>
                </c:pt>
                <c:pt idx="316">
                  <c:v>2.5690855663126538E-2</c:v>
                </c:pt>
                <c:pt idx="317">
                  <c:v>2.5697039506227974E-2</c:v>
                </c:pt>
                <c:pt idx="318">
                  <c:v>2.570317948256351E-2</c:v>
                </c:pt>
                <c:pt idx="319">
                  <c:v>2.5709280209379022E-2</c:v>
                </c:pt>
                <c:pt idx="320">
                  <c:v>2.5715346303920389E-2</c:v>
                </c:pt>
                <c:pt idx="321">
                  <c:v>2.5721382383433522E-2</c:v>
                </c:pt>
                <c:pt idx="322">
                  <c:v>2.5727393065164292E-2</c:v>
                </c:pt>
                <c:pt idx="323">
                  <c:v>2.5733382966358583E-2</c:v>
                </c:pt>
                <c:pt idx="324">
                  <c:v>2.5739356704262251E-2</c:v>
                </c:pt>
                <c:pt idx="325">
                  <c:v>2.5745318896121194E-2</c:v>
                </c:pt>
                <c:pt idx="326">
                  <c:v>2.5751274159181332E-2</c:v>
                </c:pt>
                <c:pt idx="327">
                  <c:v>2.5757227110688508E-2</c:v>
                </c:pt>
                <c:pt idx="328">
                  <c:v>2.5763182367888604E-2</c:v>
                </c:pt>
                <c:pt idx="329">
                  <c:v>2.576914454802752E-2</c:v>
                </c:pt>
                <c:pt idx="330">
                  <c:v>2.5775118268351126E-2</c:v>
                </c:pt>
                <c:pt idx="331">
                  <c:v>2.5781108146105333E-2</c:v>
                </c:pt>
                <c:pt idx="332">
                  <c:v>2.5787118798535978E-2</c:v>
                </c:pt>
                <c:pt idx="333">
                  <c:v>2.5793154842888993E-2</c:v>
                </c:pt>
                <c:pt idx="334">
                  <c:v>2.5799220896410215E-2</c:v>
                </c:pt>
                <c:pt idx="335">
                  <c:v>2.5805321576345561E-2</c:v>
                </c:pt>
                <c:pt idx="336">
                  <c:v>2.5811461499940916E-2</c:v>
                </c:pt>
                <c:pt idx="337">
                  <c:v>2.5817645284442123E-2</c:v>
                </c:pt>
                <c:pt idx="338">
                  <c:v>2.5823877547095114E-2</c:v>
                </c:pt>
                <c:pt idx="339">
                  <c:v>2.583016290514574E-2</c:v>
                </c:pt>
                <c:pt idx="340">
                  <c:v>2.5836505975839898E-2</c:v>
                </c:pt>
                <c:pt idx="341">
                  <c:v>2.5842911376423472E-2</c:v>
                </c:pt>
                <c:pt idx="342">
                  <c:v>2.5849383724142326E-2</c:v>
                </c:pt>
                <c:pt idx="343">
                  <c:v>2.5855927636242358E-2</c:v>
                </c:pt>
                <c:pt idx="344">
                  <c:v>2.5862547729969473E-2</c:v>
                </c:pt>
                <c:pt idx="345">
                  <c:v>2.58692486225695E-2</c:v>
                </c:pt>
                <c:pt idx="346">
                  <c:v>2.5876034931288379E-2</c:v>
                </c:pt>
                <c:pt idx="347">
                  <c:v>2.5882911273371965E-2</c:v>
                </c:pt>
                <c:pt idx="348">
                  <c:v>2.588988226606613E-2</c:v>
                </c:pt>
                <c:pt idx="349">
                  <c:v>2.5896952526616793E-2</c:v>
                </c:pt>
                <c:pt idx="350">
                  <c:v>2.5904126672269802E-2</c:v>
                </c:pt>
                <c:pt idx="351">
                  <c:v>2.5911409320271056E-2</c:v>
                </c:pt>
                <c:pt idx="352">
                  <c:v>2.5918805087866433E-2</c:v>
                </c:pt>
                <c:pt idx="353">
                  <c:v>2.5926318592301822E-2</c:v>
                </c:pt>
                <c:pt idx="354">
                  <c:v>2.5933954450823089E-2</c:v>
                </c:pt>
                <c:pt idx="355">
                  <c:v>2.5941717280676145E-2</c:v>
                </c:pt>
                <c:pt idx="356">
                  <c:v>2.5949611699106867E-2</c:v>
                </c:pt>
                <c:pt idx="357">
                  <c:v>2.5957642323361105E-2</c:v>
                </c:pt>
                <c:pt idx="358">
                  <c:v>2.5965813770684791E-2</c:v>
                </c:pt>
                <c:pt idx="359">
                  <c:v>2.5974130658323775E-2</c:v>
                </c:pt>
                <c:pt idx="360">
                  <c:v>2.5982597603523949E-2</c:v>
                </c:pt>
                <c:pt idx="361">
                  <c:v>2.599121922353121E-2</c:v>
                </c:pt>
                <c:pt idx="362">
                  <c:v>2.6000000135591415E-2</c:v>
                </c:pt>
                <c:pt idx="363">
                  <c:v>2.6008944956950455E-2</c:v>
                </c:pt>
                <c:pt idx="364">
                  <c:v>2.6018058304854222E-2</c:v>
                </c:pt>
                <c:pt idx="365">
                  <c:v>2.6027344796548585E-2</c:v>
                </c:pt>
                <c:pt idx="366">
                  <c:v>2.6036809049279463E-2</c:v>
                </c:pt>
                <c:pt idx="367">
                  <c:v>2.6046455680292707E-2</c:v>
                </c:pt>
                <c:pt idx="368">
                  <c:v>2.6056289306834207E-2</c:v>
                </c:pt>
                <c:pt idx="369">
                  <c:v>2.6066314546149827E-2</c:v>
                </c:pt>
                <c:pt idx="370">
                  <c:v>2.6076536015485471E-2</c:v>
                </c:pt>
                <c:pt idx="371">
                  <c:v>2.6086958332087046E-2</c:v>
                </c:pt>
                <c:pt idx="372">
                  <c:v>2.6097586113200372E-2</c:v>
                </c:pt>
                <c:pt idx="373">
                  <c:v>2.6108423976071382E-2</c:v>
                </c:pt>
                <c:pt idx="374">
                  <c:v>2.6119476537945968E-2</c:v>
                </c:pt>
                <c:pt idx="375">
                  <c:v>2.6130748416069965E-2</c:v>
                </c:pt>
                <c:pt idx="376">
                  <c:v>2.6142264892797223E-2</c:v>
                </c:pt>
                <c:pt idx="377">
                  <c:v>2.6154044197014642E-2</c:v>
                </c:pt>
                <c:pt idx="378">
                  <c:v>2.6166080365768007E-2</c:v>
                </c:pt>
                <c:pt idx="379">
                  <c:v>2.6178367436102745E-2</c:v>
                </c:pt>
                <c:pt idx="380">
                  <c:v>2.6190899445064697E-2</c:v>
                </c:pt>
                <c:pt idx="381">
                  <c:v>2.6203670429699372E-2</c:v>
                </c:pt>
                <c:pt idx="382">
                  <c:v>2.6216674427052472E-2</c:v>
                </c:pt>
                <c:pt idx="383">
                  <c:v>2.622990547416959E-2</c:v>
                </c:pt>
                <c:pt idx="384">
                  <c:v>2.6243357608096429E-2</c:v>
                </c:pt>
                <c:pt idx="385">
                  <c:v>2.6257024865878581E-2</c:v>
                </c:pt>
                <c:pt idx="386">
                  <c:v>2.6270901284561693E-2</c:v>
                </c:pt>
                <c:pt idx="387">
                  <c:v>2.6284980901191413E-2</c:v>
                </c:pt>
                <c:pt idx="388">
                  <c:v>2.6299257752813388E-2</c:v>
                </c:pt>
                <c:pt idx="389">
                  <c:v>2.631372587647321E-2</c:v>
                </c:pt>
                <c:pt idx="390">
                  <c:v>2.632837930921661E-2</c:v>
                </c:pt>
                <c:pt idx="391">
                  <c:v>2.6343212088089096E-2</c:v>
                </c:pt>
                <c:pt idx="392">
                  <c:v>2.63582182501364E-2</c:v>
                </c:pt>
                <c:pt idx="393">
                  <c:v>2.6373391832404197E-2</c:v>
                </c:pt>
                <c:pt idx="394">
                  <c:v>2.6388726871938051E-2</c:v>
                </c:pt>
                <c:pt idx="395">
                  <c:v>2.6404217405783581E-2</c:v>
                </c:pt>
                <c:pt idx="396">
                  <c:v>2.6419857470986546E-2</c:v>
                </c:pt>
                <c:pt idx="397">
                  <c:v>2.6435641104592456E-2</c:v>
                </c:pt>
                <c:pt idx="398">
                  <c:v>2.6451562343647039E-2</c:v>
                </c:pt>
                <c:pt idx="399">
                  <c:v>2.6467615225195834E-2</c:v>
                </c:pt>
                <c:pt idx="400">
                  <c:v>2.6483793786284598E-2</c:v>
                </c:pt>
                <c:pt idx="401">
                  <c:v>2.6500092063958897E-2</c:v>
                </c:pt>
                <c:pt idx="402">
                  <c:v>2.6516504095264404E-2</c:v>
                </c:pt>
                <c:pt idx="403">
                  <c:v>2.653302391724674E-2</c:v>
                </c:pt>
                <c:pt idx="404">
                  <c:v>2.6549645566951524E-2</c:v>
                </c:pt>
                <c:pt idx="405">
                  <c:v>2.6566363081424488E-2</c:v>
                </c:pt>
                <c:pt idx="406">
                  <c:v>2.6583170497711139E-2</c:v>
                </c:pt>
                <c:pt idx="407">
                  <c:v>2.6600061852857182E-2</c:v>
                </c:pt>
                <c:pt idx="408">
                  <c:v>2.6617031183908318E-2</c:v>
                </c:pt>
                <c:pt idx="409">
                  <c:v>2.6634072527910058E-2</c:v>
                </c:pt>
                <c:pt idx="410">
                  <c:v>2.665117992190813E-2</c:v>
                </c:pt>
                <c:pt idx="411">
                  <c:v>2.6668347402948156E-2</c:v>
                </c:pt>
                <c:pt idx="412">
                  <c:v>2.6685569008075727E-2</c:v>
                </c:pt>
                <c:pt idx="413">
                  <c:v>2.6702838774336574E-2</c:v>
                </c:pt>
                <c:pt idx="414">
                  <c:v>2.6720150738776288E-2</c:v>
                </c:pt>
                <c:pt idx="415">
                  <c:v>2.673749893844049E-2</c:v>
                </c:pt>
                <c:pt idx="416">
                  <c:v>2.6754877410374855E-2</c:v>
                </c:pt>
                <c:pt idx="417">
                  <c:v>2.6772280191625003E-2</c:v>
                </c:pt>
                <c:pt idx="418">
                  <c:v>2.6789701319236525E-2</c:v>
                </c:pt>
                <c:pt idx="419">
                  <c:v>2.680713483025518E-2</c:v>
                </c:pt>
                <c:pt idx="420">
                  <c:v>2.6824574761726533E-2</c:v>
                </c:pt>
                <c:pt idx="421">
                  <c:v>2.6842015150696202E-2</c:v>
                </c:pt>
                <c:pt idx="422">
                  <c:v>2.6859450034209892E-2</c:v>
                </c:pt>
                <c:pt idx="423">
                  <c:v>2.6876873449313166E-2</c:v>
                </c:pt>
                <c:pt idx="424">
                  <c:v>2.6894279433051699E-2</c:v>
                </c:pt>
                <c:pt idx="425">
                  <c:v>2.6911662022471139E-2</c:v>
                </c:pt>
                <c:pt idx="426">
                  <c:v>2.6929015254617106E-2</c:v>
                </c:pt>
                <c:pt idx="427">
                  <c:v>2.6946333166535302E-2</c:v>
                </c:pt>
                <c:pt idx="428">
                  <c:v>2.6963609795271237E-2</c:v>
                </c:pt>
                <c:pt idx="429">
                  <c:v>2.6980839177870669E-2</c:v>
                </c:pt>
                <c:pt idx="430">
                  <c:v>2.6998015351379218E-2</c:v>
                </c:pt>
                <c:pt idx="431">
                  <c:v>2.7015132352842502E-2</c:v>
                </c:pt>
                <c:pt idx="432">
                  <c:v>2.7032184219306143E-2</c:v>
                </c:pt>
                <c:pt idx="433">
                  <c:v>2.7049164987815788E-2</c:v>
                </c:pt>
                <c:pt idx="434">
                  <c:v>2.7066068695417139E-2</c:v>
                </c:pt>
                <c:pt idx="435">
                  <c:v>2.7082889379155706E-2</c:v>
                </c:pt>
                <c:pt idx="436">
                  <c:v>2.7099621076077274E-2</c:v>
                </c:pt>
                <c:pt idx="437">
                  <c:v>2.711625782322738E-2</c:v>
                </c:pt>
                <c:pt idx="438">
                  <c:v>2.7132793657651727E-2</c:v>
                </c:pt>
                <c:pt idx="439">
                  <c:v>2.7149222616395935E-2</c:v>
                </c:pt>
                <c:pt idx="440">
                  <c:v>2.7165538736505596E-2</c:v>
                </c:pt>
                <c:pt idx="441">
                  <c:v>2.7181736055026356E-2</c:v>
                </c:pt>
                <c:pt idx="442">
                  <c:v>2.7197808609003976E-2</c:v>
                </c:pt>
                <c:pt idx="443">
                  <c:v>2.7213750435483935E-2</c:v>
                </c:pt>
                <c:pt idx="444">
                  <c:v>2.7229555571511993E-2</c:v>
                </c:pt>
                <c:pt idx="445">
                  <c:v>2.7245218054133713E-2</c:v>
                </c:pt>
                <c:pt idx="446">
                  <c:v>2.7260731920394771E-2</c:v>
                </c:pt>
                <c:pt idx="447">
                  <c:v>2.7276091207340758E-2</c:v>
                </c:pt>
                <c:pt idx="448">
                  <c:v>2.7291289952017406E-2</c:v>
                </c:pt>
                <c:pt idx="449">
                  <c:v>2.730632219147025E-2</c:v>
                </c:pt>
                <c:pt idx="450">
                  <c:v>2.7321181962745023E-2</c:v>
                </c:pt>
                <c:pt idx="451">
                  <c:v>2.7335863302887287E-2</c:v>
                </c:pt>
                <c:pt idx="452">
                  <c:v>2.7350360248942718E-2</c:v>
                </c:pt>
                <c:pt idx="453">
                  <c:v>2.7364666837956936E-2</c:v>
                </c:pt>
                <c:pt idx="454">
                  <c:v>2.7378777106975671E-2</c:v>
                </c:pt>
                <c:pt idx="455">
                  <c:v>2.7392685093044405E-2</c:v>
                </c:pt>
                <c:pt idx="456">
                  <c:v>2.7406384833208897E-2</c:v>
                </c:pt>
                <c:pt idx="457">
                  <c:v>2.7419870364514709E-2</c:v>
                </c:pt>
                <c:pt idx="458">
                  <c:v>2.7433135724007657E-2</c:v>
                </c:pt>
                <c:pt idx="459">
                  <c:v>2.744617494873311E-2</c:v>
                </c:pt>
                <c:pt idx="460">
                  <c:v>2.7458982075736882E-2</c:v>
                </c:pt>
                <c:pt idx="461">
                  <c:v>2.7471551142064538E-2</c:v>
                </c:pt>
                <c:pt idx="462">
                  <c:v>2.7483876184761752E-2</c:v>
                </c:pt>
                <c:pt idx="463">
                  <c:v>2.7495951240874256E-2</c:v>
                </c:pt>
                <c:pt idx="464">
                  <c:v>2.750777034744753E-2</c:v>
                </c:pt>
                <c:pt idx="465">
                  <c:v>2.751932754152725E-2</c:v>
                </c:pt>
                <c:pt idx="466">
                  <c:v>2.7530616860159174E-2</c:v>
                </c:pt>
                <c:pt idx="467">
                  <c:v>2.7541632340388755E-2</c:v>
                </c:pt>
                <c:pt idx="468">
                  <c:v>2.7552368019261753E-2</c:v>
                </c:pt>
                <c:pt idx="469">
                  <c:v>2.7562817933823813E-2</c:v>
                </c:pt>
                <c:pt idx="470">
                  <c:v>2.7572976121120613E-2</c:v>
                </c:pt>
                <c:pt idx="471">
                  <c:v>2.7582836618197604E-2</c:v>
                </c:pt>
                <c:pt idx="472">
                  <c:v>2.7592393462100573E-2</c:v>
                </c:pt>
                <c:pt idx="473">
                  <c:v>2.7601640689875168E-2</c:v>
                </c:pt>
                <c:pt idx="474">
                  <c:v>2.7610572338566952E-2</c:v>
                </c:pt>
                <c:pt idx="475">
                  <c:v>2.7619182445221657E-2</c:v>
                </c:pt>
                <c:pt idx="476">
                  <c:v>2.7627543582442154E-2</c:v>
                </c:pt>
                <c:pt idx="477">
                  <c:v>2.7635733384080124E-2</c:v>
                </c:pt>
                <c:pt idx="478">
                  <c:v>2.7643753479054248E-2</c:v>
                </c:pt>
                <c:pt idx="479">
                  <c:v>2.7651605496283177E-2</c:v>
                </c:pt>
                <c:pt idx="480">
                  <c:v>2.7659291064685579E-2</c:v>
                </c:pt>
                <c:pt idx="481">
                  <c:v>2.7666811813180148E-2</c:v>
                </c:pt>
                <c:pt idx="482">
                  <c:v>2.7674169370685564E-2</c:v>
                </c:pt>
                <c:pt idx="483">
                  <c:v>2.7681365366120494E-2</c:v>
                </c:pt>
                <c:pt idx="484">
                  <c:v>2.7688401428403564E-2</c:v>
                </c:pt>
                <c:pt idx="485">
                  <c:v>2.7695279186453481E-2</c:v>
                </c:pt>
                <c:pt idx="486">
                  <c:v>2.7702000269188953E-2</c:v>
                </c:pt>
                <c:pt idx="487">
                  <c:v>2.7708566305528565E-2</c:v>
                </c:pt>
                <c:pt idx="488">
                  <c:v>2.7714978924391065E-2</c:v>
                </c:pt>
                <c:pt idx="489">
                  <c:v>2.7721239754695107E-2</c:v>
                </c:pt>
                <c:pt idx="490">
                  <c:v>2.7727350425359329E-2</c:v>
                </c:pt>
                <c:pt idx="491">
                  <c:v>2.7733312565302481E-2</c:v>
                </c:pt>
                <c:pt idx="492">
                  <c:v>2.7739127803443148E-2</c:v>
                </c:pt>
                <c:pt idx="493">
                  <c:v>2.7744797768700036E-2</c:v>
                </c:pt>
                <c:pt idx="494">
                  <c:v>2.7750324089991812E-2</c:v>
                </c:pt>
                <c:pt idx="495">
                  <c:v>2.7755708396237158E-2</c:v>
                </c:pt>
                <c:pt idx="496">
                  <c:v>2.7760952316354753E-2</c:v>
                </c:pt>
                <c:pt idx="497">
                  <c:v>2.7766057479263251E-2</c:v>
                </c:pt>
                <c:pt idx="498">
                  <c:v>2.7771025513881317E-2</c:v>
                </c:pt>
                <c:pt idx="499">
                  <c:v>2.7775858049127661E-2</c:v>
                </c:pt>
                <c:pt idx="500">
                  <c:v>2.7780556713920934E-2</c:v>
                </c:pt>
                <c:pt idx="501">
                  <c:v>2.778512313717979E-2</c:v>
                </c:pt>
                <c:pt idx="502">
                  <c:v>2.7789558947822923E-2</c:v>
                </c:pt>
                <c:pt idx="503">
                  <c:v>2.7793865774768972E-2</c:v>
                </c:pt>
                <c:pt idx="504">
                  <c:v>2.7798045246936659E-2</c:v>
                </c:pt>
                <c:pt idx="505">
                  <c:v>2.7802098993244637E-2</c:v>
                </c:pt>
                <c:pt idx="506">
                  <c:v>2.7806028642611558E-2</c:v>
                </c:pt>
                <c:pt idx="507">
                  <c:v>2.7809835823956117E-2</c:v>
                </c:pt>
                <c:pt idx="508">
                  <c:v>2.7813522166197008E-2</c:v>
                </c:pt>
                <c:pt idx="509">
                  <c:v>2.7817089298252842E-2</c:v>
                </c:pt>
                <c:pt idx="510">
                  <c:v>2.7820538849042314E-2</c:v>
                </c:pt>
                <c:pt idx="511">
                  <c:v>2.7823872447484119E-2</c:v>
                </c:pt>
                <c:pt idx="512">
                  <c:v>2.7827091722496908E-2</c:v>
                </c:pt>
                <c:pt idx="513">
                  <c:v>2.7830198302999334E-2</c:v>
                </c:pt>
                <c:pt idx="514">
                  <c:v>2.7833193817910135E-2</c:v>
                </c:pt>
                <c:pt idx="515">
                  <c:v>2.7836079896147919E-2</c:v>
                </c:pt>
                <c:pt idx="516">
                  <c:v>2.7838858166631397E-2</c:v>
                </c:pt>
                <c:pt idx="517">
                  <c:v>2.7841530258279235E-2</c:v>
                </c:pt>
                <c:pt idx="518">
                  <c:v>2.7844097800010084E-2</c:v>
                </c:pt>
                <c:pt idx="519">
                  <c:v>2.7846562420742599E-2</c:v>
                </c:pt>
                <c:pt idx="520">
                  <c:v>2.7848925749395501E-2</c:v>
                </c:pt>
                <c:pt idx="521">
                  <c:v>2.7851189414887456E-2</c:v>
                </c:pt>
                <c:pt idx="522">
                  <c:v>2.785335504613709E-2</c:v>
                </c:pt>
                <c:pt idx="523">
                  <c:v>2.785542427206314E-2</c:v>
                </c:pt>
                <c:pt idx="524">
                  <c:v>2.7857398721584242E-2</c:v>
                </c:pt>
                <c:pt idx="525">
                  <c:v>2.7859280023619037E-2</c:v>
                </c:pt>
                <c:pt idx="526">
                  <c:v>2.7861069807086247E-2</c:v>
                </c:pt>
                <c:pt idx="527">
                  <c:v>2.7862769700904511E-2</c:v>
                </c:pt>
                <c:pt idx="528">
                  <c:v>2.7864381333992549E-2</c:v>
                </c:pt>
                <c:pt idx="529">
                  <c:v>2.7865906335268975E-2</c:v>
                </c:pt>
                <c:pt idx="530">
                  <c:v>2.786734633365251E-2</c:v>
                </c:pt>
                <c:pt idx="531">
                  <c:v>2.7868702958061792E-2</c:v>
                </c:pt>
                <c:pt idx="532">
                  <c:v>2.7869977837415516E-2</c:v>
                </c:pt>
                <c:pt idx="533">
                  <c:v>2.7871172600632349E-2</c:v>
                </c:pt>
                <c:pt idx="534">
                  <c:v>2.787228887663093E-2</c:v>
                </c:pt>
                <c:pt idx="535">
                  <c:v>2.7873328294329952E-2</c:v>
                </c:pt>
                <c:pt idx="536">
                  <c:v>2.7874292482648097E-2</c:v>
                </c:pt>
                <c:pt idx="537">
                  <c:v>2.7875183070504045E-2</c:v>
                </c:pt>
                <c:pt idx="538">
                  <c:v>2.7876001686816462E-2</c:v>
                </c:pt>
                <c:pt idx="539">
                  <c:v>2.7876749960504016E-2</c:v>
                </c:pt>
                <c:pt idx="540">
                  <c:v>2.7877429520485331E-2</c:v>
                </c:pt>
                <c:pt idx="541">
                  <c:v>2.7878041995679198E-2</c:v>
                </c:pt>
                <c:pt idx="542">
                  <c:v>2.7878589015004146E-2</c:v>
                </c:pt>
                <c:pt idx="543">
                  <c:v>2.7879072207378952E-2</c:v>
                </c:pt>
                <c:pt idx="544">
                  <c:v>2.7879493201722227E-2</c:v>
                </c:pt>
                <c:pt idx="545">
                  <c:v>2.7879853626952694E-2</c:v>
                </c:pt>
                <c:pt idx="546">
                  <c:v>2.7880155111988963E-2</c:v>
                </c:pt>
                <c:pt idx="547">
                  <c:v>2.7880399285749785E-2</c:v>
                </c:pt>
                <c:pt idx="548">
                  <c:v>2.788058777715377E-2</c:v>
                </c:pt>
                <c:pt idx="549">
                  <c:v>2.7880722215119613E-2</c:v>
                </c:pt>
                <c:pt idx="550">
                  <c:v>2.7880804228565981E-2</c:v>
                </c:pt>
                <c:pt idx="551">
                  <c:v>2.7880835446411539E-2</c:v>
                </c:pt>
                <c:pt idx="552">
                  <c:v>2.788081749757497E-2</c:v>
                </c:pt>
                <c:pt idx="553">
                  <c:v>2.7880752010974952E-2</c:v>
                </c:pt>
                <c:pt idx="554">
                  <c:v>2.7880640615530153E-2</c:v>
                </c:pt>
                <c:pt idx="555">
                  <c:v>2.7880484940159198E-2</c:v>
                </c:pt>
                <c:pt idx="556">
                  <c:v>2.7880286613780836E-2</c:v>
                </c:pt>
                <c:pt idx="557">
                  <c:v>2.7880047265313734E-2</c:v>
                </c:pt>
                <c:pt idx="558">
                  <c:v>2.787976852367649E-2</c:v>
                </c:pt>
                <c:pt idx="559">
                  <c:v>2.7879452017787854E-2</c:v>
                </c:pt>
                <c:pt idx="560">
                  <c:v>2.7879099376566421E-2</c:v>
                </c:pt>
                <c:pt idx="561">
                  <c:v>2.787871222893093E-2</c:v>
                </c:pt>
                <c:pt idx="562">
                  <c:v>2.7878292203800017E-2</c:v>
                </c:pt>
                <c:pt idx="563">
                  <c:v>2.7877840930092379E-2</c:v>
                </c:pt>
                <c:pt idx="564">
                  <c:v>2.7877360036726667E-2</c:v>
                </c:pt>
                <c:pt idx="565">
                  <c:v>2.7876851152621562E-2</c:v>
                </c:pt>
                <c:pt idx="566">
                  <c:v>2.7876315906695759E-2</c:v>
                </c:pt>
                <c:pt idx="567">
                  <c:v>2.7875755927867896E-2</c:v>
                </c:pt>
                <c:pt idx="568">
                  <c:v>2.7875172845056612E-2</c:v>
                </c:pt>
                <c:pt idx="569">
                  <c:v>2.7874568287180684E-2</c:v>
                </c:pt>
                <c:pt idx="570">
                  <c:v>2.7873943883158683E-2</c:v>
                </c:pt>
                <c:pt idx="571">
                  <c:v>2.7873301261909317E-2</c:v>
                </c:pt>
                <c:pt idx="572">
                  <c:v>2.7872642052351293E-2</c:v>
                </c:pt>
                <c:pt idx="573">
                  <c:v>2.7871967883403209E-2</c:v>
                </c:pt>
                <c:pt idx="574">
                  <c:v>2.7871280383983843E-2</c:v>
                </c:pt>
                <c:pt idx="575">
                  <c:v>2.787058118301175E-2</c:v>
                </c:pt>
                <c:pt idx="576">
                  <c:v>2.7869871909405652E-2</c:v>
                </c:pt>
                <c:pt idx="577">
                  <c:v>2.7869154192084244E-2</c:v>
                </c:pt>
                <c:pt idx="578">
                  <c:v>2.7868429659966193E-2</c:v>
                </c:pt>
                <c:pt idx="579">
                  <c:v>2.7867699941970123E-2</c:v>
                </c:pt>
                <c:pt idx="580">
                  <c:v>2.7866966667014714E-2</c:v>
                </c:pt>
                <c:pt idx="581">
                  <c:v>2.7866231464018745E-2</c:v>
                </c:pt>
                <c:pt idx="582">
                  <c:v>2.7865495961900758E-2</c:v>
                </c:pt>
                <c:pt idx="583">
                  <c:v>2.7864761789579473E-2</c:v>
                </c:pt>
                <c:pt idx="584">
                  <c:v>2.7864030575973572E-2</c:v>
                </c:pt>
                <c:pt idx="585">
                  <c:v>2.7863303950001694E-2</c:v>
                </c:pt>
                <c:pt idx="586">
                  <c:v>2.7862583540582575E-2</c:v>
                </c:pt>
                <c:pt idx="587">
                  <c:v>2.7861870976634784E-2</c:v>
                </c:pt>
                <c:pt idx="588">
                  <c:v>2.7861167887077126E-2</c:v>
                </c:pt>
                <c:pt idx="589">
                  <c:v>2.7860475900828158E-2</c:v>
                </c:pt>
                <c:pt idx="590">
                  <c:v>2.7859796646806601E-2</c:v>
                </c:pt>
                <c:pt idx="591">
                  <c:v>2.7859131753931149E-2</c:v>
                </c:pt>
                <c:pt idx="592">
                  <c:v>2.7858482851120414E-2</c:v>
                </c:pt>
                <c:pt idx="593">
                  <c:v>2.7857851567293118E-2</c:v>
                </c:pt>
                <c:pt idx="594">
                  <c:v>2.7857239531367914E-2</c:v>
                </c:pt>
                <c:pt idx="595">
                  <c:v>2.7856648372263468E-2</c:v>
                </c:pt>
                <c:pt idx="596">
                  <c:v>2.7856079718898474E-2</c:v>
                </c:pt>
                <c:pt idx="597">
                  <c:v>2.7855535200191572E-2</c:v>
                </c:pt>
                <c:pt idx="598">
                  <c:v>2.7855016445061456E-2</c:v>
                </c:pt>
                <c:pt idx="599">
                  <c:v>2.7854525082426834E-2</c:v>
                </c:pt>
                <c:pt idx="600">
                  <c:v>2.7854062741206304E-2</c:v>
                </c:pt>
                <c:pt idx="601">
                  <c:v>2.7853631050318559E-2</c:v>
                </c:pt>
                <c:pt idx="602">
                  <c:v>2.7853231638682308E-2</c:v>
                </c:pt>
                <c:pt idx="603">
                  <c:v>2.7852866135216189E-2</c:v>
                </c:pt>
                <c:pt idx="604">
                  <c:v>2.7852536168838857E-2</c:v>
                </c:pt>
                <c:pt idx="605">
                  <c:v>2.7852243368469032E-2</c:v>
                </c:pt>
                <c:pt idx="606">
                  <c:v>2.7851989363025409E-2</c:v>
                </c:pt>
                <c:pt idx="607">
                  <c:v>2.7851775781426585E-2</c:v>
                </c:pt>
                <c:pt idx="608">
                  <c:v>2.7851604252591255E-2</c:v>
                </c:pt>
                <c:pt idx="609">
                  <c:v>2.78514764054381E-2</c:v>
                </c:pt>
                <c:pt idx="610">
                  <c:v>2.7851393868885799E-2</c:v>
                </c:pt>
                <c:pt idx="611">
                  <c:v>2.7851358271852977E-2</c:v>
                </c:pt>
                <c:pt idx="612">
                  <c:v>2.7851371243258399E-2</c:v>
                </c:pt>
                <c:pt idx="613">
                  <c:v>2.7851434412020648E-2</c:v>
                </c:pt>
                <c:pt idx="614">
                  <c:v>2.7851549407058432E-2</c:v>
                </c:pt>
                <c:pt idx="615">
                  <c:v>2.7851717857290459E-2</c:v>
                </c:pt>
                <c:pt idx="616">
                  <c:v>2.7851941391635354E-2</c:v>
                </c:pt>
                <c:pt idx="617">
                  <c:v>2.7852221639011757E-2</c:v>
                </c:pt>
                <c:pt idx="618">
                  <c:v>2.7852560228338402E-2</c:v>
                </c:pt>
                <c:pt idx="619">
                  <c:v>2.7852958788533971E-2</c:v>
                </c:pt>
                <c:pt idx="620">
                  <c:v>2.7853418948517061E-2</c:v>
                </c:pt>
                <c:pt idx="621">
                  <c:v>2.7853942337206422E-2</c:v>
                </c:pt>
                <c:pt idx="622">
                  <c:v>2.7854530583520692E-2</c:v>
                </c:pt>
                <c:pt idx="623">
                  <c:v>2.7855185316378511E-2</c:v>
                </c:pt>
                <c:pt idx="624">
                  <c:v>2.7855908164698628E-2</c:v>
                </c:pt>
                <c:pt idx="625">
                  <c:v>2.7856700757399669E-2</c:v>
                </c:pt>
                <c:pt idx="626">
                  <c:v>2.7857564723400272E-2</c:v>
                </c:pt>
                <c:pt idx="627">
                  <c:v>2.7858501691619186E-2</c:v>
                </c:pt>
                <c:pt idx="628">
                  <c:v>2.7859513290974997E-2</c:v>
                </c:pt>
                <c:pt idx="629">
                  <c:v>2.7860601150386438E-2</c:v>
                </c:pt>
                <c:pt idx="630">
                  <c:v>2.7861766898772164E-2</c:v>
                </c:pt>
                <c:pt idx="631">
                  <c:v>2.7863012165050896E-2</c:v>
                </c:pt>
                <c:pt idx="632">
                  <c:v>2.786433857814119E-2</c:v>
                </c:pt>
                <c:pt idx="633">
                  <c:v>2.7865747766961838E-2</c:v>
                </c:pt>
                <c:pt idx="634">
                  <c:v>2.7867241360431422E-2</c:v>
                </c:pt>
                <c:pt idx="635">
                  <c:v>2.7868820987468637E-2</c:v>
                </c:pt>
                <c:pt idx="636">
                  <c:v>2.7870488276992206E-2</c:v>
                </c:pt>
                <c:pt idx="637">
                  <c:v>2.7872244857920767E-2</c:v>
                </c:pt>
                <c:pt idx="638">
                  <c:v>2.7874092359172972E-2</c:v>
                </c:pt>
                <c:pt idx="639">
                  <c:v>2.7876032409667545E-2</c:v>
                </c:pt>
                <c:pt idx="640">
                  <c:v>2.7878066638323096E-2</c:v>
                </c:pt>
                <c:pt idx="641">
                  <c:v>2.7880196674058305E-2</c:v>
                </c:pt>
                <c:pt idx="642">
                  <c:v>2.7882424145791895E-2</c:v>
                </c:pt>
                <c:pt idx="643">
                  <c:v>2.7884750682442491E-2</c:v>
                </c:pt>
                <c:pt idx="644">
                  <c:v>2.7887177912928815E-2</c:v>
                </c:pt>
                <c:pt idx="645">
                  <c:v>2.7889707466169478E-2</c:v>
                </c:pt>
                <c:pt idx="646">
                  <c:v>2.789234097108316E-2</c:v>
                </c:pt>
                <c:pt idx="647">
                  <c:v>2.7895080056588584E-2</c:v>
                </c:pt>
                <c:pt idx="648">
                  <c:v>2.7897926351604388E-2</c:v>
                </c:pt>
                <c:pt idx="649">
                  <c:v>2.7900881485049267E-2</c:v>
                </c:pt>
                <c:pt idx="650">
                  <c:v>2.7903947085841818E-2</c:v>
                </c:pt>
                <c:pt idx="651">
                  <c:v>2.790712478290075E-2</c:v>
                </c:pt>
                <c:pt idx="652">
                  <c:v>2.7910416205144811E-2</c:v>
                </c:pt>
                <c:pt idx="653">
                  <c:v>2.7913822981492614E-2</c:v>
                </c:pt>
                <c:pt idx="654">
                  <c:v>2.7917346740862797E-2</c:v>
                </c:pt>
                <c:pt idx="655">
                  <c:v>2.7920989112174083E-2</c:v>
                </c:pt>
                <c:pt idx="656">
                  <c:v>2.7924751724345109E-2</c:v>
                </c:pt>
                <c:pt idx="657">
                  <c:v>2.7928636206294627E-2</c:v>
                </c:pt>
                <c:pt idx="658">
                  <c:v>2.7932644186941219E-2</c:v>
                </c:pt>
                <c:pt idx="659">
                  <c:v>2.7936777295203524E-2</c:v>
                </c:pt>
                <c:pt idx="660">
                  <c:v>2.794103716000032E-2</c:v>
                </c:pt>
                <c:pt idx="661">
                  <c:v>2.7945425410250246E-2</c:v>
                </c:pt>
                <c:pt idx="662">
                  <c:v>2.7949943674871913E-2</c:v>
                </c:pt>
                <c:pt idx="663">
                  <c:v>2.7954593582784099E-2</c:v>
                </c:pt>
                <c:pt idx="664">
                  <c:v>2.7959376762905414E-2</c:v>
                </c:pt>
                <c:pt idx="665">
                  <c:v>2.7964294844154497E-2</c:v>
                </c:pt>
                <c:pt idx="666">
                  <c:v>2.7969349455450099E-2</c:v>
                </c:pt>
                <c:pt idx="667">
                  <c:v>2.797454222571083E-2</c:v>
                </c:pt>
                <c:pt idx="668">
                  <c:v>2.7979874783855385E-2</c:v>
                </c:pt>
                <c:pt idx="669">
                  <c:v>2.7985348758802431E-2</c:v>
                </c:pt>
                <c:pt idx="670">
                  <c:v>2.7990965779470661E-2</c:v>
                </c:pt>
                <c:pt idx="671">
                  <c:v>2.7996727474778688E-2</c:v>
                </c:pt>
                <c:pt idx="672">
                  <c:v>2.8002635473645288E-2</c:v>
                </c:pt>
                <c:pt idx="673">
                  <c:v>2.8008691404989017E-2</c:v>
                </c:pt>
                <c:pt idx="674">
                  <c:v>2.8014896897728625E-2</c:v>
                </c:pt>
                <c:pt idx="675">
                  <c:v>2.8021253580782723E-2</c:v>
                </c:pt>
                <c:pt idx="676">
                  <c:v>2.8027733867769217E-2</c:v>
                </c:pt>
                <c:pt idx="677">
                  <c:v>2.8034308648577519E-2</c:v>
                </c:pt>
                <c:pt idx="678">
                  <c:v>2.8040977266533665E-2</c:v>
                </c:pt>
                <c:pt idx="679">
                  <c:v>2.8047739064963786E-2</c:v>
                </c:pt>
                <c:pt idx="680">
                  <c:v>2.8054593387193918E-2</c:v>
                </c:pt>
                <c:pt idx="681">
                  <c:v>2.8061539576550165E-2</c:v>
                </c:pt>
                <c:pt idx="682">
                  <c:v>2.8068576976358603E-2</c:v>
                </c:pt>
                <c:pt idx="683">
                  <c:v>2.807570492994528E-2</c:v>
                </c:pt>
                <c:pt idx="684">
                  <c:v>2.8082922780636302E-2</c:v>
                </c:pt>
                <c:pt idx="685">
                  <c:v>2.809022987175773E-2</c:v>
                </c:pt>
                <c:pt idx="686">
                  <c:v>2.8097625546635641E-2</c:v>
                </c:pt>
                <c:pt idx="687">
                  <c:v>2.8105109148596125E-2</c:v>
                </c:pt>
                <c:pt idx="688">
                  <c:v>2.8112680020965258E-2</c:v>
                </c:pt>
                <c:pt idx="689">
                  <c:v>2.8120337507069104E-2</c:v>
                </c:pt>
                <c:pt idx="690">
                  <c:v>2.8128080950233725E-2</c:v>
                </c:pt>
                <c:pt idx="691">
                  <c:v>2.8135909693785238E-2</c:v>
                </c:pt>
                <c:pt idx="692">
                  <c:v>2.8143823081049693E-2</c:v>
                </c:pt>
                <c:pt idx="693">
                  <c:v>2.8151820455353166E-2</c:v>
                </c:pt>
                <c:pt idx="694">
                  <c:v>2.8159901160021733E-2</c:v>
                </c:pt>
                <c:pt idx="695">
                  <c:v>2.8168064538381499E-2</c:v>
                </c:pt>
                <c:pt idx="696">
                  <c:v>2.8176309933758498E-2</c:v>
                </c:pt>
                <c:pt idx="697">
                  <c:v>2.818463668947882E-2</c:v>
                </c:pt>
                <c:pt idx="698">
                  <c:v>2.8193044148868557E-2</c:v>
                </c:pt>
                <c:pt idx="699">
                  <c:v>2.8201531655253798E-2</c:v>
                </c:pt>
                <c:pt idx="700">
                  <c:v>2.8210098551960563E-2</c:v>
                </c:pt>
                <c:pt idx="701">
                  <c:v>2.8218744182314986E-2</c:v>
                </c:pt>
                <c:pt idx="702">
                  <c:v>2.8227467889643129E-2</c:v>
                </c:pt>
                <c:pt idx="703">
                  <c:v>2.8236269017271026E-2</c:v>
                </c:pt>
                <c:pt idx="704">
                  <c:v>2.8245146908524824E-2</c:v>
                </c:pt>
                <c:pt idx="705">
                  <c:v>2.8254100906730542E-2</c:v>
                </c:pt>
                <c:pt idx="706">
                  <c:v>2.8263130355214272E-2</c:v>
                </c:pt>
                <c:pt idx="707">
                  <c:v>2.8272234597302118E-2</c:v>
                </c:pt>
                <c:pt idx="708">
                  <c:v>2.8281412976320155E-2</c:v>
                </c:pt>
                <c:pt idx="709">
                  <c:v>2.8290664835594392E-2</c:v>
                </c:pt>
                <c:pt idx="710">
                  <c:v>2.8299989518450974E-2</c:v>
                </c:pt>
                <c:pt idx="711">
                  <c:v>2.8309386368215977E-2</c:v>
                </c:pt>
                <c:pt idx="712">
                  <c:v>2.8318854728215409E-2</c:v>
                </c:pt>
                <c:pt idx="713">
                  <c:v>2.8328393941775443E-2</c:v>
                </c:pt>
                <c:pt idx="714">
                  <c:v>2.8338003352222085E-2</c:v>
                </c:pt>
                <c:pt idx="715">
                  <c:v>2.8347682302881413E-2</c:v>
                </c:pt>
                <c:pt idx="716">
                  <c:v>2.8357430137079559E-2</c:v>
                </c:pt>
                <c:pt idx="717">
                  <c:v>2.8367246198142557E-2</c:v>
                </c:pt>
                <c:pt idx="718">
                  <c:v>2.8377129829396511E-2</c:v>
                </c:pt>
                <c:pt idx="719">
                  <c:v>2.8387080374167456E-2</c:v>
                </c:pt>
                <c:pt idx="720">
                  <c:v>2.8397097175781497E-2</c:v>
                </c:pt>
                <c:pt idx="721">
                  <c:v>2.8407179577564695E-2</c:v>
                </c:pt>
                <c:pt idx="722">
                  <c:v>2.8417326922843156E-2</c:v>
                </c:pt>
                <c:pt idx="723">
                  <c:v>2.8427538554942913E-2</c:v>
                </c:pt>
                <c:pt idx="724">
                  <c:v>2.8437813817190072E-2</c:v>
                </c:pt>
                <c:pt idx="725">
                  <c:v>2.8448152052910708E-2</c:v>
                </c:pt>
                <c:pt idx="726">
                  <c:v>2.8458552605430926E-2</c:v>
                </c:pt>
                <c:pt idx="727">
                  <c:v>2.8469014818076732E-2</c:v>
                </c:pt>
                <c:pt idx="728">
                  <c:v>2.8479538034174245E-2</c:v>
                </c:pt>
                <c:pt idx="729">
                  <c:v>2.8490121597049528E-2</c:v>
                </c:pt>
                <c:pt idx="730">
                  <c:v>2.8500764850028698E-2</c:v>
                </c:pt>
                <c:pt idx="731">
                  <c:v>2.8511467136437763E-2</c:v>
                </c:pt>
                <c:pt idx="732">
                  <c:v>2.8522227799602867E-2</c:v>
                </c:pt>
                <c:pt idx="733">
                  <c:v>2.8533046182850019E-2</c:v>
                </c:pt>
                <c:pt idx="734">
                  <c:v>2.8543921629505378E-2</c:v>
                </c:pt>
                <c:pt idx="735">
                  <c:v>2.8554853482894951E-2</c:v>
                </c:pt>
                <c:pt idx="736">
                  <c:v>2.8565841086344856E-2</c:v>
                </c:pt>
                <c:pt idx="737">
                  <c:v>2.8576883783181128E-2</c:v>
                </c:pt>
                <c:pt idx="738">
                  <c:v>2.8587980916729872E-2</c:v>
                </c:pt>
                <c:pt idx="739">
                  <c:v>2.859913183031719E-2</c:v>
                </c:pt>
                <c:pt idx="740">
                  <c:v>2.8610335867269077E-2</c:v>
                </c:pt>
                <c:pt idx="741">
                  <c:v>2.8621592370911705E-2</c:v>
                </c:pt>
                <c:pt idx="742">
                  <c:v>2.8632900684571083E-2</c:v>
                </c:pt>
                <c:pt idx="743">
                  <c:v>2.86442601515733E-2</c:v>
                </c:pt>
                <c:pt idx="744">
                  <c:v>2.8655670115244475E-2</c:v>
                </c:pt>
                <c:pt idx="745">
                  <c:v>2.8667129918910655E-2</c:v>
                </c:pt>
                <c:pt idx="746">
                  <c:v>2.8678638905897891E-2</c:v>
                </c:pt>
                <c:pt idx="747">
                  <c:v>2.8690196419532271E-2</c:v>
                </c:pt>
                <c:pt idx="748">
                  <c:v>2.8701801803139942E-2</c:v>
                </c:pt>
                <c:pt idx="749">
                  <c:v>2.871345440004687E-2</c:v>
                </c:pt>
                <c:pt idx="750">
                  <c:v>2.8725153553579214E-2</c:v>
                </c:pt>
                <c:pt idx="751">
                  <c:v>2.8736898607062994E-2</c:v>
                </c:pt>
                <c:pt idx="752">
                  <c:v>2.8748688903824329E-2</c:v>
                </c:pt>
                <c:pt idx="753">
                  <c:v>2.8760523787189296E-2</c:v>
                </c:pt>
                <c:pt idx="754">
                  <c:v>2.8772402600483915E-2</c:v>
                </c:pt>
                <c:pt idx="755">
                  <c:v>2.8784324687034346E-2</c:v>
                </c:pt>
                <c:pt idx="756">
                  <c:v>2.8796289390166624E-2</c:v>
                </c:pt>
                <c:pt idx="757">
                  <c:v>2.8808296053206783E-2</c:v>
                </c:pt>
                <c:pt idx="758">
                  <c:v>2.882034401948097E-2</c:v>
                </c:pt>
                <c:pt idx="759">
                  <c:v>2.8832432632315247E-2</c:v>
                </c:pt>
                <c:pt idx="760">
                  <c:v>2.8844561235035648E-2</c:v>
                </c:pt>
                <c:pt idx="761">
                  <c:v>2.8856729170968265E-2</c:v>
                </c:pt>
                <c:pt idx="762">
                  <c:v>2.8868935783439201E-2</c:v>
                </c:pt>
                <c:pt idx="763">
                  <c:v>2.8881180415774532E-2</c:v>
                </c:pt>
                <c:pt idx="764">
                  <c:v>2.8893462411300308E-2</c:v>
                </c:pt>
                <c:pt idx="765">
                  <c:v>2.8905781113342632E-2</c:v>
                </c:pt>
                <c:pt idx="766">
                  <c:v>2.8918135865227554E-2</c:v>
                </c:pt>
                <c:pt idx="767">
                  <c:v>2.8930526010281177E-2</c:v>
                </c:pt>
                <c:pt idx="768">
                  <c:v>2.8942950891829564E-2</c:v>
                </c:pt>
                <c:pt idx="769">
                  <c:v>2.8955409853198777E-2</c:v>
                </c:pt>
                <c:pt idx="770">
                  <c:v>2.8967902237714921E-2</c:v>
                </c:pt>
                <c:pt idx="771">
                  <c:v>2.8980427388704044E-2</c:v>
                </c:pt>
                <c:pt idx="772">
                  <c:v>2.8992984649492265E-2</c:v>
                </c:pt>
                <c:pt idx="773">
                  <c:v>2.9005573363405562E-2</c:v>
                </c:pt>
                <c:pt idx="774">
                  <c:v>2.9018192873770152E-2</c:v>
                </c:pt>
                <c:pt idx="775">
                  <c:v>2.9030842523912026E-2</c:v>
                </c:pt>
                <c:pt idx="776">
                  <c:v>2.904352165715729E-2</c:v>
                </c:pt>
                <c:pt idx="777">
                  <c:v>2.9056229616831949E-2</c:v>
                </c:pt>
                <c:pt idx="778">
                  <c:v>2.9068965746262193E-2</c:v>
                </c:pt>
                <c:pt idx="779">
                  <c:v>2.9081729388774041E-2</c:v>
                </c:pt>
                <c:pt idx="780">
                  <c:v>2.9094519887693515E-2</c:v>
                </c:pt>
                <c:pt idx="781">
                  <c:v>2.9107336586346816E-2</c:v>
                </c:pt>
                <c:pt idx="782">
                  <c:v>2.9120178828059951E-2</c:v>
                </c:pt>
                <c:pt idx="783">
                  <c:v>2.9133045956158954E-2</c:v>
                </c:pt>
                <c:pt idx="784">
                  <c:v>2.9145937313969944E-2</c:v>
                </c:pt>
                <c:pt idx="785">
                  <c:v>2.9158852244819053E-2</c:v>
                </c:pt>
                <c:pt idx="786">
                  <c:v>2.9171790092032274E-2</c:v>
                </c:pt>
                <c:pt idx="787">
                  <c:v>2.9184750198935711E-2</c:v>
                </c:pt>
                <c:pt idx="788">
                  <c:v>2.919773190885544E-2</c:v>
                </c:pt>
                <c:pt idx="789">
                  <c:v>2.9210734565117538E-2</c:v>
                </c:pt>
                <c:pt idx="790">
                  <c:v>2.9223757511048082E-2</c:v>
                </c:pt>
                <c:pt idx="791">
                  <c:v>2.9236800089973161E-2</c:v>
                </c:pt>
                <c:pt idx="792">
                  <c:v>2.9249861645218866E-2</c:v>
                </c:pt>
                <c:pt idx="793">
                  <c:v>2.9262941520111233E-2</c:v>
                </c:pt>
                <c:pt idx="794">
                  <c:v>2.9276039057976322E-2</c:v>
                </c:pt>
                <c:pt idx="795">
                  <c:v>2.9289153602140267E-2</c:v>
                </c:pt>
                <c:pt idx="796">
                  <c:v>2.9302284495929143E-2</c:v>
                </c:pt>
                <c:pt idx="797">
                  <c:v>2.9315431082668958E-2</c:v>
                </c:pt>
                <c:pt idx="798">
                  <c:v>2.9328592705685858E-2</c:v>
                </c:pt>
                <c:pt idx="799">
                  <c:v>2.9341768708305876E-2</c:v>
                </c:pt>
                <c:pt idx="800">
                  <c:v>2.9354958433855133E-2</c:v>
                </c:pt>
                <c:pt idx="801">
                  <c:v>2.9368161225659675E-2</c:v>
                </c:pt>
                <c:pt idx="802">
                  <c:v>2.938137642704558E-2</c:v>
                </c:pt>
                <c:pt idx="803">
                  <c:v>2.9394603381338924E-2</c:v>
                </c:pt>
                <c:pt idx="804">
                  <c:v>2.9407841431865769E-2</c:v>
                </c:pt>
                <c:pt idx="805">
                  <c:v>2.9421089921952234E-2</c:v>
                </c:pt>
                <c:pt idx="806">
                  <c:v>2.9434348194924381E-2</c:v>
                </c:pt>
                <c:pt idx="807">
                  <c:v>2.9447615594108273E-2</c:v>
                </c:pt>
                <c:pt idx="808">
                  <c:v>2.9460891462829986E-2</c:v>
                </c:pt>
                <c:pt idx="809">
                  <c:v>2.9474175144415596E-2</c:v>
                </c:pt>
                <c:pt idx="810">
                  <c:v>2.9487465982191194E-2</c:v>
                </c:pt>
                <c:pt idx="811">
                  <c:v>2.9500763319482814E-2</c:v>
                </c:pt>
                <c:pt idx="812">
                  <c:v>2.9514066499616576E-2</c:v>
                </c:pt>
                <c:pt idx="813">
                  <c:v>2.9527374865918582E-2</c:v>
                </c:pt>
                <c:pt idx="814">
                  <c:v>2.954068776171484E-2</c:v>
                </c:pt>
                <c:pt idx="815">
                  <c:v>2.9554004530331468E-2</c:v>
                </c:pt>
                <c:pt idx="816">
                  <c:v>2.9567324515094556E-2</c:v>
                </c:pt>
                <c:pt idx="817">
                  <c:v>2.958064705933014E-2</c:v>
                </c:pt>
                <c:pt idx="818">
                  <c:v>2.9593971506364308E-2</c:v>
                </c:pt>
                <c:pt idx="819">
                  <c:v>2.9607297199523153E-2</c:v>
                </c:pt>
                <c:pt idx="820">
                  <c:v>2.9620623482132749E-2</c:v>
                </c:pt>
                <c:pt idx="821">
                  <c:v>2.9633949697519174E-2</c:v>
                </c:pt>
                <c:pt idx="822">
                  <c:v>2.9647275189008476E-2</c:v>
                </c:pt>
                <c:pt idx="823">
                  <c:v>2.9660599299926746E-2</c:v>
                </c:pt>
                <c:pt idx="824">
                  <c:v>2.9673921373600073E-2</c:v>
                </c:pt>
                <c:pt idx="825">
                  <c:v>2.9687240753354549E-2</c:v>
                </c:pt>
                <c:pt idx="826">
                  <c:v>2.9700556782516194E-2</c:v>
                </c:pt>
                <c:pt idx="827">
                  <c:v>2.9713868804411153E-2</c:v>
                </c:pt>
                <c:pt idx="828">
                  <c:v>2.9727176162365476E-2</c:v>
                </c:pt>
                <c:pt idx="829">
                  <c:v>2.9740478199705198E-2</c:v>
                </c:pt>
                <c:pt idx="830">
                  <c:v>2.9753774259756435E-2</c:v>
                </c:pt>
                <c:pt idx="831">
                  <c:v>2.9767063685845266E-2</c:v>
                </c:pt>
                <c:pt idx="832">
                  <c:v>2.9780345821297752E-2</c:v>
                </c:pt>
                <c:pt idx="833">
                  <c:v>2.9793620009440011E-2</c:v>
                </c:pt>
                <c:pt idx="834">
                  <c:v>2.9806885593598037E-2</c:v>
                </c:pt>
                <c:pt idx="835">
                  <c:v>2.9820141917097975E-2</c:v>
                </c:pt>
                <c:pt idx="836">
                  <c:v>2.9833388323265889E-2</c:v>
                </c:pt>
                <c:pt idx="837">
                  <c:v>2.9846624155427839E-2</c:v>
                </c:pt>
                <c:pt idx="838">
                  <c:v>2.9859848756909932E-2</c:v>
                </c:pt>
                <c:pt idx="839">
                  <c:v>2.9873061471038201E-2</c:v>
                </c:pt>
                <c:pt idx="840">
                  <c:v>2.988626164113875E-2</c:v>
                </c:pt>
                <c:pt idx="841">
                  <c:v>2.9899448610537643E-2</c:v>
                </c:pt>
                <c:pt idx="842">
                  <c:v>2.9912621722561011E-2</c:v>
                </c:pt>
                <c:pt idx="843">
                  <c:v>2.9925780320534806E-2</c:v>
                </c:pt>
                <c:pt idx="844">
                  <c:v>2.9938923747785257E-2</c:v>
                </c:pt>
                <c:pt idx="845">
                  <c:v>2.9952051347638287E-2</c:v>
                </c:pt>
                <c:pt idx="846">
                  <c:v>2.9965162463420125E-2</c:v>
                </c:pt>
                <c:pt idx="847">
                  <c:v>2.9978256438456752E-2</c:v>
                </c:pt>
                <c:pt idx="848">
                  <c:v>2.9991332616074257E-2</c:v>
                </c:pt>
                <c:pt idx="849">
                  <c:v>3.0004390339598758E-2</c:v>
                </c:pt>
                <c:pt idx="850">
                  <c:v>3.0017428952356262E-2</c:v>
                </c:pt>
                <c:pt idx="851">
                  <c:v>3.0030447797672888E-2</c:v>
                </c:pt>
                <c:pt idx="852">
                  <c:v>3.004344621887467E-2</c:v>
                </c:pt>
                <c:pt idx="853">
                  <c:v>3.0056423559287782E-2</c:v>
                </c:pt>
                <c:pt idx="854">
                  <c:v>3.006937916223823E-2</c:v>
                </c:pt>
                <c:pt idx="855">
                  <c:v>3.0082312371052106E-2</c:v>
                </c:pt>
                <c:pt idx="856">
                  <c:v>3.0095222529055471E-2</c:v>
                </c:pt>
                <c:pt idx="857">
                  <c:v>3.0108108979574416E-2</c:v>
                </c:pt>
                <c:pt idx="858">
                  <c:v>3.0120971065935004E-2</c:v>
                </c:pt>
                <c:pt idx="859">
                  <c:v>3.0133808131463324E-2</c:v>
                </c:pt>
                <c:pt idx="860">
                  <c:v>3.014661951948544E-2</c:v>
                </c:pt>
                <c:pt idx="861">
                  <c:v>3.015940457332747E-2</c:v>
                </c:pt>
                <c:pt idx="862">
                  <c:v>3.0172162636315447E-2</c:v>
                </c:pt>
                <c:pt idx="863">
                  <c:v>3.0184893051775463E-2</c:v>
                </c:pt>
                <c:pt idx="864">
                  <c:v>3.0197595163033553E-2</c:v>
                </c:pt>
                <c:pt idx="865">
                  <c:v>3.0210268313415889E-2</c:v>
                </c:pt>
                <c:pt idx="866">
                  <c:v>3.0222911846248424E-2</c:v>
                </c:pt>
                <c:pt idx="867">
                  <c:v>3.0235525104857386E-2</c:v>
                </c:pt>
                <c:pt idx="868">
                  <c:v>3.0248107432568727E-2</c:v>
                </c:pt>
                <c:pt idx="869">
                  <c:v>3.0260658172708566E-2</c:v>
                </c:pt>
                <c:pt idx="870">
                  <c:v>3.0273176668602936E-2</c:v>
                </c:pt>
                <c:pt idx="871">
                  <c:v>3.0285662263577984E-2</c:v>
                </c:pt>
                <c:pt idx="872">
                  <c:v>3.0298114300959772E-2</c:v>
                </c:pt>
                <c:pt idx="873">
                  <c:v>3.0310532124074363E-2</c:v>
                </c:pt>
                <c:pt idx="874">
                  <c:v>3.0322915076247792E-2</c:v>
                </c:pt>
                <c:pt idx="875">
                  <c:v>3.0335262500806204E-2</c:v>
                </c:pt>
                <c:pt idx="876">
                  <c:v>3.0347573741075662E-2</c:v>
                </c:pt>
                <c:pt idx="877">
                  <c:v>3.0359848140382201E-2</c:v>
                </c:pt>
                <c:pt idx="878">
                  <c:v>3.0372085042051966E-2</c:v>
                </c:pt>
                <c:pt idx="879">
                  <c:v>3.0384283789410937E-2</c:v>
                </c:pt>
                <c:pt idx="880">
                  <c:v>3.039644372578526E-2</c:v>
                </c:pt>
                <c:pt idx="881">
                  <c:v>3.0408564194500998E-2</c:v>
                </c:pt>
                <c:pt idx="882">
                  <c:v>3.0420644538884212E-2</c:v>
                </c:pt>
                <c:pt idx="883">
                  <c:v>3.0432684102261021E-2</c:v>
                </c:pt>
                <c:pt idx="884">
                  <c:v>3.0444682227957487E-2</c:v>
                </c:pt>
                <c:pt idx="885">
                  <c:v>3.0456638259299618E-2</c:v>
                </c:pt>
                <c:pt idx="886">
                  <c:v>3.0468551539613559E-2</c:v>
                </c:pt>
                <c:pt idx="887">
                  <c:v>3.0480421412225372E-2</c:v>
                </c:pt>
                <c:pt idx="888">
                  <c:v>3.0492247220461205E-2</c:v>
                </c:pt>
                <c:pt idx="889">
                  <c:v>3.0504028307647008E-2</c:v>
                </c:pt>
                <c:pt idx="890">
                  <c:v>3.0515764017108926E-2</c:v>
                </c:pt>
                <c:pt idx="891">
                  <c:v>3.0527453692173023E-2</c:v>
                </c:pt>
                <c:pt idx="892">
                  <c:v>3.0539096676165306E-2</c:v>
                </c:pt>
                <c:pt idx="893">
                  <c:v>3.0550692312412003E-2</c:v>
                </c:pt>
                <c:pt idx="894">
                  <c:v>3.0562239944239095E-2</c:v>
                </c:pt>
                <c:pt idx="895">
                  <c:v>3.057373891497267E-2</c:v>
                </c:pt>
                <c:pt idx="896">
                  <c:v>3.0585188567938792E-2</c:v>
                </c:pt>
                <c:pt idx="897">
                  <c:v>3.0596588246463552E-2</c:v>
                </c:pt>
                <c:pt idx="898">
                  <c:v>3.0607937293873039E-2</c:v>
                </c:pt>
                <c:pt idx="899">
                  <c:v>3.0619235053493316E-2</c:v>
                </c:pt>
                <c:pt idx="900">
                  <c:v>3.0630480868650417E-2</c:v>
                </c:pt>
                <c:pt idx="901">
                  <c:v>3.0641674082670517E-2</c:v>
                </c:pt>
                <c:pt idx="902">
                  <c:v>3.0652814038879678E-2</c:v>
                </c:pt>
                <c:pt idx="903">
                  <c:v>3.0663900080603851E-2</c:v>
                </c:pt>
                <c:pt idx="904">
                  <c:v>3.0674931551169238E-2</c:v>
                </c:pt>
                <c:pt idx="905">
                  <c:v>3.0685907793901845E-2</c:v>
                </c:pt>
                <c:pt idx="906">
                  <c:v>3.0696828152127792E-2</c:v>
                </c:pt>
                <c:pt idx="907">
                  <c:v>3.0707691969173195E-2</c:v>
                </c:pt>
                <c:pt idx="908">
                  <c:v>3.0718498588364007E-2</c:v>
                </c:pt>
                <c:pt idx="909">
                  <c:v>3.0729247353026429E-2</c:v>
                </c:pt>
                <c:pt idx="910">
                  <c:v>3.0739937606486439E-2</c:v>
                </c:pt>
                <c:pt idx="911">
                  <c:v>3.0750568692070185E-2</c:v>
                </c:pt>
                <c:pt idx="912">
                  <c:v>3.0761139953103728E-2</c:v>
                </c:pt>
                <c:pt idx="913">
                  <c:v>3.0771650732913075E-2</c:v>
                </c:pt>
                <c:pt idx="914">
                  <c:v>3.07821003748244E-2</c:v>
                </c:pt>
                <c:pt idx="915">
                  <c:v>3.0792488222163794E-2</c:v>
                </c:pt>
                <c:pt idx="916">
                  <c:v>3.0802813618257235E-2</c:v>
                </c:pt>
                <c:pt idx="917">
                  <c:v>3.0813075906430815E-2</c:v>
                </c:pt>
                <c:pt idx="918">
                  <c:v>3.0823274430010678E-2</c:v>
                </c:pt>
                <c:pt idx="919">
                  <c:v>3.0833408532322859E-2</c:v>
                </c:pt>
                <c:pt idx="920">
                  <c:v>3.0843477556693422E-2</c:v>
                </c:pt>
                <c:pt idx="921">
                  <c:v>3.0853480846448456E-2</c:v>
                </c:pt>
                <c:pt idx="922">
                  <c:v>3.0863417744914051E-2</c:v>
                </c:pt>
                <c:pt idx="923">
                  <c:v>3.0873287595416271E-2</c:v>
                </c:pt>
                <c:pt idx="924">
                  <c:v>3.0883089741281233E-2</c:v>
                </c:pt>
                <c:pt idx="925">
                  <c:v>3.0892823525834973E-2</c:v>
                </c:pt>
                <c:pt idx="926">
                  <c:v>3.0902488292403496E-2</c:v>
                </c:pt>
                <c:pt idx="927">
                  <c:v>3.0912083384313005E-2</c:v>
                </c:pt>
                <c:pt idx="928">
                  <c:v>3.0921608144889534E-2</c:v>
                </c:pt>
                <c:pt idx="929">
                  <c:v>3.0931061917459146E-2</c:v>
                </c:pt>
                <c:pt idx="930">
                  <c:v>3.0940444045347931E-2</c:v>
                </c:pt>
                <c:pt idx="931">
                  <c:v>3.0949753871881924E-2</c:v>
                </c:pt>
                <c:pt idx="932">
                  <c:v>3.0958990740387271E-2</c:v>
                </c:pt>
                <c:pt idx="933">
                  <c:v>3.0968153994189979E-2</c:v>
                </c:pt>
                <c:pt idx="934">
                  <c:v>3.0977242976616137E-2</c:v>
                </c:pt>
                <c:pt idx="935">
                  <c:v>3.0986257030991893E-2</c:v>
                </c:pt>
                <c:pt idx="936">
                  <c:v>3.0995195500643252E-2</c:v>
                </c:pt>
                <c:pt idx="937">
                  <c:v>3.1004057728896361E-2</c:v>
                </c:pt>
                <c:pt idx="938">
                  <c:v>3.1012843059077172E-2</c:v>
                </c:pt>
                <c:pt idx="939">
                  <c:v>3.1021550834511857E-2</c:v>
                </c:pt>
                <c:pt idx="940">
                  <c:v>3.103018039852648E-2</c:v>
                </c:pt>
                <c:pt idx="941">
                  <c:v>3.1038731094447103E-2</c:v>
                </c:pt>
                <c:pt idx="942">
                  <c:v>3.1047202265599844E-2</c:v>
                </c:pt>
                <c:pt idx="943">
                  <c:v>3.1055593255310709E-2</c:v>
                </c:pt>
                <c:pt idx="944">
                  <c:v>3.1063903406905818E-2</c:v>
                </c:pt>
                <c:pt idx="945">
                  <c:v>3.1072132063711233E-2</c:v>
                </c:pt>
                <c:pt idx="946">
                  <c:v>3.1080278569053044E-2</c:v>
                </c:pt>
                <c:pt idx="947">
                  <c:v>3.1088342266257285E-2</c:v>
                </c:pt>
                <c:pt idx="948">
                  <c:v>3.1096322498650131E-2</c:v>
                </c:pt>
                <c:pt idx="949">
                  <c:v>3.110421860955756E-2</c:v>
                </c:pt>
                <c:pt idx="950">
                  <c:v>3.1112029942305663E-2</c:v>
                </c:pt>
                <c:pt idx="951">
                  <c:v>3.1119755840220586E-2</c:v>
                </c:pt>
                <c:pt idx="952">
                  <c:v>3.1127395646628336E-2</c:v>
                </c:pt>
                <c:pt idx="953">
                  <c:v>3.1134948704855003E-2</c:v>
                </c:pt>
                <c:pt idx="954">
                  <c:v>3.114241435822665E-2</c:v>
                </c:pt>
                <c:pt idx="955">
                  <c:v>3.1149791950069422E-2</c:v>
                </c:pt>
                <c:pt idx="956">
                  <c:v>3.1157080823709327E-2</c:v>
                </c:pt>
                <c:pt idx="957">
                  <c:v>3.1164280322472454E-2</c:v>
                </c:pt>
                <c:pt idx="958">
                  <c:v>3.1171389789684895E-2</c:v>
                </c:pt>
                <c:pt idx="959">
                  <c:v>3.1178408568672711E-2</c:v>
                </c:pt>
                <c:pt idx="960">
                  <c:v>3.1185336002761993E-2</c:v>
                </c:pt>
                <c:pt idx="961">
                  <c:v>3.1192171435278832E-2</c:v>
                </c:pt>
                <c:pt idx="962">
                  <c:v>3.1198914209549261E-2</c:v>
                </c:pt>
                <c:pt idx="963">
                  <c:v>3.1205563668899428E-2</c:v>
                </c:pt>
                <c:pt idx="964">
                  <c:v>3.121211915665531E-2</c:v>
                </c:pt>
                <c:pt idx="965">
                  <c:v>3.1218580016143055E-2</c:v>
                </c:pt>
                <c:pt idx="966">
                  <c:v>3.1224945590688696E-2</c:v>
                </c:pt>
                <c:pt idx="967">
                  <c:v>3.1231215223618325E-2</c:v>
                </c:pt>
                <c:pt idx="968">
                  <c:v>3.1237388258258086E-2</c:v>
                </c:pt>
                <c:pt idx="969">
                  <c:v>3.1243464037933932E-2</c:v>
                </c:pt>
                <c:pt idx="970">
                  <c:v>3.1249441905972036E-2</c:v>
                </c:pt>
                <c:pt idx="971">
                  <c:v>3.1255321205698461E-2</c:v>
                </c:pt>
                <c:pt idx="972">
                  <c:v>3.1261101280439269E-2</c:v>
                </c:pt>
                <c:pt idx="973">
                  <c:v>3.1266781473520466E-2</c:v>
                </c:pt>
                <c:pt idx="974">
                  <c:v>3.1272361128268256E-2</c:v>
                </c:pt>
                <c:pt idx="975">
                  <c:v>3.127783958800865E-2</c:v>
                </c:pt>
                <c:pt idx="976">
                  <c:v>3.1283266028618813E-2</c:v>
                </c:pt>
                <c:pt idx="977">
                  <c:v>3.1288690064025099E-2</c:v>
                </c:pt>
                <c:pt idx="978">
                  <c:v>3.1294111694627341E-2</c:v>
                </c:pt>
                <c:pt idx="979">
                  <c:v>3.1299530920825346E-2</c:v>
                </c:pt>
                <c:pt idx="980">
                  <c:v>3.1304947743018952E-2</c:v>
                </c:pt>
                <c:pt idx="981">
                  <c:v>3.1310362161607971E-2</c:v>
                </c:pt>
                <c:pt idx="982">
                  <c:v>3.1315774176992231E-2</c:v>
                </c:pt>
                <c:pt idx="983">
                  <c:v>3.1321183789571556E-2</c:v>
                </c:pt>
                <c:pt idx="984">
                  <c:v>3.1326590999745774E-2</c:v>
                </c:pt>
                <c:pt idx="985">
                  <c:v>3.1331995807914695E-2</c:v>
                </c:pt>
                <c:pt idx="986">
                  <c:v>3.1337398214478153E-2</c:v>
                </c:pt>
                <c:pt idx="987">
                  <c:v>3.1342798219835974E-2</c:v>
                </c:pt>
                <c:pt idx="988">
                  <c:v>3.134819582438797E-2</c:v>
                </c:pt>
                <c:pt idx="989">
                  <c:v>3.1353591028533974E-2</c:v>
                </c:pt>
                <c:pt idx="990">
                  <c:v>3.1358983832673805E-2</c:v>
                </c:pt>
                <c:pt idx="991">
                  <c:v>3.1364374237207289E-2</c:v>
                </c:pt>
                <c:pt idx="992">
                  <c:v>3.1369762242534245E-2</c:v>
                </c:pt>
                <c:pt idx="993">
                  <c:v>3.1375147849054499E-2</c:v>
                </c:pt>
                <c:pt idx="994">
                  <c:v>3.1380531057167878E-2</c:v>
                </c:pt>
                <c:pt idx="995">
                  <c:v>3.1385911867274192E-2</c:v>
                </c:pt>
                <c:pt idx="996">
                  <c:v>3.1391290279773283E-2</c:v>
                </c:pt>
                <c:pt idx="997">
                  <c:v>3.1396666295064962E-2</c:v>
                </c:pt>
                <c:pt idx="998">
                  <c:v>3.1402039913549055E-2</c:v>
                </c:pt>
                <c:pt idx="999">
                  <c:v>3.1407411135625389E-2</c:v>
                </c:pt>
                <c:pt idx="1000">
                  <c:v>3.1412779961693782E-2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D-4120-BD51-57EFAF6D3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21584"/>
        <c:axId val="996707184"/>
      </c:scatterChart>
      <c:valAx>
        <c:axId val="996721584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707184"/>
        <c:crosses val="autoZero"/>
        <c:crossBetween val="midCat"/>
      </c:valAx>
      <c:valAx>
        <c:axId val="996707184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721584"/>
        <c:crosses val="autoZero"/>
        <c:crossBetween val="midCat"/>
        <c:majorUnit val="1.0000000000000002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23</xdr:row>
      <xdr:rowOff>180975</xdr:rowOff>
    </xdr:from>
    <xdr:to>
      <xdr:col>22</xdr:col>
      <xdr:colOff>481013</xdr:colOff>
      <xdr:row>51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319A4-9EE2-48CF-A0E2-48C672448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C6F1-7440-4C65-AF1D-58694D1D5599}">
  <dimension ref="A1:AB66"/>
  <sheetViews>
    <sheetView tabSelected="1" workbookViewId="0">
      <selection activeCell="A2" sqref="A2"/>
    </sheetView>
  </sheetViews>
  <sheetFormatPr defaultRowHeight="15" x14ac:dyDescent="0.25"/>
  <cols>
    <col min="4" max="4" width="9.28515625" bestFit="1" customWidth="1"/>
    <col min="5" max="5" width="11.42578125" bestFit="1" customWidth="1"/>
    <col min="7" max="7" width="10" customWidth="1"/>
    <col min="8" max="8" width="9.85546875" bestFit="1" customWidth="1"/>
    <col min="9" max="9" width="11.7109375" bestFit="1" customWidth="1"/>
    <col min="10" max="10" width="11.85546875" bestFit="1" customWidth="1"/>
    <col min="11" max="11" width="11.7109375" bestFit="1" customWidth="1"/>
    <col min="13" max="13" width="10.7109375" customWidth="1"/>
  </cols>
  <sheetData>
    <row r="1" spans="1:28" s="5" customFormat="1" x14ac:dyDescent="0.25">
      <c r="A1" s="5" t="s">
        <v>24</v>
      </c>
    </row>
    <row r="2" spans="1:28" x14ac:dyDescent="0.25">
      <c r="A2" t="s">
        <v>15</v>
      </c>
      <c r="B2" t="s">
        <v>9</v>
      </c>
      <c r="C2" t="s">
        <v>16</v>
      </c>
      <c r="D2" t="s">
        <v>75</v>
      </c>
      <c r="E2" t="s">
        <v>74</v>
      </c>
      <c r="G2" t="s">
        <v>11</v>
      </c>
    </row>
    <row r="3" spans="1:28" x14ac:dyDescent="0.25">
      <c r="A3" t="s">
        <v>14</v>
      </c>
      <c r="B3" s="7">
        <v>0.25</v>
      </c>
      <c r="C3" s="2">
        <v>2.53E-2</v>
      </c>
      <c r="D3" s="9">
        <f t="array" ref="D3:D10">TRANSPOSE(Bootstrap!A308:H308)</f>
        <v>2.53E-2</v>
      </c>
      <c r="E3" s="6">
        <v>24.842251701693385</v>
      </c>
      <c r="G3" t="s">
        <v>12</v>
      </c>
    </row>
    <row r="4" spans="1:28" x14ac:dyDescent="0.25">
      <c r="A4" t="s">
        <v>0</v>
      </c>
      <c r="B4">
        <v>1</v>
      </c>
      <c r="C4" s="2">
        <v>2.3199999999999998E-2</v>
      </c>
      <c r="D4" s="9">
        <v>2.3199999999999998E-2</v>
      </c>
      <c r="E4" s="6">
        <v>97.723052868175728</v>
      </c>
      <c r="G4" t="s">
        <v>13</v>
      </c>
    </row>
    <row r="5" spans="1:28" x14ac:dyDescent="0.25">
      <c r="A5" t="s">
        <v>1</v>
      </c>
      <c r="B5">
        <v>2</v>
      </c>
      <c r="C5" s="2">
        <v>2.29E-2</v>
      </c>
      <c r="D5" s="9">
        <v>2.29E-2</v>
      </c>
      <c r="E5" s="6">
        <v>193.28700253817806</v>
      </c>
      <c r="G5" t="s">
        <v>100</v>
      </c>
    </row>
    <row r="6" spans="1:28" x14ac:dyDescent="0.25">
      <c r="A6" t="s">
        <v>2</v>
      </c>
      <c r="B6">
        <v>3</v>
      </c>
      <c r="C6" s="2">
        <v>2.3599999999999999E-2</v>
      </c>
      <c r="D6" s="9">
        <v>2.3599999999999996E-2</v>
      </c>
      <c r="E6" s="6">
        <v>286.51548160637321</v>
      </c>
      <c r="G6" t="s">
        <v>101</v>
      </c>
    </row>
    <row r="7" spans="1:28" x14ac:dyDescent="0.25">
      <c r="A7" t="s">
        <v>3</v>
      </c>
      <c r="B7">
        <v>4</v>
      </c>
      <c r="C7" s="2">
        <v>2.4199999999999999E-2</v>
      </c>
      <c r="D7" s="9">
        <v>2.4199999999999989E-2</v>
      </c>
      <c r="E7" s="6">
        <v>329.0741958264698</v>
      </c>
      <c r="G7" t="s">
        <v>37</v>
      </c>
    </row>
    <row r="8" spans="1:28" x14ac:dyDescent="0.25">
      <c r="A8" t="s">
        <v>5</v>
      </c>
      <c r="B8">
        <v>5</v>
      </c>
      <c r="C8" s="2">
        <v>2.4799999999999999E-2</v>
      </c>
      <c r="D8" s="9">
        <v>2.4799999999999992E-2</v>
      </c>
      <c r="E8" s="6">
        <v>465.81144210175262</v>
      </c>
      <c r="G8" t="s">
        <v>38</v>
      </c>
    </row>
    <row r="9" spans="1:28" x14ac:dyDescent="0.25">
      <c r="A9" t="s">
        <v>6</v>
      </c>
      <c r="B9">
        <v>7</v>
      </c>
      <c r="C9" s="2">
        <v>2.5700000000000001E-2</v>
      </c>
      <c r="D9" s="9">
        <v>2.5699999999999994E-2</v>
      </c>
      <c r="E9" s="6">
        <v>635.4697765892779</v>
      </c>
      <c r="G9" t="s">
        <v>102</v>
      </c>
    </row>
    <row r="10" spans="1:28" x14ac:dyDescent="0.25">
      <c r="A10" t="s">
        <v>7</v>
      </c>
      <c r="B10">
        <v>10</v>
      </c>
      <c r="C10" s="2">
        <v>2.69E-2</v>
      </c>
      <c r="D10" s="9">
        <v>2.6900000000000004E-2</v>
      </c>
      <c r="E10" s="6">
        <v>872.19769569081836</v>
      </c>
      <c r="G10" t="s">
        <v>103</v>
      </c>
    </row>
    <row r="12" spans="1:28" s="5" customFormat="1" x14ac:dyDescent="0.25">
      <c r="A12" s="5" t="s">
        <v>25</v>
      </c>
    </row>
    <row r="13" spans="1:28" x14ac:dyDescent="0.25">
      <c r="B13" s="29" t="s">
        <v>41</v>
      </c>
      <c r="C13" s="29"/>
      <c r="D13" s="29"/>
      <c r="E13" s="29"/>
      <c r="L13" t="s">
        <v>105</v>
      </c>
      <c r="M13" t="s">
        <v>105</v>
      </c>
    </row>
    <row r="14" spans="1:28" x14ac:dyDescent="0.25">
      <c r="A14" t="s">
        <v>9</v>
      </c>
      <c r="B14" t="s">
        <v>33</v>
      </c>
      <c r="C14" t="s">
        <v>34</v>
      </c>
      <c r="D14" t="s">
        <v>35</v>
      </c>
      <c r="E14" t="s">
        <v>36</v>
      </c>
      <c r="G14" t="s">
        <v>26</v>
      </c>
      <c r="H14" s="13">
        <v>2.5</v>
      </c>
      <c r="I14" t="s">
        <v>28</v>
      </c>
      <c r="K14" t="s">
        <v>15</v>
      </c>
      <c r="L14" t="s">
        <v>104</v>
      </c>
      <c r="M14" t="s">
        <v>32</v>
      </c>
    </row>
    <row r="15" spans="1:28" x14ac:dyDescent="0.25">
      <c r="A15" s="7">
        <f>Bootstrap!A298</f>
        <v>0</v>
      </c>
      <c r="B15" s="11">
        <f>Bootstrap!H298</f>
        <v>2.1795524777026124E-2</v>
      </c>
      <c r="C15" s="11">
        <f>Bootstrap!I298</f>
        <v>-2.4519965374154389E-2</v>
      </c>
      <c r="D15" s="11">
        <f>Bootstrap!J298</f>
        <v>0</v>
      </c>
      <c r="E15" s="11">
        <f>Bootstrap!K298</f>
        <v>2.53E-2</v>
      </c>
      <c r="G15" t="s">
        <v>27</v>
      </c>
      <c r="H15" s="13">
        <v>5</v>
      </c>
      <c r="I15" t="s">
        <v>28</v>
      </c>
      <c r="K15" t="str">
        <f t="shared" ref="K15:K22" si="0">A3</f>
        <v>3M Fixing</v>
      </c>
      <c r="L15" s="14">
        <v>-15.760438282646646</v>
      </c>
      <c r="M15" s="14">
        <f t="shared" ref="M15:M22" si="1">-L15/E3*1000000</f>
        <v>634420.68262968003</v>
      </c>
      <c r="U15" s="7"/>
      <c r="V15" s="16"/>
      <c r="W15" s="15"/>
      <c r="X15" s="11"/>
      <c r="Y15" s="11"/>
      <c r="Z15" s="11"/>
      <c r="AA15" s="15"/>
      <c r="AB15" s="11"/>
    </row>
    <row r="16" spans="1:28" x14ac:dyDescent="0.25">
      <c r="A16" s="7">
        <f>Bootstrap!A299</f>
        <v>0.75</v>
      </c>
      <c r="B16" s="11">
        <f>Bootstrap!H299</f>
        <v>-3.7060713183952494E-3</v>
      </c>
      <c r="C16" s="11">
        <f>Bootstrap!I299</f>
        <v>1.5057782665666767E-2</v>
      </c>
      <c r="D16" s="11">
        <f>Bootstrap!J299</f>
        <v>-1.6332678648708167E-2</v>
      </c>
      <c r="E16" s="11">
        <f>Bootstrap!K299</f>
        <v>2.6045511566887617E-2</v>
      </c>
      <c r="G16" t="s">
        <v>22</v>
      </c>
      <c r="H16" s="13">
        <v>2</v>
      </c>
      <c r="I16" t="s">
        <v>29</v>
      </c>
      <c r="K16" t="str">
        <f t="shared" si="0"/>
        <v>1Y Swap</v>
      </c>
      <c r="L16" s="14">
        <v>64.439761793575599</v>
      </c>
      <c r="M16" s="14">
        <f t="shared" si="1"/>
        <v>-659412.08243363129</v>
      </c>
      <c r="U16" s="7"/>
      <c r="V16" s="16"/>
      <c r="W16" s="11"/>
      <c r="X16" s="11"/>
      <c r="Y16" s="11"/>
      <c r="Z16" s="11"/>
      <c r="AA16" s="15"/>
      <c r="AB16" s="11"/>
    </row>
    <row r="17" spans="1:28" x14ac:dyDescent="0.25">
      <c r="A17" s="7">
        <f>Bootstrap!A300</f>
        <v>1.75</v>
      </c>
      <c r="B17" s="11">
        <f>Bootstrap!H300</f>
        <v>2.736059530777761E-4</v>
      </c>
      <c r="C17" s="11">
        <f>Bootstrap!I300</f>
        <v>-2.4030576442491429E-3</v>
      </c>
      <c r="D17" s="11">
        <f>Bootstrap!J300</f>
        <v>8.2169775043390968E-3</v>
      </c>
      <c r="E17" s="11">
        <f>Bootstrap!K300</f>
        <v>1.5228853871371632E-2</v>
      </c>
      <c r="G17" t="s">
        <v>8</v>
      </c>
      <c r="H17" s="8">
        <v>1000000</v>
      </c>
      <c r="K17" t="str">
        <f t="shared" si="0"/>
        <v>2Y Swap</v>
      </c>
      <c r="L17" s="14">
        <v>-195.77212434668036</v>
      </c>
      <c r="M17" s="14">
        <f t="shared" si="1"/>
        <v>1012857.1594358055</v>
      </c>
      <c r="U17" s="7"/>
      <c r="V17" s="16"/>
      <c r="W17" s="11"/>
      <c r="X17" s="11"/>
      <c r="Y17" s="11"/>
      <c r="Z17" s="11"/>
      <c r="AA17" s="15"/>
      <c r="AB17" s="11"/>
    </row>
    <row r="18" spans="1:28" x14ac:dyDescent="0.25">
      <c r="A18" s="7">
        <f>Bootstrap!A301</f>
        <v>2.75</v>
      </c>
      <c r="B18" s="11">
        <f>Bootstrap!H301</f>
        <v>7.6954098051831149E-4</v>
      </c>
      <c r="C18" s="11">
        <f>Bootstrap!I301</f>
        <v>-7.5376685542296474E-3</v>
      </c>
      <c r="D18" s="11">
        <f>Bootstrap!J301</f>
        <v>2.5205811574174723E-2</v>
      </c>
      <c r="E18" s="11">
        <f>Bootstrap!K301</f>
        <v>-2.9738435877511571E-3</v>
      </c>
      <c r="G18" t="s">
        <v>30</v>
      </c>
      <c r="H18" s="28">
        <v>2.6277855189755513E-2</v>
      </c>
      <c r="K18" t="str">
        <f t="shared" si="0"/>
        <v>3Y Swap</v>
      </c>
      <c r="L18" s="14">
        <v>-112.87180799188354</v>
      </c>
      <c r="M18" s="14">
        <f t="shared" si="1"/>
        <v>393946.62849999667</v>
      </c>
      <c r="U18" s="7"/>
      <c r="V18" s="16"/>
      <c r="W18" s="11"/>
      <c r="X18" s="11"/>
      <c r="Y18" s="11"/>
      <c r="Z18" s="11"/>
      <c r="AA18" s="15"/>
      <c r="AB18" s="11"/>
    </row>
    <row r="19" spans="1:28" x14ac:dyDescent="0.25">
      <c r="A19" s="7">
        <f>Bootstrap!A302</f>
        <v>3.75</v>
      </c>
      <c r="B19" s="11">
        <f>Bootstrap!H302</f>
        <v>-9.9382572676861604E-4</v>
      </c>
      <c r="C19" s="11">
        <f>Bootstrap!I302</f>
        <v>1.2524491648998591E-2</v>
      </c>
      <c r="D19" s="11">
        <f>Bootstrap!J302</f>
        <v>-5.0868356986369802E-2</v>
      </c>
      <c r="E19" s="11">
        <f>Bootstrap!K302</f>
        <v>9.3170201860977769E-2</v>
      </c>
      <c r="K19" t="str">
        <f t="shared" si="0"/>
        <v>4Y Swap</v>
      </c>
      <c r="L19" s="14">
        <v>-39.632178826155723</v>
      </c>
      <c r="M19" s="14">
        <f t="shared" si="1"/>
        <v>120435.38912742614</v>
      </c>
      <c r="U19" s="7"/>
      <c r="V19" s="16"/>
      <c r="W19" s="11"/>
      <c r="X19" s="11"/>
      <c r="Y19" s="11"/>
      <c r="Z19" s="11"/>
      <c r="AA19" s="15"/>
      <c r="AB19" s="11"/>
    </row>
    <row r="20" spans="1:28" x14ac:dyDescent="0.25">
      <c r="A20" s="7">
        <f>Bootstrap!A303</f>
        <v>4.75</v>
      </c>
      <c r="B20" s="11">
        <f>Bootstrap!H303</f>
        <v>2.714864453332381E-4</v>
      </c>
      <c r="C20" s="11">
        <f>Bootstrap!I303</f>
        <v>-4.7335043520079041E-3</v>
      </c>
      <c r="D20" s="11">
        <f>Bootstrap!J303</f>
        <v>2.7436787374047648E-2</v>
      </c>
      <c r="E20" s="11">
        <f>Bootstrap!K303</f>
        <v>-2.5001577022774474E-2</v>
      </c>
      <c r="G20" t="s">
        <v>31</v>
      </c>
      <c r="H20" s="12">
        <f>SUM(I26:I66)-SUM(J26:J66)</f>
        <v>0</v>
      </c>
      <c r="K20" t="str">
        <f t="shared" si="0"/>
        <v>5Y Swap</v>
      </c>
      <c r="L20" s="14">
        <v>462.84905434634129</v>
      </c>
      <c r="M20" s="14">
        <f t="shared" si="1"/>
        <v>-993640.37143002544</v>
      </c>
      <c r="U20" s="7"/>
      <c r="V20" s="16"/>
      <c r="W20" s="11"/>
      <c r="X20" s="11"/>
      <c r="Y20" s="11"/>
      <c r="Z20" s="11"/>
      <c r="AA20" s="15"/>
      <c r="AB20" s="11"/>
    </row>
    <row r="21" spans="1:28" x14ac:dyDescent="0.25">
      <c r="A21" s="7">
        <f>Bootstrap!A304</f>
        <v>6.75</v>
      </c>
      <c r="B21" s="11">
        <f>Bootstrap!H304</f>
        <v>-1.0944565390944813E-4</v>
      </c>
      <c r="C21" s="11">
        <f>Bootstrap!I304</f>
        <v>2.6920269702771296E-3</v>
      </c>
      <c r="D21" s="11">
        <f>Bootstrap!J304</f>
        <v>-2.0739229161565641E-2</v>
      </c>
      <c r="E21" s="11">
        <f>Bootstrap!K304</f>
        <v>7.9015240430281408E-2</v>
      </c>
      <c r="G21" t="s">
        <v>73</v>
      </c>
      <c r="H21" s="12">
        <f>-H20</f>
        <v>0</v>
      </c>
      <c r="K21" t="str">
        <f t="shared" si="0"/>
        <v>7Y Swap</v>
      </c>
      <c r="L21" s="14">
        <v>-2.4887870837119408E-2</v>
      </c>
      <c r="M21" s="14">
        <f t="shared" si="1"/>
        <v>39.164523245619506</v>
      </c>
      <c r="U21" s="7"/>
      <c r="V21" s="16"/>
      <c r="W21" s="11"/>
      <c r="X21" s="11"/>
      <c r="Y21" s="11"/>
      <c r="Z21" s="11"/>
      <c r="AA21" s="15"/>
      <c r="AB21" s="11"/>
    </row>
    <row r="22" spans="1:28" x14ac:dyDescent="0.25">
      <c r="A22" s="7">
        <f>Bootstrap!A305</f>
        <v>9.75</v>
      </c>
      <c r="B22" s="11">
        <f>Bootstrap!H305</f>
        <v>6.6637221572904032E-8</v>
      </c>
      <c r="C22" s="11">
        <f>Bootstrap!I305</f>
        <v>-1.3977157224916621E-5</v>
      </c>
      <c r="D22" s="11">
        <f>Bootstrap!J305</f>
        <v>7.9631479779620324E-4</v>
      </c>
      <c r="E22" s="11">
        <f>Bootstrap!K305</f>
        <v>2.4780710484650505E-2</v>
      </c>
      <c r="G22" t="s">
        <v>23</v>
      </c>
      <c r="H22" s="10">
        <f>H18 * SUM(I27:I66)/SUM(J27:J66)</f>
        <v>2.6277855189755513E-2</v>
      </c>
      <c r="K22" t="str">
        <f t="shared" si="0"/>
        <v>10Y Swap</v>
      </c>
      <c r="L22" s="14">
        <v>-9.9093842436559498E-4</v>
      </c>
      <c r="M22" s="14">
        <f t="shared" si="1"/>
        <v>1.1361396954628833</v>
      </c>
      <c r="U22" s="7"/>
      <c r="V22" s="16"/>
      <c r="W22" s="11"/>
      <c r="X22" s="11"/>
      <c r="Y22" s="11"/>
      <c r="Z22" s="11"/>
      <c r="AA22" s="15"/>
      <c r="AB22" s="11"/>
    </row>
    <row r="23" spans="1:28" x14ac:dyDescent="0.25">
      <c r="A23" s="7"/>
      <c r="B23" s="19"/>
      <c r="C23" s="11"/>
      <c r="D23" s="11"/>
      <c r="E23" s="9"/>
      <c r="F23" s="9"/>
      <c r="G23" s="9"/>
      <c r="H23" s="9"/>
      <c r="L23" s="14">
        <f>SUM(L15:L22)</f>
        <v>163.22638788328914</v>
      </c>
      <c r="M23" s="14">
        <f>SUM(M15:M22)</f>
        <v>508647.70649219258</v>
      </c>
      <c r="U23" s="7"/>
      <c r="V23" s="16"/>
      <c r="W23" s="11"/>
      <c r="X23" s="11"/>
      <c r="Y23" s="11"/>
      <c r="Z23" s="11"/>
      <c r="AA23" s="15"/>
      <c r="AB23" s="11"/>
    </row>
    <row r="25" spans="1:28" x14ac:dyDescent="0.25">
      <c r="A25" t="s">
        <v>9</v>
      </c>
      <c r="B25" t="s">
        <v>18</v>
      </c>
      <c r="C25" t="s">
        <v>33</v>
      </c>
      <c r="D25" t="s">
        <v>34</v>
      </c>
      <c r="E25" t="s">
        <v>35</v>
      </c>
      <c r="F25" t="s">
        <v>36</v>
      </c>
      <c r="G25" t="s">
        <v>10</v>
      </c>
      <c r="H25" t="s">
        <v>19</v>
      </c>
      <c r="I25" t="s">
        <v>20</v>
      </c>
      <c r="J25" t="s">
        <v>21</v>
      </c>
    </row>
    <row r="26" spans="1:28" x14ac:dyDescent="0.25">
      <c r="A26" s="7">
        <v>0</v>
      </c>
      <c r="B26" s="7">
        <f t="array" ref="B26:B66">INDEX(A15:A23, MATCH(A26:A66, A15:A23, 1))</f>
        <v>0</v>
      </c>
      <c r="C26" s="11">
        <f t="array" ref="C26:C66">VLOOKUP(B26:B66, A15:E22, COLUMN(B15)-COLUMN(A15)+1, FALSE)</f>
        <v>2.1795524777026124E-2</v>
      </c>
      <c r="D26" s="11">
        <f t="array" ref="D26:D66">VLOOKUP(B26:B66, A15:E22, COLUMN(C15)-COLUMN(A15)+1, FALSE)</f>
        <v>-2.4519965374154389E-2</v>
      </c>
      <c r="E26" s="11">
        <f t="array" ref="E26:E66">VLOOKUP(B26:B66, A15:E22, COLUMN(D15)-COLUMN(A15)+1, FALSE)</f>
        <v>0</v>
      </c>
      <c r="F26" s="1">
        <f t="array" ref="F26:F66">VLOOKUP(B26:B66, A15:E22, COLUMN(E15)-COLUMN(A15)+1, FALSE)</f>
        <v>2.53E-2</v>
      </c>
      <c r="G26" s="3">
        <f t="shared" ref="G26:G65" si="2">C26*A26^3 + D26*A26^2 + E26*A26 + F26</f>
        <v>2.53E-2</v>
      </c>
      <c r="H26" s="11">
        <v>1</v>
      </c>
    </row>
    <row r="27" spans="1:28" x14ac:dyDescent="0.25">
      <c r="A27" s="7">
        <v>0.25</v>
      </c>
      <c r="B27" s="7">
        <v>0</v>
      </c>
      <c r="C27" s="11">
        <v>2.1795524777026124E-2</v>
      </c>
      <c r="D27" s="11">
        <v>-2.4519965374154389E-2</v>
      </c>
      <c r="E27" s="11">
        <v>0</v>
      </c>
      <c r="F27" s="1">
        <v>2.53E-2</v>
      </c>
      <c r="G27" s="3">
        <f t="shared" si="2"/>
        <v>2.4108057238756385E-2</v>
      </c>
      <c r="H27" s="11">
        <f t="shared" ref="H27:H66" si="3">H26 / (1 + G26*(A27-A26))</f>
        <v>0.99371475417981281</v>
      </c>
      <c r="I27" s="6">
        <f t="array" ref="I27:I66">(A27:A66 &lt;= H15) * (A27:A66 &gt; H14) * G26:G65 * H27:H66 * (A27:A66-A26:A65) * H17</f>
        <v>0</v>
      </c>
      <c r="J27" s="6">
        <f t="array" ref="J27:J66">(A27:A66 &lt;= H15) * (A27:A66 &gt; H14) * (ROUND((H14+A27:A66)*H16, 0)=(H14+A27:A66)*H16) * H27:H66 * H17 * H18 / H16</f>
        <v>0</v>
      </c>
    </row>
    <row r="28" spans="1:28" x14ac:dyDescent="0.25">
      <c r="A28" s="7">
        <v>0.5</v>
      </c>
      <c r="B28" s="7">
        <v>0</v>
      </c>
      <c r="C28" s="11">
        <v>2.1795524777026124E-2</v>
      </c>
      <c r="D28" s="11">
        <v>-2.4519965374154389E-2</v>
      </c>
      <c r="E28" s="11">
        <v>0</v>
      </c>
      <c r="F28" s="1">
        <v>2.53E-2</v>
      </c>
      <c r="G28" s="3">
        <f t="shared" si="2"/>
        <v>2.1894449253589666E-2</v>
      </c>
      <c r="H28" s="11">
        <f t="shared" si="3"/>
        <v>0.98776150147585795</v>
      </c>
      <c r="I28" s="6">
        <v>0</v>
      </c>
      <c r="J28" s="6">
        <v>0</v>
      </c>
    </row>
    <row r="29" spans="1:28" x14ac:dyDescent="0.25">
      <c r="A29" s="7">
        <v>0.75</v>
      </c>
      <c r="B29" s="7">
        <v>0.75</v>
      </c>
      <c r="C29" s="11">
        <v>-3.7060713183952494E-3</v>
      </c>
      <c r="D29" s="11">
        <v>1.5057782665666767E-2</v>
      </c>
      <c r="E29" s="11">
        <v>-1.6332678648708167E-2</v>
      </c>
      <c r="F29" s="1">
        <v>2.6045511566887617E-2</v>
      </c>
      <c r="G29" s="3">
        <f t="shared" si="2"/>
        <v>2.0702506492346052E-2</v>
      </c>
      <c r="H29" s="11">
        <f t="shared" si="3"/>
        <v>0.98238431061677756</v>
      </c>
      <c r="I29" s="6">
        <v>0</v>
      </c>
      <c r="J29" s="6">
        <v>0</v>
      </c>
    </row>
    <row r="30" spans="1:28" x14ac:dyDescent="0.25">
      <c r="A30" s="7">
        <v>1</v>
      </c>
      <c r="B30" s="7">
        <v>0.75</v>
      </c>
      <c r="C30" s="11">
        <v>-3.7060713183952494E-3</v>
      </c>
      <c r="D30" s="11">
        <v>1.5057782665666767E-2</v>
      </c>
      <c r="E30" s="11">
        <v>-1.6332678648708167E-2</v>
      </c>
      <c r="F30" s="1">
        <v>2.6045511566887617E-2</v>
      </c>
      <c r="G30" s="3">
        <f t="shared" si="2"/>
        <v>2.1064544265450968E-2</v>
      </c>
      <c r="H30" s="11">
        <f t="shared" si="3"/>
        <v>0.97732603596559842</v>
      </c>
      <c r="I30" s="6">
        <v>0</v>
      </c>
      <c r="J30" s="6">
        <v>0</v>
      </c>
    </row>
    <row r="31" spans="1:28" x14ac:dyDescent="0.25">
      <c r="A31" s="7">
        <v>1.25</v>
      </c>
      <c r="B31" s="7">
        <v>0.75</v>
      </c>
      <c r="C31" s="11">
        <v>-3.7060713183952494E-3</v>
      </c>
      <c r="D31" s="11">
        <v>1.5057782665666767E-2</v>
      </c>
      <c r="E31" s="11">
        <v>-1.6332678648708167E-2</v>
      </c>
      <c r="F31" s="1">
        <v>2.6045511566887617E-2</v>
      </c>
      <c r="G31" s="3">
        <f t="shared" si="2"/>
        <v>2.1919028127366014E-2</v>
      </c>
      <c r="H31" s="11">
        <f t="shared" si="3"/>
        <v>0.97220626548697353</v>
      </c>
      <c r="I31" s="6">
        <v>0</v>
      </c>
      <c r="J31" s="6">
        <v>0</v>
      </c>
    </row>
    <row r="32" spans="1:28" x14ac:dyDescent="0.25">
      <c r="A32" s="7">
        <v>1.5</v>
      </c>
      <c r="B32" s="7">
        <v>0.75</v>
      </c>
      <c r="C32" s="11">
        <v>-3.7060713183952494E-3</v>
      </c>
      <c r="D32" s="11">
        <v>1.5057782665666767E-2</v>
      </c>
      <c r="E32" s="11">
        <v>-1.6332678648708167E-2</v>
      </c>
      <c r="F32" s="1">
        <v>2.6045511566887617E-2</v>
      </c>
      <c r="G32" s="3">
        <f t="shared" si="2"/>
        <v>2.2918513891991624E-2</v>
      </c>
      <c r="H32" s="11">
        <f t="shared" si="3"/>
        <v>0.96690784542188035</v>
      </c>
      <c r="I32" s="6">
        <v>0</v>
      </c>
      <c r="J32" s="6">
        <v>0</v>
      </c>
    </row>
    <row r="33" spans="1:10" x14ac:dyDescent="0.25">
      <c r="A33" s="7">
        <v>1.75</v>
      </c>
      <c r="B33" s="7">
        <v>1.75</v>
      </c>
      <c r="C33" s="11">
        <v>2.736059530777761E-4</v>
      </c>
      <c r="D33" s="11">
        <v>-2.4030576442491429E-3</v>
      </c>
      <c r="E33" s="11">
        <v>8.2169775043390968E-3</v>
      </c>
      <c r="F33" s="1">
        <v>1.5228853871371632E-2</v>
      </c>
      <c r="G33" s="3">
        <f t="shared" si="2"/>
        <v>2.3715557373228259E-2</v>
      </c>
      <c r="H33" s="11">
        <f t="shared" si="3"/>
        <v>0.96139938413660853</v>
      </c>
      <c r="I33" s="6">
        <v>0</v>
      </c>
      <c r="J33" s="6">
        <v>0</v>
      </c>
    </row>
    <row r="34" spans="1:10" x14ac:dyDescent="0.25">
      <c r="A34" s="7">
        <v>2</v>
      </c>
      <c r="B34" s="7">
        <v>1.75</v>
      </c>
      <c r="C34" s="11">
        <v>2.736059530777761E-4</v>
      </c>
      <c r="D34" s="11">
        <v>-2.4030576442491429E-3</v>
      </c>
      <c r="E34" s="11">
        <v>8.2169775043390968E-3</v>
      </c>
      <c r="F34" s="1">
        <v>1.5228853871371632E-2</v>
      </c>
      <c r="G34" s="3">
        <f t="shared" si="2"/>
        <v>2.4239425927675463E-2</v>
      </c>
      <c r="H34" s="11">
        <f t="shared" si="3"/>
        <v>0.95573294923881902</v>
      </c>
      <c r="I34" s="6">
        <v>0</v>
      </c>
      <c r="J34" s="6">
        <v>0</v>
      </c>
    </row>
    <row r="35" spans="1:10" x14ac:dyDescent="0.25">
      <c r="A35" s="7">
        <v>2.25</v>
      </c>
      <c r="B35" s="7">
        <v>1.75</v>
      </c>
      <c r="C35" s="11">
        <v>2.736059530777761E-4</v>
      </c>
      <c r="D35" s="11">
        <v>-2.4030576442491429E-3</v>
      </c>
      <c r="E35" s="11">
        <v>8.2169775043390968E-3</v>
      </c>
      <c r="F35" s="1">
        <v>1.5228853871371632E-2</v>
      </c>
      <c r="G35" s="3">
        <f t="shared" si="2"/>
        <v>2.4668116741399855E-2</v>
      </c>
      <c r="H35" s="11">
        <f t="shared" si="3"/>
        <v>0.94997622962605088</v>
      </c>
      <c r="I35" s="6">
        <v>0</v>
      </c>
      <c r="J35" s="6">
        <v>0</v>
      </c>
    </row>
    <row r="36" spans="1:10" x14ac:dyDescent="0.25">
      <c r="A36" s="7">
        <v>2.5</v>
      </c>
      <c r="B36" s="7">
        <v>1.75</v>
      </c>
      <c r="C36" s="11">
        <v>2.736059530777761E-4</v>
      </c>
      <c r="D36" s="11">
        <v>-2.4030576442491429E-3</v>
      </c>
      <c r="E36" s="11">
        <v>8.2169775043390968E-3</v>
      </c>
      <c r="F36" s="1">
        <v>1.5228853871371632E-2</v>
      </c>
      <c r="G36" s="3">
        <f t="shared" si="2"/>
        <v>2.5027280372502486E-2</v>
      </c>
      <c r="H36" s="11">
        <f t="shared" si="3"/>
        <v>0.94415360677759996</v>
      </c>
      <c r="I36" s="6">
        <v>0</v>
      </c>
      <c r="J36" s="6">
        <v>0</v>
      </c>
    </row>
    <row r="37" spans="1:10" x14ac:dyDescent="0.25">
      <c r="A37" s="7">
        <v>2.75</v>
      </c>
      <c r="B37" s="7">
        <v>2.75</v>
      </c>
      <c r="C37" s="11">
        <v>7.6954098051831149E-4</v>
      </c>
      <c r="D37" s="11">
        <v>-7.5376685542296474E-3</v>
      </c>
      <c r="E37" s="11">
        <v>2.5205811574174723E-2</v>
      </c>
      <c r="F37" s="1">
        <v>-2.9738435877511571E-3</v>
      </c>
      <c r="G37" s="3">
        <f t="shared" si="2"/>
        <v>2.5342567379084385E-2</v>
      </c>
      <c r="H37" s="11">
        <f t="shared" si="3"/>
        <v>0.9382829392303863</v>
      </c>
      <c r="I37" s="6">
        <v>5870.6675472136476</v>
      </c>
      <c r="J37" s="6">
        <v>0</v>
      </c>
    </row>
    <row r="38" spans="1:10" x14ac:dyDescent="0.25">
      <c r="A38" s="7">
        <v>3</v>
      </c>
      <c r="B38" s="7">
        <v>2.75</v>
      </c>
      <c r="C38" s="11">
        <v>7.6954098051831149E-4</v>
      </c>
      <c r="D38" s="11">
        <v>-7.5376685542296474E-3</v>
      </c>
      <c r="E38" s="11">
        <v>2.5205811574174723E-2</v>
      </c>
      <c r="F38" s="1">
        <v>-2.9738435877511571E-3</v>
      </c>
      <c r="G38" s="3">
        <f t="shared" si="2"/>
        <v>2.5582180620700591E-2</v>
      </c>
      <c r="H38" s="11">
        <f t="shared" si="3"/>
        <v>0.93237574047398986</v>
      </c>
      <c r="I38" s="6">
        <v>5907.1987563964458</v>
      </c>
      <c r="J38" s="6">
        <v>12250.417345308288</v>
      </c>
    </row>
    <row r="39" spans="1:10" x14ac:dyDescent="0.25">
      <c r="A39" s="7">
        <v>3.25</v>
      </c>
      <c r="B39" s="7">
        <v>2.75</v>
      </c>
      <c r="C39" s="11">
        <v>7.6954098051831149E-4</v>
      </c>
      <c r="D39" s="11">
        <v>-7.5376685542296474E-3</v>
      </c>
      <c r="E39" s="11">
        <v>2.5205811574174723E-2</v>
      </c>
      <c r="F39" s="1">
        <v>-2.9738435877511571E-3</v>
      </c>
      <c r="G39" s="3">
        <f t="shared" si="2"/>
        <v>2.5745318896121194E-2</v>
      </c>
      <c r="H39" s="11">
        <f t="shared" si="3"/>
        <v>0.92645058393042445</v>
      </c>
      <c r="I39" s="6">
        <v>5925.1565435654129</v>
      </c>
      <c r="J39" s="6">
        <v>0</v>
      </c>
    </row>
    <row r="40" spans="1:10" x14ac:dyDescent="0.25">
      <c r="A40" s="7">
        <v>3.5</v>
      </c>
      <c r="B40" s="7">
        <v>2.75</v>
      </c>
      <c r="C40" s="11">
        <v>7.6954098051831149E-4</v>
      </c>
      <c r="D40" s="11">
        <v>-7.5376685542296474E-3</v>
      </c>
      <c r="E40" s="11">
        <v>2.5205811574174723E-2</v>
      </c>
      <c r="F40" s="1">
        <v>-2.9738435877511571E-3</v>
      </c>
      <c r="G40" s="3">
        <f t="shared" si="2"/>
        <v>2.5904126672269802E-2</v>
      </c>
      <c r="H40" s="11">
        <f t="shared" si="3"/>
        <v>0.9205257765133158</v>
      </c>
      <c r="I40" s="6">
        <v>5924.8074171087255</v>
      </c>
      <c r="J40" s="6">
        <v>12094.721526827079</v>
      </c>
    </row>
    <row r="41" spans="1:10" x14ac:dyDescent="0.25">
      <c r="A41" s="7">
        <v>3.75</v>
      </c>
      <c r="B41" s="7">
        <v>3.75</v>
      </c>
      <c r="C41" s="11">
        <v>-9.9382572676861604E-4</v>
      </c>
      <c r="D41" s="11">
        <v>1.2524491648998591E-2</v>
      </c>
      <c r="E41" s="11">
        <v>-5.0868356986369802E-2</v>
      </c>
      <c r="F41" s="1">
        <v>9.3170201860977769E-2</v>
      </c>
      <c r="G41" s="3">
        <f t="shared" si="2"/>
        <v>2.6130748416069965E-2</v>
      </c>
      <c r="H41" s="11">
        <f t="shared" si="3"/>
        <v>0.9146027799466786</v>
      </c>
      <c r="I41" s="6">
        <v>5922.9965666372163</v>
      </c>
      <c r="J41" s="6">
        <v>0</v>
      </c>
    </row>
    <row r="42" spans="1:10" x14ac:dyDescent="0.25">
      <c r="A42" s="7">
        <v>4</v>
      </c>
      <c r="B42" s="7">
        <v>3.75</v>
      </c>
      <c r="C42" s="11">
        <v>-9.9382572676861604E-4</v>
      </c>
      <c r="D42" s="11">
        <v>1.2524491648998591E-2</v>
      </c>
      <c r="E42" s="11">
        <v>-5.0868356986369802E-2</v>
      </c>
      <c r="F42" s="1">
        <v>9.3170201860977769E-2</v>
      </c>
      <c r="G42" s="3">
        <f t="shared" si="2"/>
        <v>2.6483793786284598E-2</v>
      </c>
      <c r="H42" s="11">
        <f t="shared" si="3"/>
        <v>0.90866674442353346</v>
      </c>
      <c r="I42" s="6">
        <v>5936.0355231451749</v>
      </c>
      <c r="J42" s="6">
        <v>11938.906562854098</v>
      </c>
    </row>
    <row r="43" spans="1:10" x14ac:dyDescent="0.25">
      <c r="A43" s="7">
        <v>4.25</v>
      </c>
      <c r="B43" s="7">
        <v>3.75</v>
      </c>
      <c r="C43" s="11">
        <v>-9.9382572676861604E-4</v>
      </c>
      <c r="D43" s="11">
        <v>1.2524491648998591E-2</v>
      </c>
      <c r="E43" s="11">
        <v>-5.0868356986369802E-2</v>
      </c>
      <c r="F43" s="1">
        <v>9.3170201860977769E-2</v>
      </c>
      <c r="G43" s="3">
        <f t="shared" si="2"/>
        <v>2.6911662022471139E-2</v>
      </c>
      <c r="H43" s="11">
        <f t="shared" si="3"/>
        <v>0.9026900799410128</v>
      </c>
      <c r="I43" s="6">
        <v>5976.6644825206358</v>
      </c>
      <c r="J43" s="6">
        <v>0</v>
      </c>
    </row>
    <row r="44" spans="1:10" x14ac:dyDescent="0.25">
      <c r="A44" s="7">
        <v>4.5</v>
      </c>
      <c r="B44" s="7">
        <v>3.75</v>
      </c>
      <c r="C44" s="11">
        <v>-9.9382572676861604E-4</v>
      </c>
      <c r="D44" s="11">
        <v>1.2524491648998591E-2</v>
      </c>
      <c r="E44" s="11">
        <v>-5.0868356986369802E-2</v>
      </c>
      <c r="F44" s="1">
        <v>9.3170201860977769E-2</v>
      </c>
      <c r="G44" s="3">
        <f t="shared" si="2"/>
        <v>2.7321181962745023E-2</v>
      </c>
      <c r="H44" s="11">
        <f t="shared" si="3"/>
        <v>0.89665744441748885</v>
      </c>
      <c r="I44" s="6">
        <v>6032.6355235240399</v>
      </c>
      <c r="J44" s="6">
        <v>11781.117239609513</v>
      </c>
    </row>
    <row r="45" spans="1:10" x14ac:dyDescent="0.25">
      <c r="A45" s="7">
        <v>4.75</v>
      </c>
      <c r="B45" s="7">
        <v>4.75</v>
      </c>
      <c r="C45" s="11">
        <v>2.714864453332381E-4</v>
      </c>
      <c r="D45" s="11">
        <v>-4.7335043520079041E-3</v>
      </c>
      <c r="E45" s="11">
        <v>2.7436787374047648E-2</v>
      </c>
      <c r="F45" s="1">
        <v>-2.5001577022774474E-2</v>
      </c>
      <c r="G45" s="3">
        <f t="shared" si="2"/>
        <v>2.7619182445221657E-2</v>
      </c>
      <c r="H45" s="11">
        <f t="shared" si="3"/>
        <v>0.89057455703644295</v>
      </c>
      <c r="I45" s="6">
        <v>6082.8873810459263</v>
      </c>
      <c r="J45" s="6">
        <v>0</v>
      </c>
    </row>
    <row r="46" spans="1:10" x14ac:dyDescent="0.25">
      <c r="A46" s="7">
        <v>5</v>
      </c>
      <c r="B46" s="7">
        <v>4.75</v>
      </c>
      <c r="C46" s="11">
        <v>2.714864453332381E-4</v>
      </c>
      <c r="D46" s="11">
        <v>-4.7335043520079041E-3</v>
      </c>
      <c r="E46" s="11">
        <v>2.7436787374047648E-2</v>
      </c>
      <c r="F46" s="1">
        <v>-2.5001577022774474E-2</v>
      </c>
      <c r="G46" s="3">
        <f t="shared" si="2"/>
        <v>2.7780556713920934E-2</v>
      </c>
      <c r="H46" s="11">
        <f t="shared" si="3"/>
        <v>0.88446748979456724</v>
      </c>
      <c r="I46" s="6">
        <v>6107.067241875844</v>
      </c>
      <c r="J46" s="6">
        <v>11620.9543084341</v>
      </c>
    </row>
    <row r="47" spans="1:10" x14ac:dyDescent="0.25">
      <c r="A47" s="7">
        <v>5.25</v>
      </c>
      <c r="B47" s="7">
        <v>4.75</v>
      </c>
      <c r="C47" s="11">
        <v>2.714864453332381E-4</v>
      </c>
      <c r="D47" s="11">
        <v>-4.7335043520079041E-3</v>
      </c>
      <c r="E47" s="11">
        <v>2.7436787374047648E-2</v>
      </c>
      <c r="F47" s="1">
        <v>-2.5001577022774474E-2</v>
      </c>
      <c r="G47" s="3">
        <f t="shared" si="2"/>
        <v>2.7859280023619037E-2</v>
      </c>
      <c r="H47" s="11">
        <f t="shared" si="3"/>
        <v>0.87836710797984796</v>
      </c>
      <c r="I47" s="6">
        <v>0</v>
      </c>
      <c r="J47" s="6">
        <v>0</v>
      </c>
    </row>
    <row r="48" spans="1:10" x14ac:dyDescent="0.25">
      <c r="A48" s="7">
        <v>5.5</v>
      </c>
      <c r="B48" s="7">
        <v>4.75</v>
      </c>
      <c r="C48" s="11">
        <v>2.714864453332381E-4</v>
      </c>
      <c r="D48" s="11">
        <v>-4.7335043520079041E-3</v>
      </c>
      <c r="E48" s="11">
        <v>2.7436787374047648E-2</v>
      </c>
      <c r="F48" s="1">
        <v>-2.5001577022774474E-2</v>
      </c>
      <c r="G48" s="3">
        <f t="shared" si="2"/>
        <v>2.7880804228565981E-2</v>
      </c>
      <c r="H48" s="11">
        <f t="shared" si="3"/>
        <v>0.87229175292806882</v>
      </c>
      <c r="I48" s="6">
        <v>0</v>
      </c>
      <c r="J48" s="6">
        <v>0</v>
      </c>
    </row>
    <row r="49" spans="1:10" x14ac:dyDescent="0.25">
      <c r="A49" s="7">
        <v>5.75</v>
      </c>
      <c r="B49" s="7">
        <v>4.75</v>
      </c>
      <c r="C49" s="11">
        <v>2.714864453332381E-4</v>
      </c>
      <c r="D49" s="11">
        <v>-4.7335043520079041E-3</v>
      </c>
      <c r="E49" s="11">
        <v>2.7436787374047648E-2</v>
      </c>
      <c r="F49" s="1">
        <v>-2.5001577022774474E-2</v>
      </c>
      <c r="G49" s="3">
        <f t="shared" si="2"/>
        <v>2.787058118301175E-2</v>
      </c>
      <c r="H49" s="11">
        <f t="shared" si="3"/>
        <v>0.86625378984632906</v>
      </c>
      <c r="I49" s="6">
        <v>0</v>
      </c>
      <c r="J49" s="6">
        <v>0</v>
      </c>
    </row>
    <row r="50" spans="1:10" x14ac:dyDescent="0.25">
      <c r="A50" s="7">
        <v>6</v>
      </c>
      <c r="B50" s="7">
        <v>4.75</v>
      </c>
      <c r="C50" s="11">
        <v>2.714864453332381E-4</v>
      </c>
      <c r="D50" s="11">
        <v>-4.7335043520079041E-3</v>
      </c>
      <c r="E50" s="11">
        <v>2.7436787374047648E-2</v>
      </c>
      <c r="F50" s="1">
        <v>-2.5001577022774474E-2</v>
      </c>
      <c r="G50" s="3">
        <f t="shared" si="2"/>
        <v>2.7854062741206304E-2</v>
      </c>
      <c r="H50" s="11">
        <f t="shared" si="3"/>
        <v>0.860259804665228</v>
      </c>
      <c r="I50" s="6">
        <v>0</v>
      </c>
      <c r="J50" s="6">
        <v>0</v>
      </c>
    </row>
    <row r="51" spans="1:10" x14ac:dyDescent="0.25">
      <c r="A51" s="7">
        <v>6.25</v>
      </c>
      <c r="B51" s="7">
        <v>4.75</v>
      </c>
      <c r="C51" s="11">
        <v>2.714864453332381E-4</v>
      </c>
      <c r="D51" s="11">
        <v>-4.7335043520079041E-3</v>
      </c>
      <c r="E51" s="11">
        <v>2.7436787374047648E-2</v>
      </c>
      <c r="F51" s="1">
        <v>-2.5001577022774474E-2</v>
      </c>
      <c r="G51" s="3">
        <f t="shared" si="2"/>
        <v>2.7856700757399669E-2</v>
      </c>
      <c r="H51" s="11">
        <f t="shared" si="3"/>
        <v>0.85431079802307175</v>
      </c>
      <c r="I51" s="6">
        <v>0</v>
      </c>
      <c r="J51" s="6">
        <v>0</v>
      </c>
    </row>
    <row r="52" spans="1:10" x14ac:dyDescent="0.25">
      <c r="A52" s="7">
        <v>6.5</v>
      </c>
      <c r="B52" s="7">
        <v>4.75</v>
      </c>
      <c r="C52" s="11">
        <v>2.714864453332381E-4</v>
      </c>
      <c r="D52" s="11">
        <v>-4.7335043520079041E-3</v>
      </c>
      <c r="E52" s="11">
        <v>2.7436787374047648E-2</v>
      </c>
      <c r="F52" s="1">
        <v>-2.5001577022774474E-2</v>
      </c>
      <c r="G52" s="3">
        <f t="shared" si="2"/>
        <v>2.7903947085841818E-2</v>
      </c>
      <c r="H52" s="11">
        <f t="shared" si="3"/>
        <v>0.8484023752507649</v>
      </c>
      <c r="I52" s="6">
        <v>0</v>
      </c>
      <c r="J52" s="6">
        <v>0</v>
      </c>
    </row>
    <row r="53" spans="1:10" x14ac:dyDescent="0.25">
      <c r="A53" s="7">
        <v>6.75</v>
      </c>
      <c r="B53" s="7">
        <v>6.75</v>
      </c>
      <c r="C53" s="11">
        <v>-1.0944565390944813E-4</v>
      </c>
      <c r="D53" s="11">
        <v>2.6920269702771296E-3</v>
      </c>
      <c r="E53" s="11">
        <v>-2.0739229161565641E-2</v>
      </c>
      <c r="F53" s="1">
        <v>7.9015240430281408E-2</v>
      </c>
      <c r="G53" s="3">
        <f t="shared" si="2"/>
        <v>2.8021253580782723E-2</v>
      </c>
      <c r="H53" s="11">
        <f t="shared" si="3"/>
        <v>0.84252493246724769</v>
      </c>
      <c r="I53" s="6">
        <v>0</v>
      </c>
      <c r="J53" s="6">
        <v>0</v>
      </c>
    </row>
    <row r="54" spans="1:10" x14ac:dyDescent="0.25">
      <c r="A54" s="7">
        <v>7</v>
      </c>
      <c r="B54" s="7">
        <v>6.75</v>
      </c>
      <c r="C54" s="11">
        <v>-1.0944565390944813E-4</v>
      </c>
      <c r="D54" s="11">
        <v>2.6920269702771296E-3</v>
      </c>
      <c r="E54" s="11">
        <v>-2.0739229161565641E-2</v>
      </c>
      <c r="F54" s="1">
        <v>7.9015240430281408E-2</v>
      </c>
      <c r="G54" s="3">
        <f t="shared" si="2"/>
        <v>2.8210098551960563E-2</v>
      </c>
      <c r="H54" s="11">
        <f t="shared" si="3"/>
        <v>0.8366638400611911</v>
      </c>
      <c r="I54" s="6">
        <v>0</v>
      </c>
      <c r="J54" s="6">
        <v>0</v>
      </c>
    </row>
    <row r="55" spans="1:10" x14ac:dyDescent="0.25">
      <c r="A55" s="7">
        <v>7.25</v>
      </c>
      <c r="B55" s="7">
        <v>6.75</v>
      </c>
      <c r="C55" s="11">
        <v>-1.0944565390944813E-4</v>
      </c>
      <c r="D55" s="11">
        <v>2.6920269702771296E-3</v>
      </c>
      <c r="E55" s="11">
        <v>-2.0739229161565641E-2</v>
      </c>
      <c r="F55" s="1">
        <v>7.9015240430281408E-2</v>
      </c>
      <c r="G55" s="3">
        <f t="shared" si="2"/>
        <v>2.8448152052910708E-2</v>
      </c>
      <c r="H55" s="11">
        <f t="shared" si="3"/>
        <v>0.83080457035937672</v>
      </c>
      <c r="I55" s="6">
        <v>0</v>
      </c>
      <c r="J55" s="6">
        <v>0</v>
      </c>
    </row>
    <row r="56" spans="1:10" x14ac:dyDescent="0.25">
      <c r="A56" s="7">
        <v>7.5</v>
      </c>
      <c r="B56" s="7">
        <v>6.75</v>
      </c>
      <c r="C56" s="11">
        <v>-1.0944565390944813E-4</v>
      </c>
      <c r="D56" s="11">
        <v>2.6920269702771296E-3</v>
      </c>
      <c r="E56" s="11">
        <v>-2.0739229161565641E-2</v>
      </c>
      <c r="F56" s="1">
        <v>7.9015240430281408E-2</v>
      </c>
      <c r="G56" s="3">
        <f t="shared" si="2"/>
        <v>2.8725153553579214E-2</v>
      </c>
      <c r="H56" s="11">
        <f t="shared" si="3"/>
        <v>0.82493758291117225</v>
      </c>
      <c r="I56" s="6">
        <v>0</v>
      </c>
      <c r="J56" s="6">
        <v>0</v>
      </c>
    </row>
    <row r="57" spans="1:10" x14ac:dyDescent="0.25">
      <c r="A57" s="7">
        <v>7.75</v>
      </c>
      <c r="B57" s="7">
        <v>6.75</v>
      </c>
      <c r="C57" s="11">
        <v>-1.0944565390944813E-4</v>
      </c>
      <c r="D57" s="11">
        <v>2.6920269702771296E-3</v>
      </c>
      <c r="E57" s="11">
        <v>-2.0739229161565641E-2</v>
      </c>
      <c r="F57" s="1">
        <v>7.9015240430281408E-2</v>
      </c>
      <c r="G57" s="3">
        <f t="shared" si="2"/>
        <v>2.9030842523912026E-2</v>
      </c>
      <c r="H57" s="11">
        <f t="shared" si="3"/>
        <v>0.81905570766824576</v>
      </c>
      <c r="I57" s="6">
        <v>0</v>
      </c>
      <c r="J57" s="6">
        <v>0</v>
      </c>
    </row>
    <row r="58" spans="1:10" x14ac:dyDescent="0.25">
      <c r="A58" s="7">
        <v>8</v>
      </c>
      <c r="B58" s="7">
        <v>6.75</v>
      </c>
      <c r="C58" s="11">
        <v>-1.0944565390944813E-4</v>
      </c>
      <c r="D58" s="11">
        <v>2.6920269702771296E-3</v>
      </c>
      <c r="E58" s="11">
        <v>-2.0739229161565641E-2</v>
      </c>
      <c r="F58" s="1">
        <v>7.9015240430281408E-2</v>
      </c>
      <c r="G58" s="3">
        <f t="shared" si="2"/>
        <v>2.9354958433855133E-2</v>
      </c>
      <c r="H58" s="11">
        <f t="shared" si="3"/>
        <v>0.81315407072452539</v>
      </c>
      <c r="I58" s="6">
        <v>0</v>
      </c>
      <c r="J58" s="6">
        <v>0</v>
      </c>
    </row>
    <row r="59" spans="1:10" x14ac:dyDescent="0.25">
      <c r="A59" s="7">
        <v>8.25</v>
      </c>
      <c r="B59" s="7">
        <v>6.75</v>
      </c>
      <c r="C59" s="11">
        <v>-1.0944565390944813E-4</v>
      </c>
      <c r="D59" s="11">
        <v>2.6920269702771296E-3</v>
      </c>
      <c r="E59" s="11">
        <v>-2.0739229161565641E-2</v>
      </c>
      <c r="F59" s="1">
        <v>7.9015240430281408E-2</v>
      </c>
      <c r="G59" s="3">
        <f t="shared" si="2"/>
        <v>2.9687240753354549E-2</v>
      </c>
      <c r="H59" s="11">
        <f t="shared" si="3"/>
        <v>0.80723001980504105</v>
      </c>
      <c r="I59" s="6">
        <v>0</v>
      </c>
      <c r="J59" s="6">
        <v>0</v>
      </c>
    </row>
    <row r="60" spans="1:10" x14ac:dyDescent="0.25">
      <c r="A60" s="7">
        <v>8.5</v>
      </c>
      <c r="B60" s="7">
        <v>6.75</v>
      </c>
      <c r="C60" s="11">
        <v>-1.0944565390944813E-4</v>
      </c>
      <c r="D60" s="11">
        <v>2.6920269702771296E-3</v>
      </c>
      <c r="E60" s="11">
        <v>-2.0739229161565641E-2</v>
      </c>
      <c r="F60" s="1">
        <v>7.9015240430281408E-2</v>
      </c>
      <c r="G60" s="3">
        <f t="shared" si="2"/>
        <v>3.0017428952356262E-2</v>
      </c>
      <c r="H60" s="11">
        <f t="shared" si="3"/>
        <v>0.80128304910743253</v>
      </c>
      <c r="I60" s="6">
        <v>0</v>
      </c>
      <c r="J60" s="6">
        <v>0</v>
      </c>
    </row>
    <row r="61" spans="1:10" x14ac:dyDescent="0.25">
      <c r="A61" s="7">
        <v>8.75</v>
      </c>
      <c r="B61" s="7">
        <v>6.75</v>
      </c>
      <c r="C61" s="11">
        <v>-1.0944565390944813E-4</v>
      </c>
      <c r="D61" s="11">
        <v>2.6920269702771296E-3</v>
      </c>
      <c r="E61" s="11">
        <v>-2.0739229161565641E-2</v>
      </c>
      <c r="F61" s="1">
        <v>7.9015240430281408E-2</v>
      </c>
      <c r="G61" s="3">
        <f t="shared" si="2"/>
        <v>3.0335262500806204E-2</v>
      </c>
      <c r="H61" s="11">
        <f t="shared" si="3"/>
        <v>0.79531472330702468</v>
      </c>
      <c r="I61" s="6">
        <v>0</v>
      </c>
      <c r="J61" s="6">
        <v>0</v>
      </c>
    </row>
    <row r="62" spans="1:10" x14ac:dyDescent="0.25">
      <c r="A62" s="7">
        <v>9</v>
      </c>
      <c r="B62" s="7">
        <v>6.75</v>
      </c>
      <c r="C62" s="11">
        <v>-1.0944565390944813E-4</v>
      </c>
      <c r="D62" s="11">
        <v>2.6920269702771296E-3</v>
      </c>
      <c r="E62" s="11">
        <v>-2.0739229161565641E-2</v>
      </c>
      <c r="F62" s="1">
        <v>7.9015240430281408E-2</v>
      </c>
      <c r="G62" s="3">
        <f t="shared" si="2"/>
        <v>3.0630480868650417E-2</v>
      </c>
      <c r="H62" s="11">
        <f t="shared" si="3"/>
        <v>0.78932860073137967</v>
      </c>
      <c r="I62" s="6">
        <v>0</v>
      </c>
      <c r="J62" s="6">
        <v>0</v>
      </c>
    </row>
    <row r="63" spans="1:10" x14ac:dyDescent="0.25">
      <c r="A63" s="7">
        <v>9.25</v>
      </c>
      <c r="B63" s="7">
        <v>6.75</v>
      </c>
      <c r="C63" s="11">
        <v>-1.0944565390944813E-4</v>
      </c>
      <c r="D63" s="11">
        <v>2.6920269702771296E-3</v>
      </c>
      <c r="E63" s="11">
        <v>-2.0739229161565641E-2</v>
      </c>
      <c r="F63" s="1">
        <v>7.9015240430281408E-2</v>
      </c>
      <c r="G63" s="3">
        <f t="shared" si="2"/>
        <v>3.0892823525834973E-2</v>
      </c>
      <c r="H63" s="11">
        <f t="shared" si="3"/>
        <v>0.78333015589290111</v>
      </c>
      <c r="I63" s="6">
        <v>0</v>
      </c>
      <c r="J63" s="6">
        <v>0</v>
      </c>
    </row>
    <row r="64" spans="1:10" x14ac:dyDescent="0.25">
      <c r="A64" s="7">
        <v>9.5</v>
      </c>
      <c r="B64" s="7">
        <v>6.75</v>
      </c>
      <c r="C64" s="11">
        <v>-1.0944565390944813E-4</v>
      </c>
      <c r="D64" s="11">
        <v>2.6920269702771296E-3</v>
      </c>
      <c r="E64" s="11">
        <v>-2.0739229161565641E-2</v>
      </c>
      <c r="F64" s="1">
        <v>7.9015240430281408E-2</v>
      </c>
      <c r="G64" s="3">
        <f t="shared" si="2"/>
        <v>3.1112029942305663E-2</v>
      </c>
      <c r="H64" s="11">
        <f t="shared" si="3"/>
        <v>0.7773267017382216</v>
      </c>
      <c r="I64" s="6">
        <v>0</v>
      </c>
      <c r="J64" s="6">
        <v>0</v>
      </c>
    </row>
    <row r="65" spans="1:10" x14ac:dyDescent="0.25">
      <c r="A65" s="7">
        <v>9.75</v>
      </c>
      <c r="B65" s="7">
        <v>9.75</v>
      </c>
      <c r="C65" s="11">
        <v>6.6637221572904032E-8</v>
      </c>
      <c r="D65" s="11">
        <v>-1.3977157224916621E-5</v>
      </c>
      <c r="E65" s="11">
        <v>7.9631479779620324E-4</v>
      </c>
      <c r="F65" s="1">
        <v>2.4780710484650505E-2</v>
      </c>
      <c r="G65" s="3">
        <f t="shared" si="2"/>
        <v>3.127783958800865E-2</v>
      </c>
      <c r="H65" s="11">
        <f t="shared" si="3"/>
        <v>0.77132731213063987</v>
      </c>
      <c r="I65" s="6">
        <v>0</v>
      </c>
      <c r="J65" s="6">
        <v>0</v>
      </c>
    </row>
    <row r="66" spans="1:10" x14ac:dyDescent="0.25">
      <c r="A66" s="7">
        <v>10</v>
      </c>
      <c r="B66" s="7">
        <v>9.75</v>
      </c>
      <c r="C66" s="11">
        <v>6.6637221572904032E-8</v>
      </c>
      <c r="D66" s="11">
        <v>-1.3977157224916621E-5</v>
      </c>
      <c r="E66" s="11">
        <v>7.9631479779620324E-4</v>
      </c>
      <c r="F66" s="1">
        <v>2.4780710484650505E-2</v>
      </c>
      <c r="H66" s="11">
        <f t="shared" si="3"/>
        <v>0.76534274522687684</v>
      </c>
      <c r="I66" s="6">
        <v>0</v>
      </c>
      <c r="J66" s="6">
        <v>0</v>
      </c>
    </row>
  </sheetData>
  <mergeCells count="1">
    <mergeCell ref="B13:E13"/>
  </mergeCells>
  <conditionalFormatting sqref="D3:D10">
    <cfRule type="expression" dxfId="41" priority="36">
      <formula>ABS(D3-C3)&gt;0.000001</formula>
    </cfRule>
  </conditionalFormatting>
  <conditionalFormatting sqref="I26:J66">
    <cfRule type="expression" dxfId="40" priority="2">
      <formula>I26&lt;&gt;0</formula>
    </cfRule>
  </conditionalFormatting>
  <dataValidations count="1">
    <dataValidation type="list" allowBlank="1" showInputMessage="1" showErrorMessage="1" sqref="H16" xr:uid="{8AC18142-66EB-4A3E-9FA9-601D0DCC4332}">
      <formula1>"1,2,4"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6318-62C3-4E74-8E34-144034895045}">
  <dimension ref="A1:DK351"/>
  <sheetViews>
    <sheetView workbookViewId="0">
      <selection activeCell="E3" sqref="E3"/>
    </sheetView>
  </sheetViews>
  <sheetFormatPr defaultRowHeight="15" x14ac:dyDescent="0.25"/>
  <cols>
    <col min="5" max="5" width="9.140625" customWidth="1"/>
    <col min="19" max="19" width="9.85546875" bestFit="1" customWidth="1"/>
    <col min="23" max="23" width="9.140625" customWidth="1"/>
    <col min="30" max="30" width="9.5703125" bestFit="1" customWidth="1"/>
  </cols>
  <sheetData>
    <row r="1" spans="1:115" x14ac:dyDescent="0.25">
      <c r="A1" t="s">
        <v>15</v>
      </c>
      <c r="B1" t="s">
        <v>16</v>
      </c>
      <c r="C1" t="s">
        <v>17</v>
      </c>
      <c r="E1" t="s">
        <v>39</v>
      </c>
      <c r="J1" t="str">
        <f>Pricing!G2</f>
        <v>// Assumptions:</v>
      </c>
    </row>
    <row r="2" spans="1:115" x14ac:dyDescent="0.25">
      <c r="A2" t="str">
        <f>Pricing!A3</f>
        <v>3M Fixing</v>
      </c>
      <c r="B2" s="2">
        <f>Pricing!C3</f>
        <v>2.53E-2</v>
      </c>
      <c r="C2" s="7">
        <f>Pricing!B3</f>
        <v>0.25</v>
      </c>
      <c r="E2" t="s">
        <v>40</v>
      </c>
      <c r="J2" t="s">
        <v>12</v>
      </c>
    </row>
    <row r="3" spans="1:115" x14ac:dyDescent="0.25">
      <c r="A3" t="str">
        <f>Pricing!A4</f>
        <v>1Y Swap</v>
      </c>
      <c r="B3" s="2">
        <f>Pricing!C4</f>
        <v>2.3199999999999998E-2</v>
      </c>
      <c r="C3" s="7">
        <f>Pricing!B4</f>
        <v>1</v>
      </c>
      <c r="E3" t="s">
        <v>4</v>
      </c>
      <c r="F3" s="4">
        <v>1E-4</v>
      </c>
      <c r="J3" t="s">
        <v>13</v>
      </c>
    </row>
    <row r="4" spans="1:115" x14ac:dyDescent="0.25">
      <c r="A4" t="str">
        <f>Pricing!A5</f>
        <v>2Y Swap</v>
      </c>
      <c r="B4" s="2">
        <f>Pricing!C5</f>
        <v>2.29E-2</v>
      </c>
      <c r="C4" s="7">
        <f>Pricing!B5</f>
        <v>2</v>
      </c>
      <c r="J4" t="s">
        <v>100</v>
      </c>
    </row>
    <row r="5" spans="1:115" x14ac:dyDescent="0.25">
      <c r="A5" t="str">
        <f>Pricing!A6</f>
        <v>3Y Swap</v>
      </c>
      <c r="B5" s="2">
        <f>Pricing!C6</f>
        <v>2.3599999999999999E-2</v>
      </c>
      <c r="C5" s="7">
        <f>Pricing!B6</f>
        <v>3</v>
      </c>
      <c r="E5" t="s">
        <v>63</v>
      </c>
      <c r="F5" t="b">
        <v>1</v>
      </c>
      <c r="J5" t="s">
        <v>101</v>
      </c>
    </row>
    <row r="6" spans="1:115" x14ac:dyDescent="0.25">
      <c r="A6" t="str">
        <f>Pricing!A7</f>
        <v>4Y Swap</v>
      </c>
      <c r="B6" s="2">
        <f>Pricing!C7</f>
        <v>2.4199999999999999E-2</v>
      </c>
      <c r="C6" s="7">
        <f>Pricing!B7</f>
        <v>4</v>
      </c>
      <c r="E6" t="s">
        <v>22</v>
      </c>
      <c r="F6">
        <v>1</v>
      </c>
      <c r="J6" t="s">
        <v>37</v>
      </c>
    </row>
    <row r="7" spans="1:115" x14ac:dyDescent="0.25">
      <c r="A7" t="str">
        <f>Pricing!A8</f>
        <v>5Y Swap</v>
      </c>
      <c r="B7" s="2">
        <f>Pricing!C8</f>
        <v>2.4799999999999999E-2</v>
      </c>
      <c r="C7" s="7">
        <f>Pricing!B8</f>
        <v>5</v>
      </c>
      <c r="J7" t="s">
        <v>38</v>
      </c>
    </row>
    <row r="8" spans="1:115" x14ac:dyDescent="0.25">
      <c r="A8" t="str">
        <f>Pricing!A9</f>
        <v>7Y Swap</v>
      </c>
      <c r="B8" s="2">
        <f>Pricing!C9</f>
        <v>2.5700000000000001E-2</v>
      </c>
      <c r="C8" s="7">
        <f>Pricing!B9</f>
        <v>7</v>
      </c>
      <c r="J8" t="s">
        <v>102</v>
      </c>
    </row>
    <row r="9" spans="1:115" x14ac:dyDescent="0.25">
      <c r="A9" t="str">
        <f>Pricing!A10</f>
        <v>10Y Swap</v>
      </c>
      <c r="B9" s="2">
        <f>Pricing!C10</f>
        <v>2.69E-2</v>
      </c>
      <c r="C9" s="7">
        <f>Pricing!B10</f>
        <v>10</v>
      </c>
      <c r="J9" t="s">
        <v>103</v>
      </c>
    </row>
    <row r="11" spans="1:115" x14ac:dyDescent="0.25">
      <c r="A11" s="5" t="s">
        <v>46</v>
      </c>
      <c r="B11" s="5"/>
      <c r="C11" s="5"/>
      <c r="D11" s="5"/>
      <c r="E11" s="5"/>
      <c r="F11" s="5"/>
      <c r="G11" s="5"/>
      <c r="H11" s="5"/>
      <c r="I11" s="5"/>
      <c r="J11" s="5"/>
      <c r="K11" s="5"/>
      <c r="M11" s="5" t="s">
        <v>48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Z11" s="5" t="s">
        <v>49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M11" s="5" t="s">
        <v>50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Z11" s="5" t="s">
        <v>51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M11" s="5" t="s">
        <v>52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Z11" s="5" t="s">
        <v>53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M11" s="5" t="s">
        <v>54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Z11" s="5" t="s">
        <v>55</v>
      </c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</row>
    <row r="12" spans="1:115" x14ac:dyDescent="0.25">
      <c r="A12" s="29" t="s">
        <v>60</v>
      </c>
      <c r="B12" s="29"/>
      <c r="C12" s="29" t="s">
        <v>61</v>
      </c>
      <c r="D12" s="29"/>
      <c r="E12" t="s">
        <v>62</v>
      </c>
      <c r="F12" s="29" t="s">
        <v>42</v>
      </c>
      <c r="G12" s="29"/>
      <c r="H12" s="29" t="s">
        <v>41</v>
      </c>
      <c r="I12" s="29"/>
      <c r="J12" s="29"/>
      <c r="K12" s="29"/>
      <c r="M12" t="s">
        <v>4</v>
      </c>
      <c r="N12" s="29" t="s">
        <v>60</v>
      </c>
      <c r="O12" s="29"/>
      <c r="P12" s="29" t="s">
        <v>61</v>
      </c>
      <c r="Q12" s="29"/>
      <c r="R12" t="s">
        <v>62</v>
      </c>
      <c r="S12" s="29" t="s">
        <v>42</v>
      </c>
      <c r="T12" s="29"/>
      <c r="U12" s="29" t="s">
        <v>41</v>
      </c>
      <c r="V12" s="29"/>
      <c r="W12" s="29"/>
      <c r="X12" s="29"/>
      <c r="Z12" t="s">
        <v>4</v>
      </c>
      <c r="AA12" s="29" t="s">
        <v>60</v>
      </c>
      <c r="AB12" s="29"/>
      <c r="AC12" s="29" t="s">
        <v>61</v>
      </c>
      <c r="AD12" s="29"/>
      <c r="AE12" t="s">
        <v>62</v>
      </c>
      <c r="AF12" s="29" t="s">
        <v>42</v>
      </c>
      <c r="AG12" s="29"/>
      <c r="AH12" s="29" t="s">
        <v>41</v>
      </c>
      <c r="AI12" s="29"/>
      <c r="AJ12" s="29"/>
      <c r="AK12" s="29"/>
      <c r="AM12" t="s">
        <v>4</v>
      </c>
      <c r="AN12" s="29" t="s">
        <v>60</v>
      </c>
      <c r="AO12" s="29"/>
      <c r="AP12" s="29" t="s">
        <v>61</v>
      </c>
      <c r="AQ12" s="29"/>
      <c r="AR12" t="s">
        <v>62</v>
      </c>
      <c r="AS12" s="29" t="s">
        <v>42</v>
      </c>
      <c r="AT12" s="29"/>
      <c r="AU12" s="29" t="s">
        <v>41</v>
      </c>
      <c r="AV12" s="29"/>
      <c r="AW12" s="29"/>
      <c r="AX12" s="29"/>
      <c r="AZ12" t="s">
        <v>4</v>
      </c>
      <c r="BA12" s="29" t="s">
        <v>60</v>
      </c>
      <c r="BB12" s="29"/>
      <c r="BC12" s="29" t="s">
        <v>61</v>
      </c>
      <c r="BD12" s="29"/>
      <c r="BE12" t="s">
        <v>62</v>
      </c>
      <c r="BF12" s="29" t="s">
        <v>42</v>
      </c>
      <c r="BG12" s="29"/>
      <c r="BH12" s="29" t="s">
        <v>41</v>
      </c>
      <c r="BI12" s="29"/>
      <c r="BJ12" s="29"/>
      <c r="BK12" s="29"/>
      <c r="BM12" t="s">
        <v>4</v>
      </c>
      <c r="BN12" s="29" t="s">
        <v>60</v>
      </c>
      <c r="BO12" s="29"/>
      <c r="BP12" s="29" t="s">
        <v>61</v>
      </c>
      <c r="BQ12" s="29"/>
      <c r="BR12" t="s">
        <v>62</v>
      </c>
      <c r="BS12" s="29" t="s">
        <v>42</v>
      </c>
      <c r="BT12" s="29"/>
      <c r="BU12" s="29" t="s">
        <v>41</v>
      </c>
      <c r="BV12" s="29"/>
      <c r="BW12" s="29"/>
      <c r="BX12" s="29"/>
      <c r="BZ12" t="s">
        <v>4</v>
      </c>
      <c r="CA12" s="29" t="s">
        <v>60</v>
      </c>
      <c r="CB12" s="29"/>
      <c r="CC12" s="29" t="s">
        <v>61</v>
      </c>
      <c r="CD12" s="29"/>
      <c r="CE12" t="s">
        <v>62</v>
      </c>
      <c r="CF12" s="29" t="s">
        <v>42</v>
      </c>
      <c r="CG12" s="29"/>
      <c r="CH12" s="29" t="s">
        <v>41</v>
      </c>
      <c r="CI12" s="29"/>
      <c r="CJ12" s="29"/>
      <c r="CK12" s="29"/>
      <c r="CM12" t="s">
        <v>4</v>
      </c>
      <c r="CN12" s="29" t="s">
        <v>60</v>
      </c>
      <c r="CO12" s="29"/>
      <c r="CP12" s="29" t="s">
        <v>61</v>
      </c>
      <c r="CQ12" s="29"/>
      <c r="CR12" t="s">
        <v>62</v>
      </c>
      <c r="CS12" s="29" t="s">
        <v>42</v>
      </c>
      <c r="CT12" s="29"/>
      <c r="CU12" s="29" t="s">
        <v>41</v>
      </c>
      <c r="CV12" s="29"/>
      <c r="CW12" s="29"/>
      <c r="CX12" s="29"/>
      <c r="CZ12" t="s">
        <v>4</v>
      </c>
      <c r="DA12" s="29" t="s">
        <v>60</v>
      </c>
      <c r="DB12" s="29"/>
      <c r="DC12" s="29" t="s">
        <v>61</v>
      </c>
      <c r="DD12" s="29"/>
      <c r="DE12" t="s">
        <v>62</v>
      </c>
      <c r="DF12" s="29" t="s">
        <v>42</v>
      </c>
      <c r="DG12" s="29"/>
      <c r="DH12" s="29" t="s">
        <v>41</v>
      </c>
      <c r="DI12" s="29"/>
      <c r="DJ12" s="29"/>
      <c r="DK12" s="29"/>
    </row>
    <row r="13" spans="1:115" x14ac:dyDescent="0.25">
      <c r="A13" t="s">
        <v>9</v>
      </c>
      <c r="B13" t="s">
        <v>10</v>
      </c>
      <c r="C13" t="s">
        <v>9</v>
      </c>
      <c r="D13" t="s">
        <v>10</v>
      </c>
      <c r="F13" t="s">
        <v>43</v>
      </c>
      <c r="G13" t="s">
        <v>44</v>
      </c>
      <c r="H13" t="s">
        <v>33</v>
      </c>
      <c r="I13" t="s">
        <v>34</v>
      </c>
      <c r="J13" t="s">
        <v>35</v>
      </c>
      <c r="K13" t="s">
        <v>36</v>
      </c>
      <c r="M13" s="3">
        <f>$F$3</f>
        <v>1E-4</v>
      </c>
      <c r="N13" t="s">
        <v>9</v>
      </c>
      <c r="O13" t="s">
        <v>10</v>
      </c>
      <c r="P13" t="s">
        <v>9</v>
      </c>
      <c r="Q13" t="s">
        <v>10</v>
      </c>
      <c r="S13" t="s">
        <v>43</v>
      </c>
      <c r="T13" t="s">
        <v>44</v>
      </c>
      <c r="U13" t="s">
        <v>33</v>
      </c>
      <c r="V13" t="s">
        <v>34</v>
      </c>
      <c r="W13" t="s">
        <v>35</v>
      </c>
      <c r="X13" t="s">
        <v>36</v>
      </c>
      <c r="Z13" s="3">
        <f>$F$3</f>
        <v>1E-4</v>
      </c>
      <c r="AA13" t="s">
        <v>9</v>
      </c>
      <c r="AB13" t="s">
        <v>10</v>
      </c>
      <c r="AC13" t="s">
        <v>9</v>
      </c>
      <c r="AD13" t="s">
        <v>10</v>
      </c>
      <c r="AF13" t="s">
        <v>43</v>
      </c>
      <c r="AG13" t="s">
        <v>44</v>
      </c>
      <c r="AH13" t="s">
        <v>33</v>
      </c>
      <c r="AI13" t="s">
        <v>34</v>
      </c>
      <c r="AJ13" t="s">
        <v>35</v>
      </c>
      <c r="AK13" t="s">
        <v>36</v>
      </c>
      <c r="AM13" s="3">
        <f>$F$3</f>
        <v>1E-4</v>
      </c>
      <c r="AN13" t="s">
        <v>9</v>
      </c>
      <c r="AO13" t="s">
        <v>10</v>
      </c>
      <c r="AP13" t="s">
        <v>9</v>
      </c>
      <c r="AQ13" t="s">
        <v>10</v>
      </c>
      <c r="AS13" t="s">
        <v>43</v>
      </c>
      <c r="AT13" t="s">
        <v>44</v>
      </c>
      <c r="AU13" t="s">
        <v>33</v>
      </c>
      <c r="AV13" t="s">
        <v>34</v>
      </c>
      <c r="AW13" t="s">
        <v>35</v>
      </c>
      <c r="AX13" t="s">
        <v>36</v>
      </c>
      <c r="AZ13" s="3">
        <f>$F$3</f>
        <v>1E-4</v>
      </c>
      <c r="BA13" t="s">
        <v>9</v>
      </c>
      <c r="BB13" t="s">
        <v>10</v>
      </c>
      <c r="BC13" t="s">
        <v>9</v>
      </c>
      <c r="BD13" t="s">
        <v>10</v>
      </c>
      <c r="BF13" t="s">
        <v>43</v>
      </c>
      <c r="BG13" t="s">
        <v>44</v>
      </c>
      <c r="BH13" t="s">
        <v>33</v>
      </c>
      <c r="BI13" t="s">
        <v>34</v>
      </c>
      <c r="BJ13" t="s">
        <v>35</v>
      </c>
      <c r="BK13" t="s">
        <v>36</v>
      </c>
      <c r="BM13" s="3">
        <f>$F$3</f>
        <v>1E-4</v>
      </c>
      <c r="BN13" t="s">
        <v>9</v>
      </c>
      <c r="BO13" t="s">
        <v>10</v>
      </c>
      <c r="BP13" t="s">
        <v>9</v>
      </c>
      <c r="BQ13" t="s">
        <v>10</v>
      </c>
      <c r="BS13" t="s">
        <v>43</v>
      </c>
      <c r="BT13" t="s">
        <v>44</v>
      </c>
      <c r="BU13" t="s">
        <v>33</v>
      </c>
      <c r="BV13" t="s">
        <v>34</v>
      </c>
      <c r="BW13" t="s">
        <v>35</v>
      </c>
      <c r="BX13" t="s">
        <v>36</v>
      </c>
      <c r="BZ13" s="3">
        <f>$F$3</f>
        <v>1E-4</v>
      </c>
      <c r="CA13" t="s">
        <v>9</v>
      </c>
      <c r="CB13" t="s">
        <v>10</v>
      </c>
      <c r="CC13" t="s">
        <v>9</v>
      </c>
      <c r="CD13" t="s">
        <v>10</v>
      </c>
      <c r="CF13" t="s">
        <v>43</v>
      </c>
      <c r="CG13" t="s">
        <v>44</v>
      </c>
      <c r="CH13" t="s">
        <v>33</v>
      </c>
      <c r="CI13" t="s">
        <v>34</v>
      </c>
      <c r="CJ13" t="s">
        <v>35</v>
      </c>
      <c r="CK13" t="s">
        <v>36</v>
      </c>
      <c r="CM13" s="3">
        <f>$F$3</f>
        <v>1E-4</v>
      </c>
      <c r="CN13" t="s">
        <v>9</v>
      </c>
      <c r="CO13" t="s">
        <v>10</v>
      </c>
      <c r="CP13" t="s">
        <v>9</v>
      </c>
      <c r="CQ13" t="s">
        <v>10</v>
      </c>
      <c r="CS13" t="s">
        <v>43</v>
      </c>
      <c r="CT13" t="s">
        <v>44</v>
      </c>
      <c r="CU13" t="s">
        <v>33</v>
      </c>
      <c r="CV13" t="s">
        <v>34</v>
      </c>
      <c r="CW13" t="s">
        <v>35</v>
      </c>
      <c r="CX13" t="s">
        <v>36</v>
      </c>
      <c r="CZ13" s="3">
        <f>$F$3</f>
        <v>1E-4</v>
      </c>
      <c r="DA13" t="s">
        <v>9</v>
      </c>
      <c r="DB13" t="s">
        <v>10</v>
      </c>
      <c r="DC13" t="s">
        <v>9</v>
      </c>
      <c r="DD13" t="s">
        <v>10</v>
      </c>
      <c r="DF13" t="s">
        <v>43</v>
      </c>
      <c r="DG13" t="s">
        <v>44</v>
      </c>
      <c r="DH13" t="s">
        <v>33</v>
      </c>
      <c r="DI13" t="s">
        <v>34</v>
      </c>
      <c r="DJ13" t="s">
        <v>35</v>
      </c>
      <c r="DK13" t="s">
        <v>36</v>
      </c>
    </row>
    <row r="14" spans="1:115" x14ac:dyDescent="0.25">
      <c r="A14" s="7">
        <f t="shared" ref="A14:A21" si="0">C2-0.25</f>
        <v>0</v>
      </c>
      <c r="B14" s="9">
        <f>B2</f>
        <v>2.53E-2</v>
      </c>
      <c r="C14" s="7">
        <f>A15</f>
        <v>0.75</v>
      </c>
      <c r="D14" s="9">
        <f>B15</f>
        <v>2.1099999999999994E-2</v>
      </c>
      <c r="E14" s="11">
        <f>(D14-B14)/(C14-A14)</f>
        <v>-5.6000000000000077E-3</v>
      </c>
      <c r="F14" s="15">
        <v>0</v>
      </c>
      <c r="G14" s="11">
        <f t="shared" ref="G14:G20" si="1">IF($F$5, (E14*E15&gt;=0) * AVERAGE(E14:E15), AVERAGE(E14:E15))</f>
        <v>0</v>
      </c>
      <c r="H14" s="11">
        <f t="shared" ref="H14:H21" si="2">(F14+G14-2*(D14-B14)/(C14-A14))/(C14-A14)^2</f>
        <v>1.991111111111114E-2</v>
      </c>
      <c r="I14" s="11">
        <f t="shared" ref="I14:I21" si="3">((D14-B14)/(C14-A14) - F14 - H14*(C14^2 + A14*C14 - 2*A14^2))/(C14-A14)</f>
        <v>-2.2400000000000031E-2</v>
      </c>
      <c r="J14" s="15">
        <f t="shared" ref="J14:J21" si="4">F14-2*I14*A14 - 3*H14*A14^2</f>
        <v>0</v>
      </c>
      <c r="K14" s="11">
        <f t="shared" ref="K14:K21" si="5">B14 -H14*A14^3 - I14*A14^2 - J14*A14</f>
        <v>2.53E-2</v>
      </c>
      <c r="N14" s="7">
        <f>$A14</f>
        <v>0</v>
      </c>
      <c r="O14" s="10">
        <f>$B14+M13</f>
        <v>2.5399999999999999E-2</v>
      </c>
      <c r="P14" s="7">
        <f>N15</f>
        <v>0.75</v>
      </c>
      <c r="Q14" s="9">
        <f>O15</f>
        <v>2.1099999999999994E-2</v>
      </c>
      <c r="R14" s="11">
        <f>(Q14-O14)/(P14-N14)</f>
        <v>-5.7333333333333403E-3</v>
      </c>
      <c r="S14" s="15">
        <v>0</v>
      </c>
      <c r="T14" s="11">
        <f t="shared" ref="T14:T20" si="6">IF($F$5, (R14*R15&gt;=0) * AVERAGE(R14:R15), AVERAGE(R14:R15))</f>
        <v>0</v>
      </c>
      <c r="U14" s="11">
        <f t="shared" ref="U14:U21" si="7">(S14+T14-2*(Q14-O14)/(P14-N14))/(P14-N14)^2</f>
        <v>2.0385185185185211E-2</v>
      </c>
      <c r="V14" s="11">
        <f t="shared" ref="V14:V21" si="8">((Q14-O14)/(P14-N14) - S14 - U14*(P14^2 + N14*P14 - 2*N14^2))/(P14-N14)</f>
        <v>-2.2933333333333361E-2</v>
      </c>
      <c r="W14" s="15">
        <f t="shared" ref="W14:W21" si="9">S14-2*V14*N14 - 3*U14*N14^2</f>
        <v>0</v>
      </c>
      <c r="X14" s="11">
        <f t="shared" ref="X14:X21" si="10">O14 -U14*N14^3 - V14*N14^2 - W14*N14</f>
        <v>2.5399999999999999E-2</v>
      </c>
      <c r="AA14" s="7">
        <f>$A14</f>
        <v>0</v>
      </c>
      <c r="AB14" s="9">
        <f>$B14</f>
        <v>2.53E-2</v>
      </c>
      <c r="AC14" s="7">
        <f>AA15</f>
        <v>0.75</v>
      </c>
      <c r="AD14" s="10">
        <f>AB15</f>
        <v>2.1199999999999993E-2</v>
      </c>
      <c r="AE14" s="11">
        <f>(AD14-AB14)/(AC14-AA14)</f>
        <v>-5.4666666666666752E-3</v>
      </c>
      <c r="AF14" s="15">
        <v>0</v>
      </c>
      <c r="AG14" s="11">
        <f t="shared" ref="AG14:AG20" si="11">IF($F$5, (AE14*AE15&gt;=0) * AVERAGE(AE14:AE15), AVERAGE(AE14:AE15))</f>
        <v>0</v>
      </c>
      <c r="AH14" s="11">
        <f t="shared" ref="AH14:AH21" si="12">(AF14+AG14-2*(AD14-AB14)/(AC14-AA14))/(AC14-AA14)^2</f>
        <v>1.9437037037037069E-2</v>
      </c>
      <c r="AI14" s="11">
        <f t="shared" ref="AI14:AI21" si="13">((AD14-AB14)/(AC14-AA14) - AF14 - AH14*(AC14^2 + AA14*AC14 - 2*AA14^2))/(AC14-AA14)</f>
        <v>-2.1866666666666701E-2</v>
      </c>
      <c r="AJ14" s="15">
        <f t="shared" ref="AJ14:AJ21" si="14">AF14-2*AI14*AA14 - 3*AH14*AA14^2</f>
        <v>0</v>
      </c>
      <c r="AK14" s="11">
        <f t="shared" ref="AK14:AK21" si="15">AB14 -AH14*AA14^3 - AI14*AA14^2 - AJ14*AA14</f>
        <v>2.53E-2</v>
      </c>
      <c r="AN14" s="7">
        <f>$A14</f>
        <v>0</v>
      </c>
      <c r="AO14" s="9">
        <f>$B14</f>
        <v>2.53E-2</v>
      </c>
      <c r="AP14" s="7">
        <f>AN15</f>
        <v>0.75</v>
      </c>
      <c r="AQ14" s="9">
        <f>AO15</f>
        <v>2.1099999999999994E-2</v>
      </c>
      <c r="AR14" s="11">
        <f>(AQ14-AO14)/(AP14-AN14)</f>
        <v>-5.6000000000000077E-3</v>
      </c>
      <c r="AS14" s="15">
        <v>0</v>
      </c>
      <c r="AT14" s="11">
        <f t="shared" ref="AT14:AT20" si="16">IF($F$5, (AR14*AR15&gt;=0) * AVERAGE(AR14:AR15), AVERAGE(AR14:AR15))</f>
        <v>0</v>
      </c>
      <c r="AU14" s="11">
        <f t="shared" ref="AU14:AU21" si="17">(AS14+AT14-2*(AQ14-AO14)/(AP14-AN14))/(AP14-AN14)^2</f>
        <v>1.991111111111114E-2</v>
      </c>
      <c r="AV14" s="11">
        <f t="shared" ref="AV14:AV21" si="18">((AQ14-AO14)/(AP14-AN14) - AS14 - AU14*(AP14^2 + AN14*AP14 - 2*AN14^2))/(AP14-AN14)</f>
        <v>-2.2400000000000031E-2</v>
      </c>
      <c r="AW14" s="15">
        <f t="shared" ref="AW14:AW21" si="19">AS14-2*AV14*AN14 - 3*AU14*AN14^2</f>
        <v>0</v>
      </c>
      <c r="AX14" s="11">
        <f t="shared" ref="AX14:AX21" si="20">AO14 -AU14*AN14^3 - AV14*AN14^2 - AW14*AN14</f>
        <v>2.53E-2</v>
      </c>
      <c r="BA14" s="7">
        <f>$A14</f>
        <v>0</v>
      </c>
      <c r="BB14" s="9">
        <f>$B14</f>
        <v>2.53E-2</v>
      </c>
      <c r="BC14" s="7">
        <f>BA15</f>
        <v>0.75</v>
      </c>
      <c r="BD14" s="9">
        <f>BB15</f>
        <v>2.1099999999999994E-2</v>
      </c>
      <c r="BE14" s="11">
        <f>(BD14-BB14)/(BC14-BA14)</f>
        <v>-5.6000000000000077E-3</v>
      </c>
      <c r="BF14" s="15">
        <v>0</v>
      </c>
      <c r="BG14" s="11">
        <f t="shared" ref="BG14:BG20" si="21">IF($F$5, (BE14*BE15&gt;=0) * AVERAGE(BE14:BE15), AVERAGE(BE14:BE15))</f>
        <v>0</v>
      </c>
      <c r="BH14" s="11">
        <f t="shared" ref="BH14:BH21" si="22">(BF14+BG14-2*(BD14-BB14)/(BC14-BA14))/(BC14-BA14)^2</f>
        <v>1.991111111111114E-2</v>
      </c>
      <c r="BI14" s="11">
        <f t="shared" ref="BI14:BI21" si="23">((BD14-BB14)/(BC14-BA14) - BF14 - BH14*(BC14^2 + BA14*BC14 - 2*BA14^2))/(BC14-BA14)</f>
        <v>-2.2400000000000031E-2</v>
      </c>
      <c r="BJ14" s="15">
        <f t="shared" ref="BJ14:BJ21" si="24">BF14-2*BI14*BA14 - 3*BH14*BA14^2</f>
        <v>0</v>
      </c>
      <c r="BK14" s="11">
        <f t="shared" ref="BK14:BK21" si="25">BB14 -BH14*BA14^3 - BI14*BA14^2 - BJ14*BA14</f>
        <v>2.53E-2</v>
      </c>
      <c r="BN14" s="7">
        <f>$A14</f>
        <v>0</v>
      </c>
      <c r="BO14" s="9">
        <f>$B14</f>
        <v>2.53E-2</v>
      </c>
      <c r="BP14" s="7">
        <f>BN15</f>
        <v>0.75</v>
      </c>
      <c r="BQ14" s="9">
        <f>BO15</f>
        <v>2.1099999999999994E-2</v>
      </c>
      <c r="BR14" s="11">
        <f>(BQ14-BO14)/(BP14-BN14)</f>
        <v>-5.6000000000000077E-3</v>
      </c>
      <c r="BS14" s="15">
        <v>0</v>
      </c>
      <c r="BT14" s="11">
        <f t="shared" ref="BT14:BT20" si="26">IF($F$5, (BR14*BR15&gt;=0) * AVERAGE(BR14:BR15), AVERAGE(BR14:BR15))</f>
        <v>0</v>
      </c>
      <c r="BU14" s="11">
        <f t="shared" ref="BU14:BU21" si="27">(BS14+BT14-2*(BQ14-BO14)/(BP14-BN14))/(BP14-BN14)^2</f>
        <v>1.991111111111114E-2</v>
      </c>
      <c r="BV14" s="11">
        <f t="shared" ref="BV14:BV21" si="28">((BQ14-BO14)/(BP14-BN14) - BS14 - BU14*(BP14^2 + BN14*BP14 - 2*BN14^2))/(BP14-BN14)</f>
        <v>-2.2400000000000031E-2</v>
      </c>
      <c r="BW14" s="15">
        <f t="shared" ref="BW14:BW21" si="29">BS14-2*BV14*BN14 - 3*BU14*BN14^2</f>
        <v>0</v>
      </c>
      <c r="BX14" s="11">
        <f t="shared" ref="BX14:BX21" si="30">BO14 -BU14*BN14^3 - BV14*BN14^2 - BW14*BN14</f>
        <v>2.53E-2</v>
      </c>
      <c r="CA14" s="7">
        <f>$A14</f>
        <v>0</v>
      </c>
      <c r="CB14" s="9">
        <f>$B14</f>
        <v>2.53E-2</v>
      </c>
      <c r="CC14" s="7">
        <f>CA15</f>
        <v>0.75</v>
      </c>
      <c r="CD14" s="9">
        <f>CB15</f>
        <v>2.1099999999999994E-2</v>
      </c>
      <c r="CE14" s="11">
        <f>(CD14-CB14)/(CC14-CA14)</f>
        <v>-5.6000000000000077E-3</v>
      </c>
      <c r="CF14" s="15">
        <v>0</v>
      </c>
      <c r="CG14" s="11">
        <f t="shared" ref="CG14:CG20" si="31">IF($F$5, (CE14*CE15&gt;=0) * AVERAGE(CE14:CE15), AVERAGE(CE14:CE15))</f>
        <v>0</v>
      </c>
      <c r="CH14" s="11">
        <f t="shared" ref="CH14:CH21" si="32">(CF14+CG14-2*(CD14-CB14)/(CC14-CA14))/(CC14-CA14)^2</f>
        <v>1.991111111111114E-2</v>
      </c>
      <c r="CI14" s="11">
        <f t="shared" ref="CI14:CI21" si="33">((CD14-CB14)/(CC14-CA14) - CF14 - CH14*(CC14^2 + CA14*CC14 - 2*CA14^2))/(CC14-CA14)</f>
        <v>-2.2400000000000031E-2</v>
      </c>
      <c r="CJ14" s="15">
        <f t="shared" ref="CJ14:CJ21" si="34">CF14-2*CI14*CA14 - 3*CH14*CA14^2</f>
        <v>0</v>
      </c>
      <c r="CK14" s="11">
        <f t="shared" ref="CK14:CK21" si="35">CB14 -CH14*CA14^3 - CI14*CA14^2 - CJ14*CA14</f>
        <v>2.53E-2</v>
      </c>
      <c r="CN14" s="7">
        <f>$A14</f>
        <v>0</v>
      </c>
      <c r="CO14" s="9">
        <f>$B14</f>
        <v>2.53E-2</v>
      </c>
      <c r="CP14" s="7">
        <f>CN15</f>
        <v>0.75</v>
      </c>
      <c r="CQ14" s="9">
        <f>CO15</f>
        <v>2.1099999999999994E-2</v>
      </c>
      <c r="CR14" s="11">
        <f>(CQ14-CO14)/(CP14-CN14)</f>
        <v>-5.6000000000000077E-3</v>
      </c>
      <c r="CS14" s="15">
        <v>0</v>
      </c>
      <c r="CT14" s="11">
        <f t="shared" ref="CT14:CT20" si="36">IF($F$5, (CR14*CR15&gt;=0) * AVERAGE(CR14:CR15), AVERAGE(CR14:CR15))</f>
        <v>0</v>
      </c>
      <c r="CU14" s="11">
        <f t="shared" ref="CU14:CU21" si="37">(CS14+CT14-2*(CQ14-CO14)/(CP14-CN14))/(CP14-CN14)^2</f>
        <v>1.991111111111114E-2</v>
      </c>
      <c r="CV14" s="11">
        <f t="shared" ref="CV14:CV21" si="38">((CQ14-CO14)/(CP14-CN14) - CS14 - CU14*(CP14^2 + CN14*CP14 - 2*CN14^2))/(CP14-CN14)</f>
        <v>-2.2400000000000031E-2</v>
      </c>
      <c r="CW14" s="15">
        <f t="shared" ref="CW14:CW21" si="39">CS14-2*CV14*CN14 - 3*CU14*CN14^2</f>
        <v>0</v>
      </c>
      <c r="CX14" s="11">
        <f t="shared" ref="CX14:CX21" si="40">CO14 -CU14*CN14^3 - CV14*CN14^2 - CW14*CN14</f>
        <v>2.53E-2</v>
      </c>
      <c r="DA14" s="7">
        <f>$A14</f>
        <v>0</v>
      </c>
      <c r="DB14" s="9">
        <f>$B14</f>
        <v>2.53E-2</v>
      </c>
      <c r="DC14" s="7">
        <f>DA15</f>
        <v>0.75</v>
      </c>
      <c r="DD14" s="9">
        <f>DB15</f>
        <v>2.1099999999999994E-2</v>
      </c>
      <c r="DE14" s="11">
        <f>(DD14-DB14)/(DC14-DA14)</f>
        <v>-5.6000000000000077E-3</v>
      </c>
      <c r="DF14" s="15">
        <v>0</v>
      </c>
      <c r="DG14" s="11">
        <f t="shared" ref="DG14:DG20" si="41">IF($F$5, (DE14*DE15&gt;=0) * AVERAGE(DE14:DE15), AVERAGE(DE14:DE15))</f>
        <v>0</v>
      </c>
      <c r="DH14" s="11">
        <f t="shared" ref="DH14:DH21" si="42">(DF14+DG14-2*(DD14-DB14)/(DC14-DA14))/(DC14-DA14)^2</f>
        <v>1.991111111111114E-2</v>
      </c>
      <c r="DI14" s="11">
        <f t="shared" ref="DI14:DI21" si="43">((DD14-DB14)/(DC14-DA14) - DF14 - DH14*(DC14^2 + DA14*DC14 - 2*DA14^2))/(DC14-DA14)</f>
        <v>-2.2400000000000031E-2</v>
      </c>
      <c r="DJ14" s="15">
        <f t="shared" ref="DJ14:DJ21" si="44">DF14-2*DI14*DA14 - 3*DH14*DA14^2</f>
        <v>0</v>
      </c>
      <c r="DK14" s="11">
        <f t="shared" ref="DK14:DK21" si="45">DB14 -DH14*DA14^3 - DI14*DA14^2 - DJ14*DA14</f>
        <v>2.53E-2</v>
      </c>
    </row>
    <row r="15" spans="1:115" x14ac:dyDescent="0.25">
      <c r="A15" s="7">
        <f t="shared" si="0"/>
        <v>0.75</v>
      </c>
      <c r="B15" s="9">
        <f t="shared" ref="B15:B21" si="46">B14 + 2*(A15-A14)/0.25 / ((A15-A14)/0.25+1) * ((B3*C3 - B2*C2)/(C3-C2) - B14)</f>
        <v>2.1099999999999994E-2</v>
      </c>
      <c r="C15" s="7">
        <f t="shared" ref="C15:C20" si="47">A16</f>
        <v>1.75</v>
      </c>
      <c r="D15" s="9">
        <f t="shared" ref="D15:D20" si="48">B16</f>
        <v>2.3500000000000007E-2</v>
      </c>
      <c r="E15" s="11">
        <f t="shared" ref="E15:E21" si="49">(D15-B15)/(C15-A15)</f>
        <v>2.4000000000000132E-3</v>
      </c>
      <c r="F15" s="15">
        <f>G14</f>
        <v>0</v>
      </c>
      <c r="G15" s="11">
        <f t="shared" si="1"/>
        <v>2.4000000000000028E-3</v>
      </c>
      <c r="H15" s="11">
        <f t="shared" si="2"/>
        <v>-2.4000000000000236E-3</v>
      </c>
      <c r="I15" s="11">
        <f t="shared" si="3"/>
        <v>1.0200000000000091E-2</v>
      </c>
      <c r="J15" s="15">
        <f t="shared" si="4"/>
        <v>-1.1250000000000097E-2</v>
      </c>
      <c r="K15" s="11">
        <f t="shared" si="5"/>
        <v>2.4812500000000026E-2</v>
      </c>
      <c r="N15" s="7">
        <f t="shared" ref="N15:N21" si="50">$A15</f>
        <v>0.75</v>
      </c>
      <c r="O15" s="9">
        <f>$B15</f>
        <v>2.1099999999999994E-2</v>
      </c>
      <c r="P15" s="7">
        <f t="shared" ref="P15:P20" si="51">N16</f>
        <v>1.75</v>
      </c>
      <c r="Q15" s="9">
        <f t="shared" ref="Q15:Q20" si="52">O16</f>
        <v>2.3500000000000007E-2</v>
      </c>
      <c r="R15" s="11">
        <f t="shared" ref="R15:R21" si="53">(Q15-O15)/(P15-N15)</f>
        <v>2.4000000000000132E-3</v>
      </c>
      <c r="S15" s="15">
        <f>T14</f>
        <v>0</v>
      </c>
      <c r="T15" s="11">
        <f t="shared" si="6"/>
        <v>2.4000000000000028E-3</v>
      </c>
      <c r="U15" s="11">
        <f t="shared" si="7"/>
        <v>-2.4000000000000236E-3</v>
      </c>
      <c r="V15" s="11">
        <f t="shared" si="8"/>
        <v>1.0200000000000091E-2</v>
      </c>
      <c r="W15" s="15">
        <f t="shared" si="9"/>
        <v>-1.1250000000000097E-2</v>
      </c>
      <c r="X15" s="11">
        <f t="shared" si="10"/>
        <v>2.4812500000000026E-2</v>
      </c>
      <c r="AA15" s="7">
        <f t="shared" ref="AA15:AA21" si="54">$A15</f>
        <v>0.75</v>
      </c>
      <c r="AB15" s="10">
        <f>$B15+Z13</f>
        <v>2.1199999999999993E-2</v>
      </c>
      <c r="AC15" s="7">
        <f t="shared" ref="AC15:AC20" si="55">AA16</f>
        <v>1.75</v>
      </c>
      <c r="AD15" s="9">
        <f t="shared" ref="AD15:AD20" si="56">AB16</f>
        <v>2.3500000000000007E-2</v>
      </c>
      <c r="AE15" s="11">
        <f t="shared" ref="AE15:AE21" si="57">(AD15-AB15)/(AC15-AA15)</f>
        <v>2.3000000000000138E-3</v>
      </c>
      <c r="AF15" s="15">
        <f>AG14</f>
        <v>0</v>
      </c>
      <c r="AG15" s="11">
        <f t="shared" si="11"/>
        <v>2.3500000000000031E-3</v>
      </c>
      <c r="AH15" s="11">
        <f t="shared" si="12"/>
        <v>-2.2500000000000245E-3</v>
      </c>
      <c r="AI15" s="11">
        <f t="shared" si="13"/>
        <v>9.6125000000000932E-3</v>
      </c>
      <c r="AJ15" s="15">
        <f t="shared" si="14"/>
        <v>-1.0621875000000098E-2</v>
      </c>
      <c r="AK15" s="11">
        <f t="shared" si="15"/>
        <v>2.4708593750000028E-2</v>
      </c>
      <c r="AN15" s="7">
        <f t="shared" ref="AN15:AN21" si="58">$A15</f>
        <v>0.75</v>
      </c>
      <c r="AO15" s="9">
        <f>$B15</f>
        <v>2.1099999999999994E-2</v>
      </c>
      <c r="AP15" s="7">
        <f t="shared" ref="AP15:AP20" si="59">AN16</f>
        <v>1.75</v>
      </c>
      <c r="AQ15" s="10">
        <f t="shared" ref="AQ15:AQ20" si="60">AO16</f>
        <v>2.3600000000000006E-2</v>
      </c>
      <c r="AR15" s="11">
        <f t="shared" ref="AR15:AR21" si="61">(AQ15-AO15)/(AP15-AN15)</f>
        <v>2.5000000000000126E-3</v>
      </c>
      <c r="AS15" s="15">
        <f>AT14</f>
        <v>0</v>
      </c>
      <c r="AT15" s="11">
        <f t="shared" si="16"/>
        <v>2.4000000000000028E-3</v>
      </c>
      <c r="AU15" s="11">
        <f t="shared" si="17"/>
        <v>-2.6000000000000224E-3</v>
      </c>
      <c r="AV15" s="11">
        <f t="shared" si="18"/>
        <v>1.0950000000000085E-2</v>
      </c>
      <c r="AW15" s="15">
        <f t="shared" si="19"/>
        <v>-1.203750000000009E-2</v>
      </c>
      <c r="AX15" s="11">
        <f t="shared" si="20"/>
        <v>2.5065625000000025E-2</v>
      </c>
      <c r="BA15" s="7">
        <f t="shared" ref="BA15:BA21" si="62">$A15</f>
        <v>0.75</v>
      </c>
      <c r="BB15" s="9">
        <f t="shared" ref="BB15:BB21" si="63">$B15</f>
        <v>2.1099999999999994E-2</v>
      </c>
      <c r="BC15" s="7">
        <f t="shared" ref="BC15:BC20" si="64">BA16</f>
        <v>1.75</v>
      </c>
      <c r="BD15" s="9">
        <f>BB16</f>
        <v>2.3500000000000007E-2</v>
      </c>
      <c r="BE15" s="11">
        <f t="shared" ref="BE15:BE21" si="65">(BD15-BB15)/(BC15-BA15)</f>
        <v>2.4000000000000132E-3</v>
      </c>
      <c r="BF15" s="15">
        <f>BG14</f>
        <v>0</v>
      </c>
      <c r="BG15" s="11">
        <f t="shared" si="21"/>
        <v>2.4500000000000025E-3</v>
      </c>
      <c r="BH15" s="11">
        <f t="shared" si="22"/>
        <v>-2.3500000000000239E-3</v>
      </c>
      <c r="BI15" s="11">
        <f t="shared" si="23"/>
        <v>1.0037500000000091E-2</v>
      </c>
      <c r="BJ15" s="15">
        <f t="shared" si="24"/>
        <v>-1.1090625000000097E-2</v>
      </c>
      <c r="BK15" s="11">
        <f t="shared" si="25"/>
        <v>2.4763281250000026E-2</v>
      </c>
      <c r="BN15" s="7">
        <f t="shared" ref="BN15:BN21" si="66">$A15</f>
        <v>0.75</v>
      </c>
      <c r="BO15" s="9">
        <f t="shared" ref="BO15:BO21" si="67">$B15</f>
        <v>2.1099999999999994E-2</v>
      </c>
      <c r="BP15" s="7">
        <f t="shared" ref="BP15:BP20" si="68">BN16</f>
        <v>1.75</v>
      </c>
      <c r="BQ15" s="9">
        <f t="shared" ref="BQ15:BQ20" si="69">BO16</f>
        <v>2.3500000000000007E-2</v>
      </c>
      <c r="BR15" s="11">
        <f t="shared" ref="BR15:BR21" si="70">(BQ15-BO15)/(BP15-BN15)</f>
        <v>2.4000000000000132E-3</v>
      </c>
      <c r="BS15" s="15">
        <f>BT14</f>
        <v>0</v>
      </c>
      <c r="BT15" s="11">
        <f t="shared" si="26"/>
        <v>2.4000000000000028E-3</v>
      </c>
      <c r="BU15" s="11">
        <f t="shared" si="27"/>
        <v>-2.4000000000000236E-3</v>
      </c>
      <c r="BV15" s="11">
        <f t="shared" si="28"/>
        <v>1.0200000000000091E-2</v>
      </c>
      <c r="BW15" s="15">
        <f t="shared" si="29"/>
        <v>-1.1250000000000097E-2</v>
      </c>
      <c r="BX15" s="11">
        <f t="shared" si="30"/>
        <v>2.4812500000000026E-2</v>
      </c>
      <c r="CA15" s="7">
        <f t="shared" ref="CA15:CA21" si="71">$A15</f>
        <v>0.75</v>
      </c>
      <c r="CB15" s="9">
        <f t="shared" ref="CB15:CB21" si="72">$B15</f>
        <v>2.1099999999999994E-2</v>
      </c>
      <c r="CC15" s="7">
        <f t="shared" ref="CC15:CC20" si="73">CA16</f>
        <v>1.75</v>
      </c>
      <c r="CD15" s="9">
        <f t="shared" ref="CD15:CD20" si="74">CB16</f>
        <v>2.3500000000000007E-2</v>
      </c>
      <c r="CE15" s="11">
        <f t="shared" ref="CE15:CE21" si="75">(CD15-CB15)/(CC15-CA15)</f>
        <v>2.4000000000000132E-3</v>
      </c>
      <c r="CF15" s="15">
        <f>CG14</f>
        <v>0</v>
      </c>
      <c r="CG15" s="11">
        <f t="shared" si="31"/>
        <v>2.4000000000000028E-3</v>
      </c>
      <c r="CH15" s="11">
        <f t="shared" si="32"/>
        <v>-2.4000000000000236E-3</v>
      </c>
      <c r="CI15" s="11">
        <f t="shared" si="33"/>
        <v>1.0200000000000091E-2</v>
      </c>
      <c r="CJ15" s="15">
        <f t="shared" si="34"/>
        <v>-1.1250000000000097E-2</v>
      </c>
      <c r="CK15" s="11">
        <f t="shared" si="35"/>
        <v>2.4812500000000026E-2</v>
      </c>
      <c r="CN15" s="7">
        <f t="shared" ref="CN15:CN21" si="76">$A15</f>
        <v>0.75</v>
      </c>
      <c r="CO15" s="9">
        <f t="shared" ref="CO15:CO21" si="77">$B15</f>
        <v>2.1099999999999994E-2</v>
      </c>
      <c r="CP15" s="7">
        <f t="shared" ref="CP15:CP20" si="78">CN16</f>
        <v>1.75</v>
      </c>
      <c r="CQ15" s="9">
        <f t="shared" ref="CQ15:CQ20" si="79">CO16</f>
        <v>2.3500000000000007E-2</v>
      </c>
      <c r="CR15" s="11">
        <f t="shared" ref="CR15:CR21" si="80">(CQ15-CO15)/(CP15-CN15)</f>
        <v>2.4000000000000132E-3</v>
      </c>
      <c r="CS15" s="15">
        <f>CT14</f>
        <v>0</v>
      </c>
      <c r="CT15" s="11">
        <f t="shared" si="36"/>
        <v>2.4000000000000028E-3</v>
      </c>
      <c r="CU15" s="11">
        <f t="shared" si="37"/>
        <v>-2.4000000000000236E-3</v>
      </c>
      <c r="CV15" s="11">
        <f t="shared" si="38"/>
        <v>1.0200000000000091E-2</v>
      </c>
      <c r="CW15" s="15">
        <f t="shared" si="39"/>
        <v>-1.1250000000000097E-2</v>
      </c>
      <c r="CX15" s="11">
        <f t="shared" si="40"/>
        <v>2.4812500000000026E-2</v>
      </c>
      <c r="DA15" s="7">
        <f t="shared" ref="DA15:DA21" si="81">$A15</f>
        <v>0.75</v>
      </c>
      <c r="DB15" s="9">
        <f t="shared" ref="DB15:DB20" si="82">$B15</f>
        <v>2.1099999999999994E-2</v>
      </c>
      <c r="DC15" s="7">
        <f t="shared" ref="DC15:DC20" si="83">DA16</f>
        <v>1.75</v>
      </c>
      <c r="DD15" s="9">
        <f t="shared" ref="DD15:DD20" si="84">DB16</f>
        <v>2.3500000000000007E-2</v>
      </c>
      <c r="DE15" s="11">
        <f t="shared" ref="DE15:DE21" si="85">(DD15-DB15)/(DC15-DA15)</f>
        <v>2.4000000000000132E-3</v>
      </c>
      <c r="DF15" s="15">
        <f>DG14</f>
        <v>0</v>
      </c>
      <c r="DG15" s="11">
        <f t="shared" si="41"/>
        <v>2.4000000000000028E-3</v>
      </c>
      <c r="DH15" s="11">
        <f t="shared" si="42"/>
        <v>-2.4000000000000236E-3</v>
      </c>
      <c r="DI15" s="11">
        <f t="shared" si="43"/>
        <v>1.0200000000000091E-2</v>
      </c>
      <c r="DJ15" s="15">
        <f t="shared" si="44"/>
        <v>-1.1250000000000097E-2</v>
      </c>
      <c r="DK15" s="11">
        <f t="shared" si="45"/>
        <v>2.4812500000000026E-2</v>
      </c>
    </row>
    <row r="16" spans="1:115" x14ac:dyDescent="0.25">
      <c r="A16" s="7">
        <f t="shared" si="0"/>
        <v>1.75</v>
      </c>
      <c r="B16" s="9">
        <f t="shared" si="46"/>
        <v>2.3500000000000007E-2</v>
      </c>
      <c r="C16" s="7">
        <f t="shared" si="47"/>
        <v>2.75</v>
      </c>
      <c r="D16" s="9">
        <f t="shared" si="48"/>
        <v>2.5899999999999999E-2</v>
      </c>
      <c r="E16" s="11">
        <f t="shared" si="49"/>
        <v>2.3999999999999924E-3</v>
      </c>
      <c r="F16" s="15">
        <f t="shared" ref="F16:F21" si="86">G15</f>
        <v>2.4000000000000028E-3</v>
      </c>
      <c r="G16" s="11">
        <f t="shared" si="1"/>
        <v>1.2799999999999929E-3</v>
      </c>
      <c r="H16" s="11">
        <f t="shared" si="2"/>
        <v>-1.1199999999999891E-3</v>
      </c>
      <c r="I16" s="11">
        <f t="shared" si="3"/>
        <v>6.9999999999999212E-3</v>
      </c>
      <c r="J16" s="15">
        <f t="shared" si="4"/>
        <v>-1.1809999999999821E-2</v>
      </c>
      <c r="K16" s="11">
        <f t="shared" si="5"/>
        <v>2.8732499999999876E-2</v>
      </c>
      <c r="N16" s="7">
        <f t="shared" si="50"/>
        <v>1.75</v>
      </c>
      <c r="O16" s="9">
        <f t="shared" ref="O16:O21" si="87">$B16</f>
        <v>2.3500000000000007E-2</v>
      </c>
      <c r="P16" s="7">
        <f t="shared" si="51"/>
        <v>2.75</v>
      </c>
      <c r="Q16" s="9">
        <f t="shared" si="52"/>
        <v>2.5899999999999999E-2</v>
      </c>
      <c r="R16" s="11">
        <f t="shared" si="53"/>
        <v>2.3999999999999924E-3</v>
      </c>
      <c r="S16" s="15">
        <f t="shared" ref="S16:S21" si="88">T15</f>
        <v>2.4000000000000028E-3</v>
      </c>
      <c r="T16" s="11">
        <f t="shared" si="6"/>
        <v>1.2799999999999929E-3</v>
      </c>
      <c r="U16" s="11">
        <f t="shared" si="7"/>
        <v>-1.1199999999999891E-3</v>
      </c>
      <c r="V16" s="11">
        <f t="shared" si="8"/>
        <v>6.9999999999999212E-3</v>
      </c>
      <c r="W16" s="15">
        <f t="shared" si="9"/>
        <v>-1.1809999999999821E-2</v>
      </c>
      <c r="X16" s="11">
        <f t="shared" si="10"/>
        <v>2.8732499999999876E-2</v>
      </c>
      <c r="AA16" s="7">
        <f t="shared" si="54"/>
        <v>1.75</v>
      </c>
      <c r="AB16" s="9">
        <f t="shared" ref="AB16:AB21" si="89">$B16</f>
        <v>2.3500000000000007E-2</v>
      </c>
      <c r="AC16" s="7">
        <f t="shared" si="55"/>
        <v>2.75</v>
      </c>
      <c r="AD16" s="9">
        <f t="shared" si="56"/>
        <v>2.5899999999999999E-2</v>
      </c>
      <c r="AE16" s="11">
        <f t="shared" si="57"/>
        <v>2.3999999999999924E-3</v>
      </c>
      <c r="AF16" s="15">
        <f t="shared" ref="AF16:AF21" si="90">AG15</f>
        <v>2.3500000000000031E-3</v>
      </c>
      <c r="AG16" s="11">
        <f t="shared" si="11"/>
        <v>1.2799999999999929E-3</v>
      </c>
      <c r="AH16" s="11">
        <f t="shared" si="12"/>
        <v>-1.1699999999999888E-3</v>
      </c>
      <c r="AI16" s="11">
        <f t="shared" si="13"/>
        <v>7.3624999999999195E-3</v>
      </c>
      <c r="AJ16" s="15">
        <f t="shared" si="14"/>
        <v>-1.2669374999999821E-2</v>
      </c>
      <c r="AK16" s="11">
        <f t="shared" si="15"/>
        <v>2.9394218749999881E-2</v>
      </c>
      <c r="AN16" s="7">
        <f t="shared" si="58"/>
        <v>1.75</v>
      </c>
      <c r="AO16" s="10">
        <f>$B16+AM13</f>
        <v>2.3600000000000006E-2</v>
      </c>
      <c r="AP16" s="7">
        <f t="shared" si="59"/>
        <v>2.75</v>
      </c>
      <c r="AQ16" s="9">
        <f t="shared" si="60"/>
        <v>2.5899999999999999E-2</v>
      </c>
      <c r="AR16" s="11">
        <f t="shared" si="61"/>
        <v>2.299999999999993E-3</v>
      </c>
      <c r="AS16" s="15">
        <f t="shared" ref="AS16:AS21" si="91">AT15</f>
        <v>2.4000000000000028E-3</v>
      </c>
      <c r="AT16" s="11">
        <f t="shared" si="16"/>
        <v>1.2299999999999933E-3</v>
      </c>
      <c r="AU16" s="11">
        <f t="shared" si="17"/>
        <v>-9.6999999999998997E-4</v>
      </c>
      <c r="AV16" s="11">
        <f t="shared" si="18"/>
        <v>5.9624999999999279E-3</v>
      </c>
      <c r="AW16" s="15">
        <f t="shared" si="19"/>
        <v>-9.5568749999998381E-3</v>
      </c>
      <c r="AX16" s="11">
        <f t="shared" si="20"/>
        <v>2.7262968749999887E-2</v>
      </c>
      <c r="BA16" s="7">
        <f t="shared" si="62"/>
        <v>1.75</v>
      </c>
      <c r="BB16" s="9">
        <f t="shared" si="63"/>
        <v>2.3500000000000007E-2</v>
      </c>
      <c r="BC16" s="7">
        <f t="shared" si="64"/>
        <v>2.75</v>
      </c>
      <c r="BD16" s="10">
        <f t="shared" ref="BD16:BD20" si="92">BB17</f>
        <v>2.5999999999999999E-2</v>
      </c>
      <c r="BE16" s="11">
        <f t="shared" si="65"/>
        <v>2.4999999999999918E-3</v>
      </c>
      <c r="BF16" s="15">
        <f t="shared" ref="BF16:BF21" si="93">BG15</f>
        <v>2.4500000000000025E-3</v>
      </c>
      <c r="BG16" s="11">
        <f t="shared" si="21"/>
        <v>1.2799999999999929E-3</v>
      </c>
      <c r="BH16" s="11">
        <f t="shared" si="22"/>
        <v>-1.2699999999999882E-3</v>
      </c>
      <c r="BI16" s="11">
        <f t="shared" si="23"/>
        <v>7.9874999999999148E-3</v>
      </c>
      <c r="BJ16" s="15">
        <f t="shared" si="24"/>
        <v>-1.3838124999999812E-2</v>
      </c>
      <c r="BK16" s="11">
        <f t="shared" si="25"/>
        <v>3.0061406249999877E-2</v>
      </c>
      <c r="BN16" s="7">
        <f t="shared" si="66"/>
        <v>1.75</v>
      </c>
      <c r="BO16" s="9">
        <f t="shared" si="67"/>
        <v>2.3500000000000007E-2</v>
      </c>
      <c r="BP16" s="7">
        <f t="shared" si="68"/>
        <v>2.75</v>
      </c>
      <c r="BQ16" s="9">
        <f t="shared" si="69"/>
        <v>2.5899999999999999E-2</v>
      </c>
      <c r="BR16" s="11">
        <f t="shared" si="70"/>
        <v>2.3999999999999924E-3</v>
      </c>
      <c r="BS16" s="15">
        <f t="shared" ref="BS16:BS21" si="94">BT15</f>
        <v>2.4000000000000028E-3</v>
      </c>
      <c r="BT16" s="11">
        <f t="shared" si="26"/>
        <v>1.3299999999999926E-3</v>
      </c>
      <c r="BU16" s="11">
        <f t="shared" si="27"/>
        <v>-1.0699999999999894E-3</v>
      </c>
      <c r="BV16" s="11">
        <f t="shared" si="28"/>
        <v>6.6874999999999227E-3</v>
      </c>
      <c r="BW16" s="15">
        <f t="shared" si="29"/>
        <v>-1.1175624999999825E-2</v>
      </c>
      <c r="BX16" s="11">
        <f t="shared" si="30"/>
        <v>2.8311406249999879E-2</v>
      </c>
      <c r="CA16" s="7">
        <f t="shared" si="71"/>
        <v>1.75</v>
      </c>
      <c r="CB16" s="9">
        <f t="shared" si="72"/>
        <v>2.3500000000000007E-2</v>
      </c>
      <c r="CC16" s="7">
        <f t="shared" si="73"/>
        <v>2.75</v>
      </c>
      <c r="CD16" s="9">
        <f t="shared" si="74"/>
        <v>2.5899999999999999E-2</v>
      </c>
      <c r="CE16" s="11">
        <f t="shared" si="75"/>
        <v>2.3999999999999924E-3</v>
      </c>
      <c r="CF16" s="15">
        <f t="shared" ref="CF16:CF21" si="95">CG15</f>
        <v>2.4000000000000028E-3</v>
      </c>
      <c r="CG16" s="11">
        <f t="shared" si="31"/>
        <v>1.2799999999999929E-3</v>
      </c>
      <c r="CH16" s="11">
        <f t="shared" si="32"/>
        <v>-1.1199999999999891E-3</v>
      </c>
      <c r="CI16" s="11">
        <f t="shared" si="33"/>
        <v>6.9999999999999212E-3</v>
      </c>
      <c r="CJ16" s="15">
        <f t="shared" si="34"/>
        <v>-1.1809999999999821E-2</v>
      </c>
      <c r="CK16" s="11">
        <f t="shared" si="35"/>
        <v>2.8732499999999876E-2</v>
      </c>
      <c r="CN16" s="7">
        <f t="shared" si="76"/>
        <v>1.75</v>
      </c>
      <c r="CO16" s="9">
        <f t="shared" si="77"/>
        <v>2.3500000000000007E-2</v>
      </c>
      <c r="CP16" s="7">
        <f t="shared" si="78"/>
        <v>2.75</v>
      </c>
      <c r="CQ16" s="9">
        <f t="shared" si="79"/>
        <v>2.5899999999999999E-2</v>
      </c>
      <c r="CR16" s="11">
        <f t="shared" si="80"/>
        <v>2.3999999999999924E-3</v>
      </c>
      <c r="CS16" s="15">
        <f t="shared" ref="CS16:CS21" si="96">CT15</f>
        <v>2.4000000000000028E-3</v>
      </c>
      <c r="CT16" s="11">
        <f t="shared" si="36"/>
        <v>1.2799999999999929E-3</v>
      </c>
      <c r="CU16" s="11">
        <f t="shared" si="37"/>
        <v>-1.1199999999999891E-3</v>
      </c>
      <c r="CV16" s="11">
        <f t="shared" si="38"/>
        <v>6.9999999999999212E-3</v>
      </c>
      <c r="CW16" s="15">
        <f t="shared" si="39"/>
        <v>-1.1809999999999821E-2</v>
      </c>
      <c r="CX16" s="11">
        <f t="shared" si="40"/>
        <v>2.8732499999999876E-2</v>
      </c>
      <c r="DA16" s="7">
        <f t="shared" si="81"/>
        <v>1.75</v>
      </c>
      <c r="DB16" s="9">
        <f t="shared" si="82"/>
        <v>2.3500000000000007E-2</v>
      </c>
      <c r="DC16" s="7">
        <f t="shared" si="83"/>
        <v>2.75</v>
      </c>
      <c r="DD16" s="9">
        <f t="shared" si="84"/>
        <v>2.5899999999999999E-2</v>
      </c>
      <c r="DE16" s="11">
        <f t="shared" si="85"/>
        <v>2.3999999999999924E-3</v>
      </c>
      <c r="DF16" s="15">
        <f t="shared" ref="DF16:DF21" si="97">DG15</f>
        <v>2.4000000000000028E-3</v>
      </c>
      <c r="DG16" s="11">
        <f t="shared" si="41"/>
        <v>1.2799999999999929E-3</v>
      </c>
      <c r="DH16" s="11">
        <f t="shared" si="42"/>
        <v>-1.1199999999999891E-3</v>
      </c>
      <c r="DI16" s="11">
        <f t="shared" si="43"/>
        <v>6.9999999999999212E-3</v>
      </c>
      <c r="DJ16" s="15">
        <f t="shared" si="44"/>
        <v>-1.1809999999999821E-2</v>
      </c>
      <c r="DK16" s="11">
        <f t="shared" si="45"/>
        <v>2.8732499999999876E-2</v>
      </c>
    </row>
    <row r="17" spans="1:115" x14ac:dyDescent="0.25">
      <c r="A17" s="7">
        <f t="shared" si="0"/>
        <v>2.75</v>
      </c>
      <c r="B17" s="9">
        <f t="shared" si="46"/>
        <v>2.5899999999999999E-2</v>
      </c>
      <c r="C17" s="7">
        <f t="shared" si="47"/>
        <v>3.75</v>
      </c>
      <c r="D17" s="9">
        <f t="shared" si="48"/>
        <v>2.6059999999999993E-2</v>
      </c>
      <c r="E17" s="11">
        <f t="shared" si="49"/>
        <v>1.5999999999999348E-4</v>
      </c>
      <c r="F17" s="15">
        <f t="shared" si="86"/>
        <v>1.2799999999999929E-3</v>
      </c>
      <c r="G17" s="11">
        <f t="shared" si="1"/>
        <v>9.920000000000033E-4</v>
      </c>
      <c r="H17" s="11">
        <f t="shared" si="2"/>
        <v>1.9520000000000093E-3</v>
      </c>
      <c r="I17" s="11">
        <f t="shared" si="3"/>
        <v>-1.9176000000000085E-2</v>
      </c>
      <c r="J17" s="15">
        <f t="shared" si="4"/>
        <v>6.246200000000024E-2</v>
      </c>
      <c r="K17" s="11">
        <f t="shared" si="5"/>
        <v>-4.144750000000022E-2</v>
      </c>
      <c r="N17" s="7">
        <f t="shared" si="50"/>
        <v>2.75</v>
      </c>
      <c r="O17" s="9">
        <f t="shared" si="87"/>
        <v>2.5899999999999999E-2</v>
      </c>
      <c r="P17" s="7">
        <f t="shared" si="51"/>
        <v>3.75</v>
      </c>
      <c r="Q17" s="9">
        <f t="shared" si="52"/>
        <v>2.6059999999999993E-2</v>
      </c>
      <c r="R17" s="11">
        <f t="shared" si="53"/>
        <v>1.5999999999999348E-4</v>
      </c>
      <c r="S17" s="15">
        <f t="shared" si="88"/>
        <v>1.2799999999999929E-3</v>
      </c>
      <c r="T17" s="11">
        <f t="shared" si="6"/>
        <v>9.920000000000033E-4</v>
      </c>
      <c r="U17" s="11">
        <f t="shared" si="7"/>
        <v>1.9520000000000093E-3</v>
      </c>
      <c r="V17" s="11">
        <f t="shared" si="8"/>
        <v>-1.9176000000000085E-2</v>
      </c>
      <c r="W17" s="15">
        <f t="shared" si="9"/>
        <v>6.246200000000024E-2</v>
      </c>
      <c r="X17" s="11">
        <f t="shared" si="10"/>
        <v>-4.144750000000022E-2</v>
      </c>
      <c r="AA17" s="7">
        <f t="shared" si="54"/>
        <v>2.75</v>
      </c>
      <c r="AB17" s="9">
        <f t="shared" si="89"/>
        <v>2.5899999999999999E-2</v>
      </c>
      <c r="AC17" s="7">
        <f t="shared" si="55"/>
        <v>3.75</v>
      </c>
      <c r="AD17" s="9">
        <f t="shared" si="56"/>
        <v>2.6059999999999993E-2</v>
      </c>
      <c r="AE17" s="11">
        <f t="shared" si="57"/>
        <v>1.5999999999999348E-4</v>
      </c>
      <c r="AF17" s="15">
        <f t="shared" si="90"/>
        <v>1.2799999999999929E-3</v>
      </c>
      <c r="AG17" s="11">
        <f t="shared" si="11"/>
        <v>9.920000000000033E-4</v>
      </c>
      <c r="AH17" s="11">
        <f t="shared" si="12"/>
        <v>1.9520000000000093E-3</v>
      </c>
      <c r="AI17" s="11">
        <f t="shared" si="13"/>
        <v>-1.9176000000000085E-2</v>
      </c>
      <c r="AJ17" s="15">
        <f t="shared" si="14"/>
        <v>6.246200000000024E-2</v>
      </c>
      <c r="AK17" s="11">
        <f t="shared" si="15"/>
        <v>-4.144750000000022E-2</v>
      </c>
      <c r="AN17" s="7">
        <f t="shared" si="58"/>
        <v>2.75</v>
      </c>
      <c r="AO17" s="9">
        <f t="shared" ref="AO17:AO21" si="98">$B17</f>
        <v>2.5899999999999999E-2</v>
      </c>
      <c r="AP17" s="7">
        <f t="shared" si="59"/>
        <v>3.75</v>
      </c>
      <c r="AQ17" s="9">
        <f t="shared" si="60"/>
        <v>2.6059999999999993E-2</v>
      </c>
      <c r="AR17" s="11">
        <f t="shared" si="61"/>
        <v>1.5999999999999348E-4</v>
      </c>
      <c r="AS17" s="15">
        <f t="shared" si="91"/>
        <v>1.2299999999999933E-3</v>
      </c>
      <c r="AT17" s="11">
        <f t="shared" si="16"/>
        <v>9.920000000000033E-4</v>
      </c>
      <c r="AU17" s="11">
        <f t="shared" si="17"/>
        <v>1.9020000000000096E-3</v>
      </c>
      <c r="AV17" s="11">
        <f t="shared" si="18"/>
        <v>-1.866350000000009E-2</v>
      </c>
      <c r="AW17" s="15">
        <f t="shared" si="19"/>
        <v>6.0727625000000278E-2</v>
      </c>
      <c r="AX17" s="11">
        <f t="shared" si="20"/>
        <v>-3.9513906250000286E-2</v>
      </c>
      <c r="BA17" s="7">
        <f t="shared" si="62"/>
        <v>2.75</v>
      </c>
      <c r="BB17" s="10">
        <f>$B17+AZ13</f>
        <v>2.5999999999999999E-2</v>
      </c>
      <c r="BC17" s="7">
        <f t="shared" si="64"/>
        <v>3.75</v>
      </c>
      <c r="BD17" s="9">
        <f t="shared" si="92"/>
        <v>2.6059999999999993E-2</v>
      </c>
      <c r="BE17" s="11">
        <f t="shared" si="65"/>
        <v>5.9999999999994086E-5</v>
      </c>
      <c r="BF17" s="15">
        <f t="shared" si="93"/>
        <v>1.2799999999999929E-3</v>
      </c>
      <c r="BG17" s="11">
        <f t="shared" si="21"/>
        <v>9.420000000000036E-4</v>
      </c>
      <c r="BH17" s="11">
        <f t="shared" si="22"/>
        <v>2.1020000000000084E-3</v>
      </c>
      <c r="BI17" s="11">
        <f t="shared" si="23"/>
        <v>-2.0663500000000078E-2</v>
      </c>
      <c r="BJ17" s="15">
        <f t="shared" si="24"/>
        <v>6.724012500000022E-2</v>
      </c>
      <c r="BK17" s="11">
        <f t="shared" si="25"/>
        <v>-4.6357656250000184E-2</v>
      </c>
      <c r="BN17" s="7">
        <f t="shared" si="66"/>
        <v>2.75</v>
      </c>
      <c r="BO17" s="9">
        <f t="shared" si="67"/>
        <v>2.5899999999999999E-2</v>
      </c>
      <c r="BP17" s="7">
        <f t="shared" si="68"/>
        <v>3.75</v>
      </c>
      <c r="BQ17" s="10">
        <f t="shared" si="69"/>
        <v>2.6159999999999992E-2</v>
      </c>
      <c r="BR17" s="11">
        <f t="shared" si="70"/>
        <v>2.5999999999999288E-4</v>
      </c>
      <c r="BS17" s="15">
        <f t="shared" si="94"/>
        <v>1.3299999999999926E-3</v>
      </c>
      <c r="BT17" s="11">
        <f t="shared" si="26"/>
        <v>9.920000000000033E-4</v>
      </c>
      <c r="BU17" s="11">
        <f t="shared" si="27"/>
        <v>1.8020000000000102E-3</v>
      </c>
      <c r="BV17" s="11">
        <f t="shared" si="28"/>
        <v>-1.7738500000000094E-2</v>
      </c>
      <c r="BW17" s="15">
        <f t="shared" si="29"/>
        <v>5.8008875000000286E-2</v>
      </c>
      <c r="BX17" s="11">
        <f t="shared" si="30"/>
        <v>-3.6952968750000287E-2</v>
      </c>
      <c r="CA17" s="7">
        <f t="shared" si="71"/>
        <v>2.75</v>
      </c>
      <c r="CB17" s="9">
        <f t="shared" si="72"/>
        <v>2.5899999999999999E-2</v>
      </c>
      <c r="CC17" s="7">
        <f t="shared" si="73"/>
        <v>3.75</v>
      </c>
      <c r="CD17" s="9">
        <f t="shared" si="74"/>
        <v>2.6059999999999993E-2</v>
      </c>
      <c r="CE17" s="11">
        <f t="shared" si="75"/>
        <v>1.5999999999999348E-4</v>
      </c>
      <c r="CF17" s="15">
        <f t="shared" si="95"/>
        <v>1.2799999999999929E-3</v>
      </c>
      <c r="CG17" s="11">
        <f t="shared" si="31"/>
        <v>1.042000000000003E-3</v>
      </c>
      <c r="CH17" s="11">
        <f t="shared" si="32"/>
        <v>2.002000000000009E-3</v>
      </c>
      <c r="CI17" s="11">
        <f t="shared" si="33"/>
        <v>-1.9638500000000083E-2</v>
      </c>
      <c r="CJ17" s="15">
        <f t="shared" si="34"/>
        <v>6.3871375000000244E-2</v>
      </c>
      <c r="CK17" s="11">
        <f t="shared" si="35"/>
        <v>-4.2865468750000246E-2</v>
      </c>
      <c r="CN17" s="7">
        <f t="shared" si="76"/>
        <v>2.75</v>
      </c>
      <c r="CO17" s="9">
        <f t="shared" si="77"/>
        <v>2.5899999999999999E-2</v>
      </c>
      <c r="CP17" s="7">
        <f t="shared" si="78"/>
        <v>3.75</v>
      </c>
      <c r="CQ17" s="9">
        <f t="shared" si="79"/>
        <v>2.6059999999999993E-2</v>
      </c>
      <c r="CR17" s="11">
        <f t="shared" si="80"/>
        <v>1.5999999999999348E-4</v>
      </c>
      <c r="CS17" s="15">
        <f t="shared" si="96"/>
        <v>1.2799999999999929E-3</v>
      </c>
      <c r="CT17" s="11">
        <f t="shared" si="36"/>
        <v>9.920000000000033E-4</v>
      </c>
      <c r="CU17" s="11">
        <f t="shared" si="37"/>
        <v>1.9520000000000093E-3</v>
      </c>
      <c r="CV17" s="11">
        <f t="shared" si="38"/>
        <v>-1.9176000000000085E-2</v>
      </c>
      <c r="CW17" s="15">
        <f t="shared" si="39"/>
        <v>6.246200000000024E-2</v>
      </c>
      <c r="CX17" s="11">
        <f t="shared" si="40"/>
        <v>-4.144750000000022E-2</v>
      </c>
      <c r="DA17" s="7">
        <f t="shared" si="81"/>
        <v>2.75</v>
      </c>
      <c r="DB17" s="9">
        <f t="shared" si="82"/>
        <v>2.5899999999999999E-2</v>
      </c>
      <c r="DC17" s="7">
        <f t="shared" si="83"/>
        <v>3.75</v>
      </c>
      <c r="DD17" s="9">
        <f t="shared" si="84"/>
        <v>2.6059999999999993E-2</v>
      </c>
      <c r="DE17" s="11">
        <f t="shared" si="85"/>
        <v>1.5999999999999348E-4</v>
      </c>
      <c r="DF17" s="15">
        <f t="shared" si="97"/>
        <v>1.2799999999999929E-3</v>
      </c>
      <c r="DG17" s="11">
        <f t="shared" si="41"/>
        <v>9.920000000000033E-4</v>
      </c>
      <c r="DH17" s="11">
        <f t="shared" si="42"/>
        <v>1.9520000000000093E-3</v>
      </c>
      <c r="DI17" s="11">
        <f t="shared" si="43"/>
        <v>-1.9176000000000085E-2</v>
      </c>
      <c r="DJ17" s="15">
        <f t="shared" si="44"/>
        <v>6.246200000000024E-2</v>
      </c>
      <c r="DK17" s="11">
        <f t="shared" si="45"/>
        <v>-4.144750000000022E-2</v>
      </c>
    </row>
    <row r="18" spans="1:115" x14ac:dyDescent="0.25">
      <c r="A18" s="7">
        <f t="shared" si="0"/>
        <v>3.75</v>
      </c>
      <c r="B18" s="9">
        <f t="shared" si="46"/>
        <v>2.6059999999999993E-2</v>
      </c>
      <c r="C18" s="7">
        <f t="shared" si="47"/>
        <v>4.75</v>
      </c>
      <c r="D18" s="9">
        <f t="shared" si="48"/>
        <v>2.7884000000000006E-2</v>
      </c>
      <c r="E18" s="11">
        <f t="shared" si="49"/>
        <v>1.8240000000000131E-3</v>
      </c>
      <c r="F18" s="15">
        <f t="shared" si="86"/>
        <v>9.920000000000033E-4</v>
      </c>
      <c r="G18" s="11">
        <f t="shared" si="1"/>
        <v>9.4133333333333829E-4</v>
      </c>
      <c r="H18" s="11">
        <f t="shared" si="2"/>
        <v>-1.7146666666666846E-3</v>
      </c>
      <c r="I18" s="11">
        <f t="shared" si="3"/>
        <v>2.1836666666666896E-2</v>
      </c>
      <c r="J18" s="15">
        <f t="shared" si="4"/>
        <v>-9.044550000000097E-2</v>
      </c>
      <c r="K18" s="11">
        <f t="shared" si="5"/>
        <v>0.14857437500000129</v>
      </c>
      <c r="N18" s="7">
        <f t="shared" si="50"/>
        <v>3.75</v>
      </c>
      <c r="O18" s="9">
        <f t="shared" si="87"/>
        <v>2.6059999999999993E-2</v>
      </c>
      <c r="P18" s="7">
        <f t="shared" si="51"/>
        <v>4.75</v>
      </c>
      <c r="Q18" s="9">
        <f t="shared" si="52"/>
        <v>2.7884000000000006E-2</v>
      </c>
      <c r="R18" s="11">
        <f t="shared" si="53"/>
        <v>1.8240000000000131E-3</v>
      </c>
      <c r="S18" s="15">
        <f t="shared" si="88"/>
        <v>9.920000000000033E-4</v>
      </c>
      <c r="T18" s="11">
        <f t="shared" si="6"/>
        <v>9.4133333333333829E-4</v>
      </c>
      <c r="U18" s="11">
        <f t="shared" si="7"/>
        <v>-1.7146666666666846E-3</v>
      </c>
      <c r="V18" s="11">
        <f t="shared" si="8"/>
        <v>2.1836666666666896E-2</v>
      </c>
      <c r="W18" s="15">
        <f t="shared" si="9"/>
        <v>-9.044550000000097E-2</v>
      </c>
      <c r="X18" s="11">
        <f t="shared" si="10"/>
        <v>0.14857437500000129</v>
      </c>
      <c r="AA18" s="7">
        <f t="shared" si="54"/>
        <v>3.75</v>
      </c>
      <c r="AB18" s="9">
        <f t="shared" si="89"/>
        <v>2.6059999999999993E-2</v>
      </c>
      <c r="AC18" s="7">
        <f t="shared" si="55"/>
        <v>4.75</v>
      </c>
      <c r="AD18" s="9">
        <f t="shared" si="56"/>
        <v>2.7884000000000006E-2</v>
      </c>
      <c r="AE18" s="11">
        <f t="shared" si="57"/>
        <v>1.8240000000000131E-3</v>
      </c>
      <c r="AF18" s="15">
        <f t="shared" si="90"/>
        <v>9.920000000000033E-4</v>
      </c>
      <c r="AG18" s="11">
        <f t="shared" si="11"/>
        <v>9.4133333333333829E-4</v>
      </c>
      <c r="AH18" s="11">
        <f t="shared" si="12"/>
        <v>-1.7146666666666846E-3</v>
      </c>
      <c r="AI18" s="11">
        <f t="shared" si="13"/>
        <v>2.1836666666666896E-2</v>
      </c>
      <c r="AJ18" s="15">
        <f t="shared" si="14"/>
        <v>-9.044550000000097E-2</v>
      </c>
      <c r="AK18" s="11">
        <f t="shared" si="15"/>
        <v>0.14857437500000129</v>
      </c>
      <c r="AN18" s="7">
        <f t="shared" si="58"/>
        <v>3.75</v>
      </c>
      <c r="AO18" s="9">
        <f t="shared" si="98"/>
        <v>2.6059999999999993E-2</v>
      </c>
      <c r="AP18" s="7">
        <f t="shared" si="59"/>
        <v>4.75</v>
      </c>
      <c r="AQ18" s="9">
        <f t="shared" si="60"/>
        <v>2.7884000000000006E-2</v>
      </c>
      <c r="AR18" s="11">
        <f t="shared" si="61"/>
        <v>1.8240000000000131E-3</v>
      </c>
      <c r="AS18" s="15">
        <f t="shared" si="91"/>
        <v>9.920000000000033E-4</v>
      </c>
      <c r="AT18" s="11">
        <f t="shared" si="16"/>
        <v>9.4133333333333829E-4</v>
      </c>
      <c r="AU18" s="11">
        <f t="shared" si="17"/>
        <v>-1.7146666666666846E-3</v>
      </c>
      <c r="AV18" s="11">
        <f t="shared" si="18"/>
        <v>2.1836666666666896E-2</v>
      </c>
      <c r="AW18" s="15">
        <f t="shared" si="19"/>
        <v>-9.044550000000097E-2</v>
      </c>
      <c r="AX18" s="11">
        <f t="shared" si="20"/>
        <v>0.14857437500000129</v>
      </c>
      <c r="BA18" s="7">
        <f t="shared" si="62"/>
        <v>3.75</v>
      </c>
      <c r="BB18" s="9">
        <f t="shared" si="63"/>
        <v>2.6059999999999993E-2</v>
      </c>
      <c r="BC18" s="7">
        <f t="shared" si="64"/>
        <v>4.75</v>
      </c>
      <c r="BD18" s="9">
        <f t="shared" si="92"/>
        <v>2.7884000000000006E-2</v>
      </c>
      <c r="BE18" s="11">
        <f t="shared" si="65"/>
        <v>1.8240000000000131E-3</v>
      </c>
      <c r="BF18" s="15">
        <f t="shared" si="93"/>
        <v>9.420000000000036E-4</v>
      </c>
      <c r="BG18" s="11">
        <f t="shared" si="21"/>
        <v>9.4133333333333829E-4</v>
      </c>
      <c r="BH18" s="11">
        <f t="shared" si="22"/>
        <v>-1.7646666666666843E-3</v>
      </c>
      <c r="BI18" s="11">
        <f t="shared" si="23"/>
        <v>2.2499166666666889E-2</v>
      </c>
      <c r="BJ18" s="15">
        <f t="shared" si="24"/>
        <v>-9.335487500000092E-2</v>
      </c>
      <c r="BK18" s="11">
        <f t="shared" si="25"/>
        <v>0.15280484375000128</v>
      </c>
      <c r="BN18" s="7">
        <f t="shared" si="66"/>
        <v>3.75</v>
      </c>
      <c r="BO18" s="10">
        <f>$B18+BM13</f>
        <v>2.6159999999999992E-2</v>
      </c>
      <c r="BP18" s="7">
        <f t="shared" si="68"/>
        <v>4.75</v>
      </c>
      <c r="BQ18" s="9">
        <f t="shared" si="69"/>
        <v>2.7884000000000006E-2</v>
      </c>
      <c r="BR18" s="11">
        <f t="shared" si="70"/>
        <v>1.7240000000000137E-3</v>
      </c>
      <c r="BS18" s="15">
        <f t="shared" si="94"/>
        <v>9.920000000000033E-4</v>
      </c>
      <c r="BT18" s="11">
        <f t="shared" si="26"/>
        <v>8.9133333333333859E-4</v>
      </c>
      <c r="BU18" s="11">
        <f t="shared" si="27"/>
        <v>-1.5646666666666855E-3</v>
      </c>
      <c r="BV18" s="11">
        <f t="shared" si="28"/>
        <v>1.9899166666666909E-2</v>
      </c>
      <c r="BW18" s="15">
        <f t="shared" si="29"/>
        <v>-8.224237500000102E-2</v>
      </c>
      <c r="BX18" s="11">
        <f t="shared" si="30"/>
        <v>0.13724859375000142</v>
      </c>
      <c r="CA18" s="7">
        <f t="shared" si="71"/>
        <v>3.75</v>
      </c>
      <c r="CB18" s="9">
        <f t="shared" si="72"/>
        <v>2.6059999999999993E-2</v>
      </c>
      <c r="CC18" s="7">
        <f t="shared" si="73"/>
        <v>4.75</v>
      </c>
      <c r="CD18" s="10">
        <f t="shared" si="74"/>
        <v>2.7984000000000005E-2</v>
      </c>
      <c r="CE18" s="11">
        <f t="shared" si="75"/>
        <v>1.9240000000000125E-3</v>
      </c>
      <c r="CF18" s="15">
        <f t="shared" si="95"/>
        <v>1.042000000000003E-3</v>
      </c>
      <c r="CG18" s="11">
        <f t="shared" si="31"/>
        <v>9.6633333333333814E-4</v>
      </c>
      <c r="CH18" s="11">
        <f t="shared" si="32"/>
        <v>-1.8396666666666839E-3</v>
      </c>
      <c r="CI18" s="11">
        <f t="shared" si="33"/>
        <v>2.3417916666666885E-2</v>
      </c>
      <c r="CJ18" s="15">
        <f t="shared" si="34"/>
        <v>-9.6981437500000905E-2</v>
      </c>
      <c r="CK18" s="11">
        <f t="shared" si="35"/>
        <v>0.15743960937500123</v>
      </c>
      <c r="CN18" s="7">
        <f t="shared" si="76"/>
        <v>3.75</v>
      </c>
      <c r="CO18" s="9">
        <f t="shared" si="77"/>
        <v>2.6059999999999993E-2</v>
      </c>
      <c r="CP18" s="7">
        <f t="shared" si="78"/>
        <v>4.75</v>
      </c>
      <c r="CQ18" s="9">
        <f t="shared" si="79"/>
        <v>2.7884000000000006E-2</v>
      </c>
      <c r="CR18" s="11">
        <f t="shared" si="80"/>
        <v>1.8240000000000131E-3</v>
      </c>
      <c r="CS18" s="15">
        <f t="shared" si="96"/>
        <v>9.920000000000033E-4</v>
      </c>
      <c r="CT18" s="11">
        <f t="shared" si="36"/>
        <v>9.6633333333333814E-4</v>
      </c>
      <c r="CU18" s="11">
        <f t="shared" si="37"/>
        <v>-1.6896666666666848E-3</v>
      </c>
      <c r="CV18" s="11">
        <f t="shared" si="38"/>
        <v>2.1530416666666899E-2</v>
      </c>
      <c r="CW18" s="15">
        <f t="shared" si="39"/>
        <v>-8.9203312500000992E-2</v>
      </c>
      <c r="CX18" s="11">
        <f t="shared" si="40"/>
        <v>0.14690445312500142</v>
      </c>
      <c r="DA18" s="7">
        <f t="shared" si="81"/>
        <v>3.75</v>
      </c>
      <c r="DB18" s="9">
        <f t="shared" si="82"/>
        <v>2.6059999999999993E-2</v>
      </c>
      <c r="DC18" s="7">
        <f t="shared" si="83"/>
        <v>4.75</v>
      </c>
      <c r="DD18" s="9">
        <f t="shared" si="84"/>
        <v>2.7884000000000006E-2</v>
      </c>
      <c r="DE18" s="11">
        <f t="shared" si="85"/>
        <v>1.8240000000000131E-3</v>
      </c>
      <c r="DF18" s="15">
        <f t="shared" si="97"/>
        <v>9.920000000000033E-4</v>
      </c>
      <c r="DG18" s="11">
        <f t="shared" si="41"/>
        <v>9.4133333333333829E-4</v>
      </c>
      <c r="DH18" s="11">
        <f t="shared" si="42"/>
        <v>-1.7146666666666846E-3</v>
      </c>
      <c r="DI18" s="11">
        <f t="shared" si="43"/>
        <v>2.1836666666666896E-2</v>
      </c>
      <c r="DJ18" s="15">
        <f t="shared" si="44"/>
        <v>-9.044550000000097E-2</v>
      </c>
      <c r="DK18" s="11">
        <f t="shared" si="45"/>
        <v>0.14857437500000129</v>
      </c>
    </row>
    <row r="19" spans="1:115" x14ac:dyDescent="0.25">
      <c r="A19" s="7">
        <f t="shared" si="0"/>
        <v>4.75</v>
      </c>
      <c r="B19" s="9">
        <f t="shared" si="46"/>
        <v>2.7884000000000006E-2</v>
      </c>
      <c r="C19" s="7">
        <f t="shared" si="47"/>
        <v>6.75</v>
      </c>
      <c r="D19" s="9">
        <f t="shared" si="48"/>
        <v>2.8001333333333333E-2</v>
      </c>
      <c r="E19" s="11">
        <f t="shared" si="49"/>
        <v>5.8666666666663467E-5</v>
      </c>
      <c r="F19" s="15">
        <f t="shared" si="86"/>
        <v>9.4133333333333829E-4</v>
      </c>
      <c r="G19" s="11">
        <f t="shared" si="1"/>
        <v>5.5200000000000008E-4</v>
      </c>
      <c r="H19" s="11">
        <f t="shared" si="2"/>
        <v>3.4400000000000283E-4</v>
      </c>
      <c r="I19" s="11">
        <f t="shared" si="3"/>
        <v>-6.0313333333333833E-3</v>
      </c>
      <c r="J19" s="15">
        <f t="shared" si="4"/>
        <v>3.4954500000000284E-2</v>
      </c>
      <c r="K19" s="11">
        <f t="shared" si="5"/>
        <v>-3.8935041666667197E-2</v>
      </c>
      <c r="N19" s="7">
        <f t="shared" si="50"/>
        <v>4.75</v>
      </c>
      <c r="O19" s="9">
        <f t="shared" si="87"/>
        <v>2.7884000000000006E-2</v>
      </c>
      <c r="P19" s="7">
        <f t="shared" si="51"/>
        <v>6.75</v>
      </c>
      <c r="Q19" s="9">
        <f t="shared" si="52"/>
        <v>2.8001333333333333E-2</v>
      </c>
      <c r="R19" s="11">
        <f t="shared" si="53"/>
        <v>5.8666666666663467E-5</v>
      </c>
      <c r="S19" s="15">
        <f t="shared" si="88"/>
        <v>9.4133333333333829E-4</v>
      </c>
      <c r="T19" s="11">
        <f t="shared" si="6"/>
        <v>5.5200000000000008E-4</v>
      </c>
      <c r="U19" s="11">
        <f t="shared" si="7"/>
        <v>3.4400000000000283E-4</v>
      </c>
      <c r="V19" s="11">
        <f t="shared" si="8"/>
        <v>-6.0313333333333833E-3</v>
      </c>
      <c r="W19" s="15">
        <f t="shared" si="9"/>
        <v>3.4954500000000284E-2</v>
      </c>
      <c r="X19" s="11">
        <f t="shared" si="10"/>
        <v>-3.8935041666667197E-2</v>
      </c>
      <c r="AA19" s="7">
        <f t="shared" si="54"/>
        <v>4.75</v>
      </c>
      <c r="AB19" s="9">
        <f t="shared" si="89"/>
        <v>2.7884000000000006E-2</v>
      </c>
      <c r="AC19" s="7">
        <f t="shared" si="55"/>
        <v>6.75</v>
      </c>
      <c r="AD19" s="9">
        <f t="shared" si="56"/>
        <v>2.8001333333333333E-2</v>
      </c>
      <c r="AE19" s="11">
        <f t="shared" si="57"/>
        <v>5.8666666666663467E-5</v>
      </c>
      <c r="AF19" s="15">
        <f t="shared" si="90"/>
        <v>9.4133333333333829E-4</v>
      </c>
      <c r="AG19" s="11">
        <f t="shared" si="11"/>
        <v>5.5200000000000008E-4</v>
      </c>
      <c r="AH19" s="11">
        <f t="shared" si="12"/>
        <v>3.4400000000000283E-4</v>
      </c>
      <c r="AI19" s="11">
        <f t="shared" si="13"/>
        <v>-6.0313333333333833E-3</v>
      </c>
      <c r="AJ19" s="15">
        <f t="shared" si="14"/>
        <v>3.4954500000000284E-2</v>
      </c>
      <c r="AK19" s="11">
        <f t="shared" si="15"/>
        <v>-3.8935041666667197E-2</v>
      </c>
      <c r="AN19" s="7">
        <f t="shared" si="58"/>
        <v>4.75</v>
      </c>
      <c r="AO19" s="9">
        <f t="shared" si="98"/>
        <v>2.7884000000000006E-2</v>
      </c>
      <c r="AP19" s="7">
        <f t="shared" si="59"/>
        <v>6.75</v>
      </c>
      <c r="AQ19" s="9">
        <f t="shared" si="60"/>
        <v>2.8001333333333333E-2</v>
      </c>
      <c r="AR19" s="11">
        <f t="shared" si="61"/>
        <v>5.8666666666663467E-5</v>
      </c>
      <c r="AS19" s="15">
        <f t="shared" si="91"/>
        <v>9.4133333333333829E-4</v>
      </c>
      <c r="AT19" s="11">
        <f t="shared" si="16"/>
        <v>5.5200000000000008E-4</v>
      </c>
      <c r="AU19" s="11">
        <f t="shared" si="17"/>
        <v>3.4400000000000283E-4</v>
      </c>
      <c r="AV19" s="11">
        <f t="shared" si="18"/>
        <v>-6.0313333333333833E-3</v>
      </c>
      <c r="AW19" s="15">
        <f t="shared" si="19"/>
        <v>3.4954500000000284E-2</v>
      </c>
      <c r="AX19" s="11">
        <f t="shared" si="20"/>
        <v>-3.8935041666667197E-2</v>
      </c>
      <c r="BA19" s="7">
        <f t="shared" si="62"/>
        <v>4.75</v>
      </c>
      <c r="BB19" s="9">
        <f t="shared" si="63"/>
        <v>2.7884000000000006E-2</v>
      </c>
      <c r="BC19" s="7">
        <f t="shared" si="64"/>
        <v>6.75</v>
      </c>
      <c r="BD19" s="9">
        <f t="shared" si="92"/>
        <v>2.8001333333333333E-2</v>
      </c>
      <c r="BE19" s="11">
        <f t="shared" si="65"/>
        <v>5.8666666666663467E-5</v>
      </c>
      <c r="BF19" s="15">
        <f t="shared" si="93"/>
        <v>9.4133333333333829E-4</v>
      </c>
      <c r="BG19" s="11">
        <f t="shared" si="21"/>
        <v>5.5200000000000008E-4</v>
      </c>
      <c r="BH19" s="11">
        <f t="shared" si="22"/>
        <v>3.4400000000000283E-4</v>
      </c>
      <c r="BI19" s="11">
        <f t="shared" si="23"/>
        <v>-6.0313333333333833E-3</v>
      </c>
      <c r="BJ19" s="15">
        <f t="shared" si="24"/>
        <v>3.4954500000000284E-2</v>
      </c>
      <c r="BK19" s="11">
        <f t="shared" si="25"/>
        <v>-3.8935041666667197E-2</v>
      </c>
      <c r="BN19" s="7">
        <f t="shared" si="66"/>
        <v>4.75</v>
      </c>
      <c r="BO19" s="9">
        <f t="shared" si="67"/>
        <v>2.7884000000000006E-2</v>
      </c>
      <c r="BP19" s="7">
        <f t="shared" si="68"/>
        <v>6.75</v>
      </c>
      <c r="BQ19" s="9">
        <f t="shared" si="69"/>
        <v>2.8001333333333333E-2</v>
      </c>
      <c r="BR19" s="11">
        <f t="shared" si="70"/>
        <v>5.8666666666663467E-5</v>
      </c>
      <c r="BS19" s="15">
        <f t="shared" si="94"/>
        <v>8.9133333333333859E-4</v>
      </c>
      <c r="BT19" s="11">
        <f t="shared" si="26"/>
        <v>5.5200000000000008E-4</v>
      </c>
      <c r="BU19" s="11">
        <f t="shared" si="27"/>
        <v>3.3150000000000291E-4</v>
      </c>
      <c r="BV19" s="11">
        <f t="shared" si="28"/>
        <v>-5.8032083333333841E-3</v>
      </c>
      <c r="BW19" s="15">
        <f t="shared" si="29"/>
        <v>3.3583406250000294E-2</v>
      </c>
      <c r="BX19" s="11">
        <f t="shared" si="30"/>
        <v>-3.6229768229167236E-2</v>
      </c>
      <c r="CA19" s="7">
        <f t="shared" si="71"/>
        <v>4.75</v>
      </c>
      <c r="CB19" s="10">
        <f>$B19+BZ13</f>
        <v>2.7984000000000005E-2</v>
      </c>
      <c r="CC19" s="7">
        <f t="shared" si="73"/>
        <v>6.75</v>
      </c>
      <c r="CD19" s="9">
        <f t="shared" si="74"/>
        <v>2.8001333333333333E-2</v>
      </c>
      <c r="CE19" s="11">
        <f t="shared" si="75"/>
        <v>8.6666666666637693E-6</v>
      </c>
      <c r="CF19" s="15">
        <f t="shared" si="95"/>
        <v>9.6633333333333814E-4</v>
      </c>
      <c r="CG19" s="11">
        <f t="shared" si="31"/>
        <v>5.2700000000000023E-4</v>
      </c>
      <c r="CH19" s="11">
        <f t="shared" si="32"/>
        <v>3.6900000000000268E-4</v>
      </c>
      <c r="CI19" s="11">
        <f t="shared" si="33"/>
        <v>-6.4750833333333804E-3</v>
      </c>
      <c r="CJ19" s="15">
        <f t="shared" si="34"/>
        <v>3.750293750000027E-2</v>
      </c>
      <c r="CK19" s="11">
        <f t="shared" si="35"/>
        <v>-4.3607307291667174E-2</v>
      </c>
      <c r="CN19" s="7">
        <f t="shared" si="76"/>
        <v>4.75</v>
      </c>
      <c r="CO19" s="9">
        <f t="shared" si="77"/>
        <v>2.7884000000000006E-2</v>
      </c>
      <c r="CP19" s="7">
        <f t="shared" si="78"/>
        <v>6.75</v>
      </c>
      <c r="CQ19" s="10">
        <f t="shared" si="79"/>
        <v>2.8101333333333332E-2</v>
      </c>
      <c r="CR19" s="11">
        <f t="shared" si="80"/>
        <v>1.0866666666666316E-4</v>
      </c>
      <c r="CS19" s="15">
        <f t="shared" si="96"/>
        <v>9.6633333333333814E-4</v>
      </c>
      <c r="CT19" s="11">
        <f t="shared" si="36"/>
        <v>5.6033333333333336E-4</v>
      </c>
      <c r="CU19" s="11">
        <f t="shared" si="37"/>
        <v>3.2733333333333627E-4</v>
      </c>
      <c r="CV19" s="11">
        <f t="shared" si="38"/>
        <v>-5.7480000000000517E-3</v>
      </c>
      <c r="CW19" s="15">
        <f t="shared" si="39"/>
        <v>3.3415958333333627E-2</v>
      </c>
      <c r="CX19" s="11">
        <f t="shared" si="40"/>
        <v>-3.6233479166667193E-2</v>
      </c>
      <c r="DA19" s="7">
        <f t="shared" si="81"/>
        <v>4.75</v>
      </c>
      <c r="DB19" s="9">
        <f t="shared" si="82"/>
        <v>2.7884000000000006E-2</v>
      </c>
      <c r="DC19" s="7">
        <f t="shared" si="83"/>
        <v>6.75</v>
      </c>
      <c r="DD19" s="9">
        <f t="shared" si="84"/>
        <v>2.8001333333333333E-2</v>
      </c>
      <c r="DE19" s="11">
        <f t="shared" si="85"/>
        <v>5.8666666666663467E-5</v>
      </c>
      <c r="DF19" s="15">
        <f t="shared" si="97"/>
        <v>9.4133333333333829E-4</v>
      </c>
      <c r="DG19" s="11">
        <f t="shared" si="41"/>
        <v>5.6866666666666665E-4</v>
      </c>
      <c r="DH19" s="11">
        <f t="shared" si="42"/>
        <v>3.4816666666666947E-4</v>
      </c>
      <c r="DI19" s="11">
        <f t="shared" si="43"/>
        <v>-6.0990416666667161E-3</v>
      </c>
      <c r="DJ19" s="15">
        <f t="shared" si="44"/>
        <v>3.5315697916666944E-2</v>
      </c>
      <c r="DK19" s="11">
        <f t="shared" si="45"/>
        <v>-3.9569611979167169E-2</v>
      </c>
    </row>
    <row r="20" spans="1:115" x14ac:dyDescent="0.25">
      <c r="A20" s="7">
        <f t="shared" si="0"/>
        <v>6.75</v>
      </c>
      <c r="B20" s="9">
        <f t="shared" si="46"/>
        <v>2.8001333333333333E-2</v>
      </c>
      <c r="C20" s="7">
        <f t="shared" si="47"/>
        <v>9.75</v>
      </c>
      <c r="D20" s="9">
        <f t="shared" si="48"/>
        <v>3.1137333333333343E-2</v>
      </c>
      <c r="E20" s="11">
        <f t="shared" si="49"/>
        <v>1.0453333333333367E-3</v>
      </c>
      <c r="F20" s="15">
        <f t="shared" si="86"/>
        <v>5.5200000000000008E-4</v>
      </c>
      <c r="G20" s="11">
        <f t="shared" si="1"/>
        <v>5.2266666666666835E-4</v>
      </c>
      <c r="H20" s="11">
        <f t="shared" si="2"/>
        <v>-1.1288888888888944E-4</v>
      </c>
      <c r="I20" s="11">
        <f t="shared" si="3"/>
        <v>2.7891111111111254E-3</v>
      </c>
      <c r="J20" s="15">
        <f t="shared" si="4"/>
        <v>-2.167050000000012E-2</v>
      </c>
      <c r="K20" s="11">
        <f t="shared" si="5"/>
        <v>8.1916958333333664E-2</v>
      </c>
      <c r="N20" s="7">
        <f t="shared" si="50"/>
        <v>6.75</v>
      </c>
      <c r="O20" s="9">
        <f t="shared" si="87"/>
        <v>2.8001333333333333E-2</v>
      </c>
      <c r="P20" s="7">
        <f t="shared" si="51"/>
        <v>9.75</v>
      </c>
      <c r="Q20" s="9">
        <f t="shared" si="52"/>
        <v>3.1137333333333343E-2</v>
      </c>
      <c r="R20" s="11">
        <f t="shared" si="53"/>
        <v>1.0453333333333367E-3</v>
      </c>
      <c r="S20" s="15">
        <f t="shared" si="88"/>
        <v>5.5200000000000008E-4</v>
      </c>
      <c r="T20" s="11">
        <f t="shared" si="6"/>
        <v>5.2266666666666835E-4</v>
      </c>
      <c r="U20" s="11">
        <f t="shared" si="7"/>
        <v>-1.1288888888888944E-4</v>
      </c>
      <c r="V20" s="11">
        <f t="shared" si="8"/>
        <v>2.7891111111111254E-3</v>
      </c>
      <c r="W20" s="15">
        <f t="shared" si="9"/>
        <v>-2.167050000000012E-2</v>
      </c>
      <c r="X20" s="11">
        <f t="shared" si="10"/>
        <v>8.1916958333333664E-2</v>
      </c>
      <c r="AA20" s="7">
        <f t="shared" si="54"/>
        <v>6.75</v>
      </c>
      <c r="AB20" s="9">
        <f t="shared" si="89"/>
        <v>2.8001333333333333E-2</v>
      </c>
      <c r="AC20" s="7">
        <f t="shared" si="55"/>
        <v>9.75</v>
      </c>
      <c r="AD20" s="9">
        <f t="shared" si="56"/>
        <v>3.1137333333333343E-2</v>
      </c>
      <c r="AE20" s="11">
        <f t="shared" si="57"/>
        <v>1.0453333333333367E-3</v>
      </c>
      <c r="AF20" s="15">
        <f t="shared" si="90"/>
        <v>5.5200000000000008E-4</v>
      </c>
      <c r="AG20" s="11">
        <f t="shared" si="11"/>
        <v>5.2266666666666835E-4</v>
      </c>
      <c r="AH20" s="11">
        <f t="shared" si="12"/>
        <v>-1.1288888888888944E-4</v>
      </c>
      <c r="AI20" s="11">
        <f t="shared" si="13"/>
        <v>2.7891111111111254E-3</v>
      </c>
      <c r="AJ20" s="15">
        <f t="shared" si="14"/>
        <v>-2.167050000000012E-2</v>
      </c>
      <c r="AK20" s="11">
        <f t="shared" si="15"/>
        <v>8.1916958333333664E-2</v>
      </c>
      <c r="AN20" s="7">
        <f t="shared" si="58"/>
        <v>6.75</v>
      </c>
      <c r="AO20" s="9">
        <f t="shared" si="98"/>
        <v>2.8001333333333333E-2</v>
      </c>
      <c r="AP20" s="7">
        <f t="shared" si="59"/>
        <v>9.75</v>
      </c>
      <c r="AQ20" s="9">
        <f t="shared" si="60"/>
        <v>3.1137333333333343E-2</v>
      </c>
      <c r="AR20" s="11">
        <f t="shared" si="61"/>
        <v>1.0453333333333367E-3</v>
      </c>
      <c r="AS20" s="15">
        <f t="shared" si="91"/>
        <v>5.5200000000000008E-4</v>
      </c>
      <c r="AT20" s="11">
        <f t="shared" si="16"/>
        <v>5.2266666666666835E-4</v>
      </c>
      <c r="AU20" s="11">
        <f t="shared" si="17"/>
        <v>-1.1288888888888944E-4</v>
      </c>
      <c r="AV20" s="11">
        <f t="shared" si="18"/>
        <v>2.7891111111111254E-3</v>
      </c>
      <c r="AW20" s="15">
        <f t="shared" si="19"/>
        <v>-2.167050000000012E-2</v>
      </c>
      <c r="AX20" s="11">
        <f t="shared" si="20"/>
        <v>8.1916958333333664E-2</v>
      </c>
      <c r="BA20" s="7">
        <f t="shared" si="62"/>
        <v>6.75</v>
      </c>
      <c r="BB20" s="9">
        <f t="shared" si="63"/>
        <v>2.8001333333333333E-2</v>
      </c>
      <c r="BC20" s="7">
        <f t="shared" si="64"/>
        <v>9.75</v>
      </c>
      <c r="BD20" s="9">
        <f t="shared" si="92"/>
        <v>3.1137333333333343E-2</v>
      </c>
      <c r="BE20" s="11">
        <f t="shared" si="65"/>
        <v>1.0453333333333367E-3</v>
      </c>
      <c r="BF20" s="15">
        <f t="shared" si="93"/>
        <v>5.5200000000000008E-4</v>
      </c>
      <c r="BG20" s="11">
        <f t="shared" si="21"/>
        <v>5.2266666666666835E-4</v>
      </c>
      <c r="BH20" s="11">
        <f t="shared" si="22"/>
        <v>-1.1288888888888944E-4</v>
      </c>
      <c r="BI20" s="11">
        <f t="shared" si="23"/>
        <v>2.7891111111111254E-3</v>
      </c>
      <c r="BJ20" s="15">
        <f t="shared" si="24"/>
        <v>-2.167050000000012E-2</v>
      </c>
      <c r="BK20" s="11">
        <f t="shared" si="25"/>
        <v>8.1916958333333664E-2</v>
      </c>
      <c r="BN20" s="7">
        <f t="shared" si="66"/>
        <v>6.75</v>
      </c>
      <c r="BO20" s="9">
        <f t="shared" si="67"/>
        <v>2.8001333333333333E-2</v>
      </c>
      <c r="BP20" s="7">
        <f t="shared" si="68"/>
        <v>9.75</v>
      </c>
      <c r="BQ20" s="9">
        <f t="shared" si="69"/>
        <v>3.1137333333333343E-2</v>
      </c>
      <c r="BR20" s="11">
        <f t="shared" si="70"/>
        <v>1.0453333333333367E-3</v>
      </c>
      <c r="BS20" s="15">
        <f t="shared" si="94"/>
        <v>5.5200000000000008E-4</v>
      </c>
      <c r="BT20" s="11">
        <f t="shared" si="26"/>
        <v>5.2266666666666835E-4</v>
      </c>
      <c r="BU20" s="11">
        <f t="shared" si="27"/>
        <v>-1.1288888888888944E-4</v>
      </c>
      <c r="BV20" s="11">
        <f t="shared" si="28"/>
        <v>2.7891111111111254E-3</v>
      </c>
      <c r="BW20" s="15">
        <f t="shared" si="29"/>
        <v>-2.167050000000012E-2</v>
      </c>
      <c r="BX20" s="11">
        <f t="shared" si="30"/>
        <v>8.1916958333333664E-2</v>
      </c>
      <c r="CA20" s="7">
        <f t="shared" si="71"/>
        <v>6.75</v>
      </c>
      <c r="CB20" s="9">
        <f t="shared" si="72"/>
        <v>2.8001333333333333E-2</v>
      </c>
      <c r="CC20" s="7">
        <f t="shared" si="73"/>
        <v>9.75</v>
      </c>
      <c r="CD20" s="9">
        <f t="shared" si="74"/>
        <v>3.1137333333333343E-2</v>
      </c>
      <c r="CE20" s="11">
        <f t="shared" si="75"/>
        <v>1.0453333333333367E-3</v>
      </c>
      <c r="CF20" s="15">
        <f t="shared" si="95"/>
        <v>5.2700000000000023E-4</v>
      </c>
      <c r="CG20" s="11">
        <f t="shared" si="31"/>
        <v>5.2266666666666835E-4</v>
      </c>
      <c r="CH20" s="11">
        <f t="shared" si="32"/>
        <v>-1.156666666666672E-4</v>
      </c>
      <c r="CI20" s="11">
        <f t="shared" si="33"/>
        <v>2.862027777777791E-3</v>
      </c>
      <c r="CJ20" s="15">
        <f t="shared" si="34"/>
        <v>-2.230018750000011E-2</v>
      </c>
      <c r="CK20" s="11">
        <f t="shared" si="35"/>
        <v>8.3699380208333632E-2</v>
      </c>
      <c r="CN20" s="7">
        <f t="shared" si="76"/>
        <v>6.75</v>
      </c>
      <c r="CO20" s="10">
        <f>$B20+CM13</f>
        <v>2.8101333333333332E-2</v>
      </c>
      <c r="CP20" s="7">
        <f t="shared" si="78"/>
        <v>9.75</v>
      </c>
      <c r="CQ20" s="9">
        <f t="shared" si="79"/>
        <v>3.1137333333333343E-2</v>
      </c>
      <c r="CR20" s="11">
        <f t="shared" si="80"/>
        <v>1.0120000000000036E-3</v>
      </c>
      <c r="CS20" s="15">
        <f t="shared" si="96"/>
        <v>5.6033333333333336E-4</v>
      </c>
      <c r="CT20" s="11">
        <f t="shared" si="36"/>
        <v>5.0600000000000178E-4</v>
      </c>
      <c r="CU20" s="11">
        <f t="shared" si="37"/>
        <v>-1.0640740740740799E-4</v>
      </c>
      <c r="CV20" s="11">
        <f t="shared" si="38"/>
        <v>2.6245277777777929E-3</v>
      </c>
      <c r="CW20" s="15">
        <f t="shared" si="39"/>
        <v>-2.0326229166666786E-2</v>
      </c>
      <c r="CX20" s="11">
        <f t="shared" si="40"/>
        <v>7.8448598958333643E-2</v>
      </c>
      <c r="DA20" s="7">
        <f t="shared" si="81"/>
        <v>6.75</v>
      </c>
      <c r="DB20" s="9">
        <f t="shared" si="82"/>
        <v>2.8001333333333333E-2</v>
      </c>
      <c r="DC20" s="7">
        <f t="shared" si="83"/>
        <v>9.75</v>
      </c>
      <c r="DD20" s="10">
        <f t="shared" si="84"/>
        <v>3.1237333333333343E-2</v>
      </c>
      <c r="DE20" s="11">
        <f t="shared" si="85"/>
        <v>1.0786666666666698E-3</v>
      </c>
      <c r="DF20" s="15">
        <f t="shared" si="97"/>
        <v>5.6866666666666665E-4</v>
      </c>
      <c r="DG20" s="11">
        <f t="shared" si="41"/>
        <v>5.3933333333333491E-4</v>
      </c>
      <c r="DH20" s="11">
        <f t="shared" si="42"/>
        <v>-1.1659259259259312E-4</v>
      </c>
      <c r="DI20" s="11">
        <f t="shared" si="43"/>
        <v>2.8807777777777911E-3</v>
      </c>
      <c r="DJ20" s="15">
        <f t="shared" si="44"/>
        <v>-2.2385083333333441E-2</v>
      </c>
      <c r="DK20" s="11">
        <f t="shared" si="45"/>
        <v>8.370289583333361E-2</v>
      </c>
    </row>
    <row r="21" spans="1:115" x14ac:dyDescent="0.25">
      <c r="A21" s="7">
        <f t="shared" si="0"/>
        <v>9.75</v>
      </c>
      <c r="B21" s="9">
        <f t="shared" si="46"/>
        <v>3.1137333333333343E-2</v>
      </c>
      <c r="C21">
        <v>100</v>
      </c>
      <c r="D21" s="9">
        <f>B21</f>
        <v>3.1137333333333343E-2</v>
      </c>
      <c r="E21" s="11">
        <f t="shared" si="49"/>
        <v>0</v>
      </c>
      <c r="F21" s="15">
        <f t="shared" si="86"/>
        <v>5.2266666666666835E-4</v>
      </c>
      <c r="G21" s="11">
        <v>0</v>
      </c>
      <c r="H21" s="11">
        <f t="shared" si="2"/>
        <v>6.416975519422575E-8</v>
      </c>
      <c r="I21" s="11">
        <f t="shared" si="3"/>
        <v>-1.345960615198885E-5</v>
      </c>
      <c r="J21" s="15">
        <f t="shared" si="4"/>
        <v>7.6682857457099766E-4</v>
      </c>
      <c r="K21" s="11">
        <f t="shared" si="5"/>
        <v>2.4880782201896337E-2</v>
      </c>
      <c r="N21" s="7">
        <f t="shared" si="50"/>
        <v>9.75</v>
      </c>
      <c r="O21" s="9">
        <f t="shared" si="87"/>
        <v>3.1137333333333343E-2</v>
      </c>
      <c r="P21" s="7">
        <v>100</v>
      </c>
      <c r="Q21" s="9">
        <f>O21</f>
        <v>3.1137333333333343E-2</v>
      </c>
      <c r="R21" s="11">
        <f t="shared" si="53"/>
        <v>0</v>
      </c>
      <c r="S21" s="15">
        <f t="shared" si="88"/>
        <v>5.2266666666666835E-4</v>
      </c>
      <c r="T21" s="11">
        <v>0</v>
      </c>
      <c r="U21" s="11">
        <f t="shared" si="7"/>
        <v>6.416975519422575E-8</v>
      </c>
      <c r="V21" s="11">
        <f t="shared" si="8"/>
        <v>-1.345960615198885E-5</v>
      </c>
      <c r="W21" s="15">
        <f t="shared" si="9"/>
        <v>7.6682857457099766E-4</v>
      </c>
      <c r="X21" s="11">
        <f t="shared" si="10"/>
        <v>2.4880782201896337E-2</v>
      </c>
      <c r="AA21" s="7">
        <f t="shared" si="54"/>
        <v>9.75</v>
      </c>
      <c r="AB21" s="9">
        <f t="shared" si="89"/>
        <v>3.1137333333333343E-2</v>
      </c>
      <c r="AC21" s="7">
        <v>100</v>
      </c>
      <c r="AD21" s="9">
        <f>AB21</f>
        <v>3.1137333333333343E-2</v>
      </c>
      <c r="AE21" s="11">
        <f t="shared" si="57"/>
        <v>0</v>
      </c>
      <c r="AF21" s="15">
        <f t="shared" si="90"/>
        <v>5.2266666666666835E-4</v>
      </c>
      <c r="AG21" s="11">
        <v>0</v>
      </c>
      <c r="AH21" s="11">
        <f t="shared" si="12"/>
        <v>6.416975519422575E-8</v>
      </c>
      <c r="AI21" s="11">
        <f t="shared" si="13"/>
        <v>-1.345960615198885E-5</v>
      </c>
      <c r="AJ21" s="15">
        <f t="shared" si="14"/>
        <v>7.6682857457099766E-4</v>
      </c>
      <c r="AK21" s="11">
        <f t="shared" si="15"/>
        <v>2.4880782201896337E-2</v>
      </c>
      <c r="AN21" s="7">
        <f t="shared" si="58"/>
        <v>9.75</v>
      </c>
      <c r="AO21" s="9">
        <f t="shared" si="98"/>
        <v>3.1137333333333343E-2</v>
      </c>
      <c r="AP21" s="7">
        <v>100</v>
      </c>
      <c r="AQ21" s="9">
        <f>AO21</f>
        <v>3.1137333333333343E-2</v>
      </c>
      <c r="AR21" s="11">
        <f t="shared" si="61"/>
        <v>0</v>
      </c>
      <c r="AS21" s="15">
        <f t="shared" si="91"/>
        <v>5.2266666666666835E-4</v>
      </c>
      <c r="AT21" s="11">
        <v>0</v>
      </c>
      <c r="AU21" s="11">
        <f t="shared" si="17"/>
        <v>6.416975519422575E-8</v>
      </c>
      <c r="AV21" s="11">
        <f t="shared" si="18"/>
        <v>-1.345960615198885E-5</v>
      </c>
      <c r="AW21" s="15">
        <f t="shared" si="19"/>
        <v>7.6682857457099766E-4</v>
      </c>
      <c r="AX21" s="11">
        <f t="shared" si="20"/>
        <v>2.4880782201896337E-2</v>
      </c>
      <c r="BA21" s="7">
        <f t="shared" si="62"/>
        <v>9.75</v>
      </c>
      <c r="BB21" s="9">
        <f t="shared" si="63"/>
        <v>3.1137333333333343E-2</v>
      </c>
      <c r="BC21" s="7">
        <v>100</v>
      </c>
      <c r="BD21" s="9">
        <f>BB21</f>
        <v>3.1137333333333343E-2</v>
      </c>
      <c r="BE21" s="11">
        <f t="shared" si="65"/>
        <v>0</v>
      </c>
      <c r="BF21" s="15">
        <f t="shared" si="93"/>
        <v>5.2266666666666835E-4</v>
      </c>
      <c r="BG21" s="11">
        <v>0</v>
      </c>
      <c r="BH21" s="11">
        <f t="shared" si="22"/>
        <v>6.416975519422575E-8</v>
      </c>
      <c r="BI21" s="11">
        <f t="shared" si="23"/>
        <v>-1.345960615198885E-5</v>
      </c>
      <c r="BJ21" s="15">
        <f t="shared" si="24"/>
        <v>7.6682857457099766E-4</v>
      </c>
      <c r="BK21" s="11">
        <f t="shared" si="25"/>
        <v>2.4880782201896337E-2</v>
      </c>
      <c r="BN21" s="7">
        <f t="shared" si="66"/>
        <v>9.75</v>
      </c>
      <c r="BO21" s="9">
        <f t="shared" si="67"/>
        <v>3.1137333333333343E-2</v>
      </c>
      <c r="BP21" s="7">
        <v>100</v>
      </c>
      <c r="BQ21" s="9">
        <f>BO21</f>
        <v>3.1137333333333343E-2</v>
      </c>
      <c r="BR21" s="11">
        <f t="shared" si="70"/>
        <v>0</v>
      </c>
      <c r="BS21" s="15">
        <f t="shared" si="94"/>
        <v>5.2266666666666835E-4</v>
      </c>
      <c r="BT21" s="11">
        <v>0</v>
      </c>
      <c r="BU21" s="11">
        <f t="shared" si="27"/>
        <v>6.416975519422575E-8</v>
      </c>
      <c r="BV21" s="11">
        <f t="shared" si="28"/>
        <v>-1.345960615198885E-5</v>
      </c>
      <c r="BW21" s="15">
        <f t="shared" si="29"/>
        <v>7.6682857457099766E-4</v>
      </c>
      <c r="BX21" s="11">
        <f t="shared" si="30"/>
        <v>2.4880782201896337E-2</v>
      </c>
      <c r="CA21" s="7">
        <f t="shared" si="71"/>
        <v>9.75</v>
      </c>
      <c r="CB21" s="9">
        <f t="shared" si="72"/>
        <v>3.1137333333333343E-2</v>
      </c>
      <c r="CC21" s="7">
        <v>100</v>
      </c>
      <c r="CD21" s="9">
        <f>CB21</f>
        <v>3.1137333333333343E-2</v>
      </c>
      <c r="CE21" s="11">
        <f t="shared" si="75"/>
        <v>0</v>
      </c>
      <c r="CF21" s="15">
        <f t="shared" si="95"/>
        <v>5.2266666666666835E-4</v>
      </c>
      <c r="CG21" s="11">
        <v>0</v>
      </c>
      <c r="CH21" s="11">
        <f t="shared" si="32"/>
        <v>6.416975519422575E-8</v>
      </c>
      <c r="CI21" s="11">
        <f t="shared" si="33"/>
        <v>-1.345960615198885E-5</v>
      </c>
      <c r="CJ21" s="15">
        <f t="shared" si="34"/>
        <v>7.6682857457099766E-4</v>
      </c>
      <c r="CK21" s="11">
        <f t="shared" si="35"/>
        <v>2.4880782201896337E-2</v>
      </c>
      <c r="CN21" s="7">
        <f t="shared" si="76"/>
        <v>9.75</v>
      </c>
      <c r="CO21" s="9">
        <f t="shared" si="77"/>
        <v>3.1137333333333343E-2</v>
      </c>
      <c r="CP21" s="7">
        <v>100</v>
      </c>
      <c r="CQ21" s="9">
        <f>CO21</f>
        <v>3.1137333333333343E-2</v>
      </c>
      <c r="CR21" s="11">
        <f t="shared" si="80"/>
        <v>0</v>
      </c>
      <c r="CS21" s="15">
        <f t="shared" si="96"/>
        <v>5.0600000000000178E-4</v>
      </c>
      <c r="CT21" s="11">
        <v>0</v>
      </c>
      <c r="CU21" s="11">
        <f t="shared" si="37"/>
        <v>6.2123525755634378E-8</v>
      </c>
      <c r="CV21" s="11">
        <f t="shared" si="38"/>
        <v>-1.3030409527244312E-5</v>
      </c>
      <c r="CW21" s="15">
        <f t="shared" si="39"/>
        <v>7.4237613277983085E-4</v>
      </c>
      <c r="CX21" s="11">
        <f t="shared" si="40"/>
        <v>2.5080289572158986E-2</v>
      </c>
      <c r="DA21" s="7">
        <f t="shared" si="81"/>
        <v>9.75</v>
      </c>
      <c r="DB21" s="10">
        <f>$B21+CZ13</f>
        <v>3.1237333333333343E-2</v>
      </c>
      <c r="DC21" s="7">
        <v>100</v>
      </c>
      <c r="DD21" s="10">
        <f>DB21</f>
        <v>3.1237333333333343E-2</v>
      </c>
      <c r="DE21" s="11">
        <f t="shared" si="85"/>
        <v>0</v>
      </c>
      <c r="DF21" s="15">
        <f t="shared" si="97"/>
        <v>5.3933333333333491E-4</v>
      </c>
      <c r="DG21" s="11">
        <v>0</v>
      </c>
      <c r="DH21" s="11">
        <f t="shared" si="42"/>
        <v>6.6215984632817108E-8</v>
      </c>
      <c r="DI21" s="11">
        <f t="shared" si="43"/>
        <v>-1.3888802776733389E-5</v>
      </c>
      <c r="DJ21" s="15">
        <f t="shared" si="44"/>
        <v>7.9128101636216446E-4</v>
      </c>
      <c r="DK21" s="11">
        <f t="shared" si="45"/>
        <v>2.4781274831633678E-2</v>
      </c>
    </row>
    <row r="23" spans="1:115" x14ac:dyDescent="0.25">
      <c r="A23" t="str">
        <f t="array" ref="A23:H23">TRANSPOSE($A$2:$A$9)</f>
        <v>3M Fixing</v>
      </c>
      <c r="B23" t="str">
        <v>1Y Swap</v>
      </c>
      <c r="C23" t="str">
        <v>2Y Swap</v>
      </c>
      <c r="D23" t="str">
        <v>3Y Swap</v>
      </c>
      <c r="E23" t="str">
        <v>4Y Swap</v>
      </c>
      <c r="F23" t="str">
        <v>5Y Swap</v>
      </c>
      <c r="G23" t="str">
        <v>7Y Swap</v>
      </c>
      <c r="H23" t="str">
        <v>10Y Swap</v>
      </c>
      <c r="N23" t="str">
        <f t="array" ref="N23:U23">TRANSPOSE($A$2:$A$9)</f>
        <v>3M Fixing</v>
      </c>
      <c r="O23" t="str">
        <v>1Y Swap</v>
      </c>
      <c r="P23" t="str">
        <v>2Y Swap</v>
      </c>
      <c r="Q23" t="str">
        <v>3Y Swap</v>
      </c>
      <c r="R23" t="str">
        <v>4Y Swap</v>
      </c>
      <c r="S23" t="str">
        <v>5Y Swap</v>
      </c>
      <c r="T23" t="str">
        <v>7Y Swap</v>
      </c>
      <c r="U23" t="str">
        <v>10Y Swap</v>
      </c>
      <c r="AA23" t="str">
        <f t="array" ref="AA23:AH23">TRANSPOSE($A$2:$A$9)</f>
        <v>3M Fixing</v>
      </c>
      <c r="AB23" t="str">
        <v>1Y Swap</v>
      </c>
      <c r="AC23" t="str">
        <v>2Y Swap</v>
      </c>
      <c r="AD23" t="str">
        <v>3Y Swap</v>
      </c>
      <c r="AE23" t="str">
        <v>4Y Swap</v>
      </c>
      <c r="AF23" t="str">
        <v>5Y Swap</v>
      </c>
      <c r="AG23" t="str">
        <v>7Y Swap</v>
      </c>
      <c r="AH23" t="str">
        <v>10Y Swap</v>
      </c>
      <c r="AN23" t="str">
        <f t="array" ref="AN23:AU23">TRANSPOSE($A$2:$A$9)</f>
        <v>3M Fixing</v>
      </c>
      <c r="AO23" t="str">
        <v>1Y Swap</v>
      </c>
      <c r="AP23" t="str">
        <v>2Y Swap</v>
      </c>
      <c r="AQ23" t="str">
        <v>3Y Swap</v>
      </c>
      <c r="AR23" t="str">
        <v>4Y Swap</v>
      </c>
      <c r="AS23" t="str">
        <v>5Y Swap</v>
      </c>
      <c r="AT23" t="str">
        <v>7Y Swap</v>
      </c>
      <c r="AU23" t="str">
        <v>10Y Swap</v>
      </c>
      <c r="BA23" t="str">
        <f t="array" ref="BA23:BH23">TRANSPOSE($A$2:$A$9)</f>
        <v>3M Fixing</v>
      </c>
      <c r="BB23" t="str">
        <v>1Y Swap</v>
      </c>
      <c r="BC23" t="str">
        <v>2Y Swap</v>
      </c>
      <c r="BD23" t="str">
        <v>3Y Swap</v>
      </c>
      <c r="BE23" t="str">
        <v>4Y Swap</v>
      </c>
      <c r="BF23" t="str">
        <v>5Y Swap</v>
      </c>
      <c r="BG23" t="str">
        <v>7Y Swap</v>
      </c>
      <c r="BH23" t="str">
        <v>10Y Swap</v>
      </c>
      <c r="BN23" t="str">
        <f t="array" ref="BN23:BU23">TRANSPOSE($A$2:$A$9)</f>
        <v>3M Fixing</v>
      </c>
      <c r="BO23" t="str">
        <v>1Y Swap</v>
      </c>
      <c r="BP23" t="str">
        <v>2Y Swap</v>
      </c>
      <c r="BQ23" t="str">
        <v>3Y Swap</v>
      </c>
      <c r="BR23" t="str">
        <v>4Y Swap</v>
      </c>
      <c r="BS23" t="str">
        <v>5Y Swap</v>
      </c>
      <c r="BT23" t="str">
        <v>7Y Swap</v>
      </c>
      <c r="BU23" t="str">
        <v>10Y Swap</v>
      </c>
      <c r="CA23" t="str">
        <f t="array" ref="CA23:CH23">TRANSPOSE($A$2:$A$9)</f>
        <v>3M Fixing</v>
      </c>
      <c r="CB23" t="str">
        <v>1Y Swap</v>
      </c>
      <c r="CC23" t="str">
        <v>2Y Swap</v>
      </c>
      <c r="CD23" t="str">
        <v>3Y Swap</v>
      </c>
      <c r="CE23" t="str">
        <v>4Y Swap</v>
      </c>
      <c r="CF23" t="str">
        <v>5Y Swap</v>
      </c>
      <c r="CG23" t="str">
        <v>7Y Swap</v>
      </c>
      <c r="CH23" t="str">
        <v>10Y Swap</v>
      </c>
      <c r="CN23" t="str">
        <f t="array" ref="CN23:CU23">TRANSPOSE($A$2:$A$9)</f>
        <v>3M Fixing</v>
      </c>
      <c r="CO23" t="str">
        <v>1Y Swap</v>
      </c>
      <c r="CP23" t="str">
        <v>2Y Swap</v>
      </c>
      <c r="CQ23" t="str">
        <v>3Y Swap</v>
      </c>
      <c r="CR23" t="str">
        <v>4Y Swap</v>
      </c>
      <c r="CS23" t="str">
        <v>5Y Swap</v>
      </c>
      <c r="CT23" t="str">
        <v>7Y Swap</v>
      </c>
      <c r="CU23" t="str">
        <v>10Y Swap</v>
      </c>
      <c r="DA23" t="str">
        <f t="array" ref="DA23:DH23">TRANSPOSE($A$2:$A$9)</f>
        <v>3M Fixing</v>
      </c>
      <c r="DB23" t="str">
        <v>1Y Swap</v>
      </c>
      <c r="DC23" t="str">
        <v>2Y Swap</v>
      </c>
      <c r="DD23" t="str">
        <v>3Y Swap</v>
      </c>
      <c r="DE23" t="str">
        <v>4Y Swap</v>
      </c>
      <c r="DF23" t="str">
        <v>5Y Swap</v>
      </c>
      <c r="DG23" t="str">
        <v>7Y Swap</v>
      </c>
      <c r="DH23" t="str">
        <v>10Y Swap</v>
      </c>
    </row>
    <row r="24" spans="1:115" x14ac:dyDescent="0.25">
      <c r="A24" s="3">
        <f>G27</f>
        <v>2.53E-2</v>
      </c>
      <c r="B24" s="9">
        <f>SUM(I28:I31)/SUM(J28:J31)*$F$6</f>
        <v>2.3402278108190143E-2</v>
      </c>
      <c r="C24" s="9">
        <f>SUM(I28:I35)/SUM(J28:J35)*$F$6</f>
        <v>2.3006359554634447E-2</v>
      </c>
      <c r="D24" s="9">
        <f>SUM(I28:I39)/SUM(J28:J39)*$F$6</f>
        <v>2.3760499494491376E-2</v>
      </c>
      <c r="E24" s="9">
        <f>SUM(I28:I43)/SUM(J28:J43)*$F$6</f>
        <v>2.4366344876812891E-2</v>
      </c>
      <c r="F24" s="9">
        <f>SUM(I28:I47)/SUM(J28:J47)*$F$6</f>
        <v>2.4957821453815601E-2</v>
      </c>
      <c r="G24" s="9">
        <f>SUM(I28:I55)/SUM(J28:J55)*$F$6</f>
        <v>2.5852603351139487E-2</v>
      </c>
      <c r="H24" s="9">
        <f>SUM(I28:I67)/SUM(J28:J67)*$F$6</f>
        <v>2.6982617971744713E-2</v>
      </c>
      <c r="N24" s="3">
        <f>T27</f>
        <v>2.5399999999999999E-2</v>
      </c>
      <c r="O24" s="9">
        <f>SUM(V28:V31)/SUM(W28:W31)*$F$6</f>
        <v>2.3453137552916833E-2</v>
      </c>
      <c r="P24" s="9">
        <f>SUM(V28:V35)/SUM(W28:W35)*$F$6</f>
        <v>2.3032073440578799E-2</v>
      </c>
      <c r="Q24" s="9">
        <f>SUM(V28:V39)/SUM(W28:W39)*$F$6</f>
        <v>2.3777847938479004E-2</v>
      </c>
      <c r="R24" s="9">
        <f>SUM(V28:V43)/SUM(W28:W43)*$F$6</f>
        <v>2.4379517596609591E-2</v>
      </c>
      <c r="S24" s="9">
        <f>SUM(V28:V47)/SUM(W28:W47)*$F$6</f>
        <v>2.49684940250283E-2</v>
      </c>
      <c r="T24" s="9">
        <f>SUM(V28:V55)/SUM(W28:W55)*$F$6</f>
        <v>2.5860427520614872E-2</v>
      </c>
      <c r="U24" s="9">
        <f>SUM(V28:V67)/SUM(W28:W67)*$F$6</f>
        <v>2.6988318776495532E-2</v>
      </c>
      <c r="AA24" s="3">
        <f>AG27</f>
        <v>2.53E-2</v>
      </c>
      <c r="AB24" s="9">
        <f>SUM(AI28:AI31)/SUM(AJ28:AJ31)*$F$6</f>
        <v>2.3453170265295805E-2</v>
      </c>
      <c r="AC24" s="9">
        <f>SUM(AI28:AI35)/SUM(AJ28:AJ35)*$F$6</f>
        <v>2.3052919699203124E-2</v>
      </c>
      <c r="AD24" s="9">
        <f>SUM(AI28:AI39)/SUM(AJ28:AJ39)*$F$6</f>
        <v>2.3790608878256108E-2</v>
      </c>
      <c r="AE24" s="9">
        <f>SUM(AI28:AI43)/SUM(AJ28:AJ43)*$F$6</f>
        <v>2.4389201817933935E-2</v>
      </c>
      <c r="AF24" s="9">
        <f>SUM(AI28:AI47)/SUM(AJ28:AJ47)*$F$6</f>
        <v>2.4976336078006707E-2</v>
      </c>
      <c r="AG24" s="9">
        <f>SUM(AI28:AI55)/SUM(AJ28:AJ55)*$F$6</f>
        <v>2.5866172022307093E-2</v>
      </c>
      <c r="AH24" s="9">
        <f>SUM(AI28:AI67)/SUM(AJ28:AJ67)*$F$6</f>
        <v>2.6992500074964523E-2</v>
      </c>
      <c r="AN24" s="3">
        <f>AT27</f>
        <v>2.53E-2</v>
      </c>
      <c r="AO24" s="9">
        <f>SUM(AV28:AV31)/SUM(AW28:AW31)*$F$6</f>
        <v>2.3402278108190143E-2</v>
      </c>
      <c r="AP24" s="9">
        <f>SUM(AV28:AV35)/SUM(AW28:AW35)*$F$6</f>
        <v>2.3037791578827651E-2</v>
      </c>
      <c r="AQ24" s="9">
        <f>SUM(AV28:AV39)/SUM(AW28:AW39)*$F$6</f>
        <v>2.3795396316650449E-2</v>
      </c>
      <c r="AR24" s="9">
        <f>SUM(AV28:AV43)/SUM(AW28:AW43)*$F$6</f>
        <v>2.4391863016753522E-2</v>
      </c>
      <c r="AS24" s="9">
        <f>SUM(AV28:AV47)/SUM(AW28:AW47)*$F$6</f>
        <v>2.4978480046111837E-2</v>
      </c>
      <c r="AT24" s="9">
        <f>SUM(AV28:AV55)/SUM(AW28:AW55)*$F$6</f>
        <v>2.5867730292303073E-2</v>
      </c>
      <c r="AU24" s="9">
        <f>SUM(AV28:AV67)/SUM(AW28:AW67)*$F$6</f>
        <v>2.6993623003292957E-2</v>
      </c>
      <c r="BA24" s="3">
        <f>BG27</f>
        <v>2.53E-2</v>
      </c>
      <c r="BB24" s="9">
        <f>SUM(BI28:BI31)/SUM(BJ28:BJ31)*$F$6</f>
        <v>2.3402278108190143E-2</v>
      </c>
      <c r="BC24" s="9">
        <f>SUM(BI28:BI35)/SUM(BJ28:BJ35)*$F$6</f>
        <v>2.3004394754530134E-2</v>
      </c>
      <c r="BD24" s="9">
        <f>SUM(BI28:BI39)/SUM(BJ28:BJ39)*$F$6</f>
        <v>2.3781152085565263E-2</v>
      </c>
      <c r="BE24" s="9">
        <f>SUM(BI28:BI43)/SUM(BJ28:BJ43)*$F$6</f>
        <v>2.4392149577236392E-2</v>
      </c>
      <c r="BF24" s="9">
        <f>SUM(BI28:BI47)/SUM(BJ28:BJ47)*$F$6</f>
        <v>2.497794323903562E-2</v>
      </c>
      <c r="BG24" s="9">
        <f>SUM(BI28:BI55)/SUM(BJ28:BJ55)*$F$6</f>
        <v>2.5867323056125255E-2</v>
      </c>
      <c r="BH24" s="9">
        <f>SUM(BI28:BI67)/SUM(BJ28:BJ67)*$F$6</f>
        <v>2.6993313650679165E-2</v>
      </c>
      <c r="BN24" s="3">
        <f>BT27</f>
        <v>2.53E-2</v>
      </c>
      <c r="BO24" s="9">
        <f>SUM(BV28:BV31)/SUM(BW28:BW31)*$F$6</f>
        <v>2.3402278108190143E-2</v>
      </c>
      <c r="BP24" s="9">
        <f>SUM(BV28:BV35)/SUM(BW28:BW35)*$F$6</f>
        <v>2.3006359554634447E-2</v>
      </c>
      <c r="BQ24" s="9">
        <f>SUM(BV28:BV39)/SUM(BW28:BW39)*$F$6</f>
        <v>2.3759206571315538E-2</v>
      </c>
      <c r="BR24" s="9">
        <f>SUM(BV28:BV43)/SUM(BW28:BW43)*$F$6</f>
        <v>2.4381631408292512E-2</v>
      </c>
      <c r="BS24" s="9">
        <f>SUM(BV28:BV47)/SUM(BW28:BW47)*$F$6</f>
        <v>2.497818470562313E-2</v>
      </c>
      <c r="BT24" s="9">
        <f>SUM(BV28:BV55)/SUM(BW28:BW55)*$F$6</f>
        <v>2.5865241435120385E-2</v>
      </c>
      <c r="BU24" s="9">
        <f>SUM(BV28:BV67)/SUM(BW28:BW67)*$F$6</f>
        <v>2.699179296954583E-2</v>
      </c>
      <c r="CA24" s="3">
        <f>CG27</f>
        <v>2.53E-2</v>
      </c>
      <c r="CB24" s="9">
        <f>SUM(CI28:CI31)/SUM(CJ28:CJ31)*$F$6</f>
        <v>2.3402278108190143E-2</v>
      </c>
      <c r="CC24" s="9">
        <f>SUM(CI28:CI35)/SUM(CJ28:CJ35)*$F$6</f>
        <v>2.3006359554634447E-2</v>
      </c>
      <c r="CD24" s="9">
        <f>SUM(CI28:CI39)/SUM(CJ28:CJ39)*$F$6</f>
        <v>2.3760499494491376E-2</v>
      </c>
      <c r="CE24" s="9">
        <f>SUM(CI28:CI43)/SUM(CJ28:CJ43)*$F$6</f>
        <v>2.4365387960145812E-2</v>
      </c>
      <c r="CF24" s="9">
        <f>SUM(CI28:CI47)/SUM(CJ28:CJ47)*$F$6</f>
        <v>2.4969500089923366E-2</v>
      </c>
      <c r="CG24" s="9">
        <f>SUM(CI28:CI55)/SUM(CJ28:CJ55)*$F$6</f>
        <v>2.5875353462503584E-2</v>
      </c>
      <c r="CH24" s="9">
        <f>SUM(CI28:CI67)/SUM(CJ28:CJ67)*$F$6</f>
        <v>2.6997371029588546E-2</v>
      </c>
      <c r="CN24" s="3">
        <f>CT27</f>
        <v>2.53E-2</v>
      </c>
      <c r="CO24" s="9">
        <f>SUM(CV28:CV31)/SUM(CW28:CW31)*$F$6</f>
        <v>2.3402278108190143E-2</v>
      </c>
      <c r="CP24" s="9">
        <f>SUM(CV28:CV35)/SUM(CW28:CW35)*$F$6</f>
        <v>2.3006359554634447E-2</v>
      </c>
      <c r="CQ24" s="9">
        <f>SUM(CV28:CV39)/SUM(CW28:CW39)*$F$6</f>
        <v>2.3760499494491376E-2</v>
      </c>
      <c r="CR24" s="9">
        <f>SUM(CV28:CV43)/SUM(CW28:CW43)*$F$6</f>
        <v>2.4366344876812891E-2</v>
      </c>
      <c r="CS24" s="9">
        <f>SUM(CV28:CV47)/SUM(CW28:CW47)*$F$6</f>
        <v>2.4957444063915247E-2</v>
      </c>
      <c r="CT24" s="9">
        <f>SUM(CV28:CV55)/SUM(CW28:CW55)*$F$6</f>
        <v>2.5868247044723614E-2</v>
      </c>
      <c r="CU24" s="9">
        <f>SUM(CV28:CV67)/SUM(CW28:CW67)*$F$6</f>
        <v>2.700848237595271E-2</v>
      </c>
      <c r="DA24" s="3">
        <f>DG27</f>
        <v>2.53E-2</v>
      </c>
      <c r="DB24" s="9">
        <f>SUM(DI28:DI31)/SUM(DJ28:DJ31)*$F$6</f>
        <v>2.3402278108190143E-2</v>
      </c>
      <c r="DC24" s="9">
        <f>SUM(DI28:DI35)/SUM(DJ28:DJ35)*$F$6</f>
        <v>2.3006359554634447E-2</v>
      </c>
      <c r="DD24" s="9">
        <f>SUM(DI28:DI39)/SUM(DJ28:DJ39)*$F$6</f>
        <v>2.3760499494491376E-2</v>
      </c>
      <c r="DE24" s="9">
        <f>SUM(DI28:DI43)/SUM(DJ28:DJ43)*$F$6</f>
        <v>2.4366344876812891E-2</v>
      </c>
      <c r="DF24" s="9">
        <f>SUM(DI28:DI47)/SUM(DJ28:DJ47)*$F$6</f>
        <v>2.4957821453815605E-2</v>
      </c>
      <c r="DG24" s="9">
        <f>SUM(DI28:DI55)/SUM(DJ28:DJ55)*$F$6</f>
        <v>2.5851862346470442E-2</v>
      </c>
      <c r="DH24" s="9">
        <f>SUM(DI28:DI67)/SUM(DJ28:DJ67)*$F$6</f>
        <v>2.6996827577799313E-2</v>
      </c>
    </row>
    <row r="26" spans="1:115" x14ac:dyDescent="0.25">
      <c r="A26" t="s">
        <v>9</v>
      </c>
      <c r="B26" t="s">
        <v>18</v>
      </c>
      <c r="C26" t="s">
        <v>33</v>
      </c>
      <c r="D26" t="s">
        <v>34</v>
      </c>
      <c r="E26" t="s">
        <v>35</v>
      </c>
      <c r="F26" t="s">
        <v>36</v>
      </c>
      <c r="G26" t="s">
        <v>10</v>
      </c>
      <c r="H26" t="s">
        <v>19</v>
      </c>
      <c r="I26" t="s">
        <v>20</v>
      </c>
      <c r="J26" t="s">
        <v>21</v>
      </c>
      <c r="N26" t="s">
        <v>9</v>
      </c>
      <c r="O26" t="s">
        <v>18</v>
      </c>
      <c r="P26" t="s">
        <v>33</v>
      </c>
      <c r="Q26" t="s">
        <v>34</v>
      </c>
      <c r="R26" t="s">
        <v>35</v>
      </c>
      <c r="S26" t="s">
        <v>36</v>
      </c>
      <c r="T26" t="s">
        <v>10</v>
      </c>
      <c r="U26" t="s">
        <v>19</v>
      </c>
      <c r="V26" t="s">
        <v>20</v>
      </c>
      <c r="W26" t="s">
        <v>21</v>
      </c>
      <c r="AA26" t="s">
        <v>9</v>
      </c>
      <c r="AB26" t="s">
        <v>18</v>
      </c>
      <c r="AC26" t="s">
        <v>33</v>
      </c>
      <c r="AD26" t="s">
        <v>34</v>
      </c>
      <c r="AE26" t="s">
        <v>35</v>
      </c>
      <c r="AF26" t="s">
        <v>36</v>
      </c>
      <c r="AG26" t="s">
        <v>10</v>
      </c>
      <c r="AH26" t="s">
        <v>19</v>
      </c>
      <c r="AI26" t="s">
        <v>20</v>
      </c>
      <c r="AJ26" t="s">
        <v>21</v>
      </c>
      <c r="AN26" t="s">
        <v>9</v>
      </c>
      <c r="AO26" t="s">
        <v>18</v>
      </c>
      <c r="AP26" t="s">
        <v>33</v>
      </c>
      <c r="AQ26" t="s">
        <v>34</v>
      </c>
      <c r="AR26" t="s">
        <v>35</v>
      </c>
      <c r="AS26" t="s">
        <v>36</v>
      </c>
      <c r="AT26" t="s">
        <v>10</v>
      </c>
      <c r="AU26" t="s">
        <v>19</v>
      </c>
      <c r="AV26" t="s">
        <v>20</v>
      </c>
      <c r="AW26" t="s">
        <v>21</v>
      </c>
      <c r="BA26" t="s">
        <v>9</v>
      </c>
      <c r="BB26" t="s">
        <v>18</v>
      </c>
      <c r="BC26" t="s">
        <v>33</v>
      </c>
      <c r="BD26" t="s">
        <v>34</v>
      </c>
      <c r="BE26" t="s">
        <v>35</v>
      </c>
      <c r="BF26" t="s">
        <v>36</v>
      </c>
      <c r="BG26" t="s">
        <v>10</v>
      </c>
      <c r="BH26" t="s">
        <v>19</v>
      </c>
      <c r="BI26" t="s">
        <v>20</v>
      </c>
      <c r="BJ26" t="s">
        <v>21</v>
      </c>
      <c r="BN26" t="s">
        <v>9</v>
      </c>
      <c r="BO26" t="s">
        <v>18</v>
      </c>
      <c r="BP26" t="s">
        <v>33</v>
      </c>
      <c r="BQ26" t="s">
        <v>34</v>
      </c>
      <c r="BR26" t="s">
        <v>35</v>
      </c>
      <c r="BS26" t="s">
        <v>36</v>
      </c>
      <c r="BT26" t="s">
        <v>10</v>
      </c>
      <c r="BU26" t="s">
        <v>19</v>
      </c>
      <c r="BV26" t="s">
        <v>20</v>
      </c>
      <c r="BW26" t="s">
        <v>21</v>
      </c>
      <c r="CA26" t="s">
        <v>9</v>
      </c>
      <c r="CB26" t="s">
        <v>18</v>
      </c>
      <c r="CC26" t="s">
        <v>33</v>
      </c>
      <c r="CD26" t="s">
        <v>34</v>
      </c>
      <c r="CE26" t="s">
        <v>35</v>
      </c>
      <c r="CF26" t="s">
        <v>36</v>
      </c>
      <c r="CG26" t="s">
        <v>10</v>
      </c>
      <c r="CH26" t="s">
        <v>19</v>
      </c>
      <c r="CI26" t="s">
        <v>20</v>
      </c>
      <c r="CJ26" t="s">
        <v>21</v>
      </c>
      <c r="CN26" t="s">
        <v>9</v>
      </c>
      <c r="CO26" t="s">
        <v>18</v>
      </c>
      <c r="CP26" t="s">
        <v>33</v>
      </c>
      <c r="CQ26" t="s">
        <v>34</v>
      </c>
      <c r="CR26" t="s">
        <v>35</v>
      </c>
      <c r="CS26" t="s">
        <v>36</v>
      </c>
      <c r="CT26" t="s">
        <v>10</v>
      </c>
      <c r="CU26" t="s">
        <v>19</v>
      </c>
      <c r="CV26" t="s">
        <v>20</v>
      </c>
      <c r="CW26" t="s">
        <v>21</v>
      </c>
      <c r="DA26" t="s">
        <v>9</v>
      </c>
      <c r="DB26" t="s">
        <v>18</v>
      </c>
      <c r="DC26" t="s">
        <v>33</v>
      </c>
      <c r="DD26" t="s">
        <v>34</v>
      </c>
      <c r="DE26" t="s">
        <v>35</v>
      </c>
      <c r="DF26" t="s">
        <v>36</v>
      </c>
      <c r="DG26" t="s">
        <v>10</v>
      </c>
      <c r="DH26" t="s">
        <v>19</v>
      </c>
      <c r="DI26" t="s">
        <v>20</v>
      </c>
      <c r="DJ26" t="s">
        <v>21</v>
      </c>
    </row>
    <row r="27" spans="1:115" x14ac:dyDescent="0.25">
      <c r="A27" s="7">
        <v>0</v>
      </c>
      <c r="B27" s="7">
        <f t="array" ref="B27:B67">INDEX(A14:A22, MATCH(A27:A67, A14:A22, 1))</f>
        <v>0</v>
      </c>
      <c r="C27" s="11">
        <f t="array" ref="C27:C67">VLOOKUP(B27:B67, A14:K21, COLUMN(H14)-COLUMN(A14) + 1, FALSE)</f>
        <v>1.991111111111114E-2</v>
      </c>
      <c r="D27" s="11">
        <f t="array" ref="D27:D67">VLOOKUP(B27:B67, A14:K21, COLUMN(I14)-COLUMN(A14) + 1, FALSE)</f>
        <v>-2.2400000000000031E-2</v>
      </c>
      <c r="E27" s="11">
        <f t="array" ref="E27:E67">VLOOKUP(B27:B67, A14:K21, COLUMN(J14)-COLUMN(A14) + 1, FALSE)</f>
        <v>0</v>
      </c>
      <c r="F27" s="1">
        <f t="array" ref="F27:F67">VLOOKUP(B27:B67, A14:K21, COLUMN(K14)-COLUMN(A14) + 1, FALSE)</f>
        <v>2.53E-2</v>
      </c>
      <c r="G27" s="3">
        <f t="shared" ref="G27:G66" si="99">C27*A27^3 + D27*A27^2 + E27*A27 + F27</f>
        <v>2.53E-2</v>
      </c>
      <c r="H27" s="11">
        <v>1</v>
      </c>
      <c r="N27" s="7">
        <v>0</v>
      </c>
      <c r="O27" s="7">
        <f t="array" ref="O27:O67">INDEX(N14:N22, MATCH(N27:N67, N14:N22, 1))</f>
        <v>0</v>
      </c>
      <c r="P27" s="11">
        <f t="array" ref="P27:P67">VLOOKUP(O27:O67, N14:X21, COLUMN(U14)-COLUMN(N14) + 1, FALSE)</f>
        <v>2.0385185185185211E-2</v>
      </c>
      <c r="Q27" s="11">
        <f t="array" ref="Q27:Q67">VLOOKUP(O27:O67, N14:X21, COLUMN(V14)-COLUMN(N14) + 1, FALSE)</f>
        <v>-2.2933333333333361E-2</v>
      </c>
      <c r="R27" s="11">
        <f t="array" ref="R27:R67">VLOOKUP(O27:O67, N14:X21, COLUMN(W14)-COLUMN(N14) + 1, FALSE)</f>
        <v>0</v>
      </c>
      <c r="S27" s="1">
        <f t="array" ref="S27:S67">VLOOKUP(O27:O67, N14:X21, COLUMN(X14)-COLUMN(N14) + 1, FALSE)</f>
        <v>2.5399999999999999E-2</v>
      </c>
      <c r="T27" s="3">
        <f t="shared" ref="T27:T66" si="100">P27*N27^3 + Q27*N27^2 + R27*N27 + S27</f>
        <v>2.5399999999999999E-2</v>
      </c>
      <c r="U27" s="11">
        <v>1</v>
      </c>
      <c r="AA27" s="7">
        <v>0</v>
      </c>
      <c r="AB27" s="7">
        <f t="array" ref="AB27:AB67">INDEX(AA14:AA22, MATCH(AA27:AA67, AA14:AA22, 1))</f>
        <v>0</v>
      </c>
      <c r="AC27" s="11">
        <f t="array" ref="AC27:AC67">VLOOKUP(AB27:AB67, AA14:AK21, COLUMN(AH14)-COLUMN(AA14) + 1, FALSE)</f>
        <v>1.9437037037037069E-2</v>
      </c>
      <c r="AD27" s="11">
        <f t="array" ref="AD27:AD67">VLOOKUP(AB27:AB67, AA14:AK21, COLUMN(AI14)-COLUMN(AA14) + 1, FALSE)</f>
        <v>-2.1866666666666701E-2</v>
      </c>
      <c r="AE27" s="11">
        <f t="array" ref="AE27:AE67">VLOOKUP(AB27:AB67, AA14:AK21, COLUMN(AJ14)-COLUMN(AA14) + 1, FALSE)</f>
        <v>0</v>
      </c>
      <c r="AF27" s="1">
        <f t="array" ref="AF27:AF67">VLOOKUP(AB27:AB67, AA14:AK21, COLUMN(AK14)-COLUMN(AA14) + 1, FALSE)</f>
        <v>2.53E-2</v>
      </c>
      <c r="AG27" s="3">
        <f t="shared" ref="AG27:AG66" si="101">AC27*AA27^3 + AD27*AA27^2 + AE27*AA27 + AF27</f>
        <v>2.53E-2</v>
      </c>
      <c r="AH27" s="11">
        <v>1</v>
      </c>
      <c r="AN27" s="7">
        <v>0</v>
      </c>
      <c r="AO27" s="7">
        <f t="array" ref="AO27:AO67">INDEX(AN14:AN22, MATCH(AN27:AN67, AN14:AN22, 1))</f>
        <v>0</v>
      </c>
      <c r="AP27" s="11">
        <f t="array" ref="AP27:AP67">VLOOKUP(AO27:AO67, AN14:AX21, COLUMN(AU14)-COLUMN(AN14) + 1, FALSE)</f>
        <v>1.991111111111114E-2</v>
      </c>
      <c r="AQ27" s="11">
        <f t="array" ref="AQ27:AQ67">VLOOKUP(AO27:AO67, AN14:AX21, COLUMN(AV14)-COLUMN(AN14) + 1, FALSE)</f>
        <v>-2.2400000000000031E-2</v>
      </c>
      <c r="AR27" s="11">
        <f t="array" ref="AR27:AR67">VLOOKUP(AO27:AO67, AN14:AX21, COLUMN(AW14)-COLUMN(AN14) + 1, FALSE)</f>
        <v>0</v>
      </c>
      <c r="AS27" s="1">
        <f t="array" ref="AS27:AS67">VLOOKUP(AO27:AO67, AN14:AX21, COLUMN(AX14)-COLUMN(AN14) + 1, FALSE)</f>
        <v>2.53E-2</v>
      </c>
      <c r="AT27" s="3">
        <f t="shared" ref="AT27:AT66" si="102">AP27*AN27^3 + AQ27*AN27^2 + AR27*AN27 + AS27</f>
        <v>2.53E-2</v>
      </c>
      <c r="AU27" s="11">
        <v>1</v>
      </c>
      <c r="BA27" s="7">
        <v>0</v>
      </c>
      <c r="BB27" s="7">
        <f t="array" ref="BB27:BB67">INDEX(BA14:BA22, MATCH(BA27:BA67, BA14:BA22, 1))</f>
        <v>0</v>
      </c>
      <c r="BC27" s="11">
        <f t="array" ref="BC27:BC67">VLOOKUP(BB27:BB67, BA14:BK21, COLUMN(BH14)-COLUMN(BA14) + 1, FALSE)</f>
        <v>1.991111111111114E-2</v>
      </c>
      <c r="BD27" s="11">
        <f t="array" ref="BD27:BD67">VLOOKUP(BB27:BB67, BA14:BK21, COLUMN(BI14)-COLUMN(BA14) + 1, FALSE)</f>
        <v>-2.2400000000000031E-2</v>
      </c>
      <c r="BE27" s="11">
        <f t="array" ref="BE27:BE67">VLOOKUP(BB27:BB67, BA14:BK21, COLUMN(BJ14)-COLUMN(BA14) + 1, FALSE)</f>
        <v>0</v>
      </c>
      <c r="BF27" s="1">
        <f t="array" ref="BF27:BF67">VLOOKUP(BB27:BB67, BA14:BK21, COLUMN(BK14)-COLUMN(BA14) + 1, FALSE)</f>
        <v>2.53E-2</v>
      </c>
      <c r="BG27" s="3">
        <f t="shared" ref="BG27:BG66" si="103">BC27*BA27^3 + BD27*BA27^2 + BE27*BA27 + BF27</f>
        <v>2.53E-2</v>
      </c>
      <c r="BH27" s="11">
        <v>1</v>
      </c>
      <c r="BN27" s="7">
        <v>0</v>
      </c>
      <c r="BO27" s="7">
        <f t="array" ref="BO27:BO67">INDEX(BN14:BN22, MATCH(BN27:BN67, BN14:BN22, 1))</f>
        <v>0</v>
      </c>
      <c r="BP27" s="11">
        <f t="array" ref="BP27:BP67">VLOOKUP(BO27:BO67, BN14:BX21, COLUMN(BU14)-COLUMN(BN14) + 1, FALSE)</f>
        <v>1.991111111111114E-2</v>
      </c>
      <c r="BQ27" s="11">
        <f t="array" ref="BQ27:BQ67">VLOOKUP(BO27:BO67, BN14:BX21, COLUMN(BV14)-COLUMN(BN14) + 1, FALSE)</f>
        <v>-2.2400000000000031E-2</v>
      </c>
      <c r="BR27" s="11">
        <f t="array" ref="BR27:BR67">VLOOKUP(BO27:BO67, BN14:BX21, COLUMN(BW14)-COLUMN(BN14) + 1, FALSE)</f>
        <v>0</v>
      </c>
      <c r="BS27" s="1">
        <f t="array" ref="BS27:BS67">VLOOKUP(BO27:BO67, BN14:BX21, COLUMN(BX14)-COLUMN(BN14) + 1, FALSE)</f>
        <v>2.53E-2</v>
      </c>
      <c r="BT27" s="3">
        <f t="shared" ref="BT27:BT66" si="104">BP27*BN27^3 + BQ27*BN27^2 + BR27*BN27 + BS27</f>
        <v>2.53E-2</v>
      </c>
      <c r="BU27" s="11">
        <v>1</v>
      </c>
      <c r="CA27" s="7">
        <v>0</v>
      </c>
      <c r="CB27" s="7">
        <f t="array" ref="CB27:CB67">INDEX(CA14:CA22, MATCH(CA27:CA67, CA14:CA22, 1))</f>
        <v>0</v>
      </c>
      <c r="CC27" s="11">
        <f t="array" ref="CC27:CC67">VLOOKUP(CB27:CB67, CA14:CK21, COLUMN(CH14)-COLUMN(CA14) + 1, FALSE)</f>
        <v>1.991111111111114E-2</v>
      </c>
      <c r="CD27" s="11">
        <f t="array" ref="CD27:CD67">VLOOKUP(CB27:CB67, CA14:CK21, COLUMN(CI14)-COLUMN(CA14) + 1, FALSE)</f>
        <v>-2.2400000000000031E-2</v>
      </c>
      <c r="CE27" s="11">
        <f t="array" ref="CE27:CE67">VLOOKUP(CB27:CB67, CA14:CK21, COLUMN(CJ14)-COLUMN(CA14) + 1, FALSE)</f>
        <v>0</v>
      </c>
      <c r="CF27" s="1">
        <f t="array" ref="CF27:CF67">VLOOKUP(CB27:CB67, CA14:CK21, COLUMN(CK14)-COLUMN(CA14) + 1, FALSE)</f>
        <v>2.53E-2</v>
      </c>
      <c r="CG27" s="3">
        <f t="shared" ref="CG27:CG66" si="105">CC27*CA27^3 + CD27*CA27^2 + CE27*CA27 + CF27</f>
        <v>2.53E-2</v>
      </c>
      <c r="CH27" s="11">
        <v>1</v>
      </c>
      <c r="CN27" s="7">
        <v>0</v>
      </c>
      <c r="CO27" s="7">
        <f t="array" ref="CO27:CO67">INDEX(CN14:CN22, MATCH(CN27:CN67, CN14:CN22, 1))</f>
        <v>0</v>
      </c>
      <c r="CP27" s="11">
        <f t="array" ref="CP27:CP67">VLOOKUP(CO27:CO67, CN14:CX21, COLUMN(CU14)-COLUMN(CN14) + 1, FALSE)</f>
        <v>1.991111111111114E-2</v>
      </c>
      <c r="CQ27" s="11">
        <f t="array" ref="CQ27:CQ67">VLOOKUP(CO27:CO67, CN14:CX21, COLUMN(CV14)-COLUMN(CN14) + 1, FALSE)</f>
        <v>-2.2400000000000031E-2</v>
      </c>
      <c r="CR27" s="11">
        <f t="array" ref="CR27:CR67">VLOOKUP(CO27:CO67, CN14:CX21, COLUMN(CW14)-COLUMN(CN14) + 1, FALSE)</f>
        <v>0</v>
      </c>
      <c r="CS27" s="1">
        <f t="array" ref="CS27:CS67">VLOOKUP(CO27:CO67, CN14:CX21, COLUMN(CX14)-COLUMN(CN14) + 1, FALSE)</f>
        <v>2.53E-2</v>
      </c>
      <c r="CT27" s="3">
        <f t="shared" ref="CT27:CT66" si="106">CP27*CN27^3 + CQ27*CN27^2 + CR27*CN27 + CS27</f>
        <v>2.53E-2</v>
      </c>
      <c r="CU27" s="11">
        <v>1</v>
      </c>
      <c r="DA27" s="7">
        <v>0</v>
      </c>
      <c r="DB27" s="7">
        <f t="array" ref="DB27:DB67">INDEX(DA14:DA22, MATCH(DA27:DA67, DA14:DA22, 1))</f>
        <v>0</v>
      </c>
      <c r="DC27" s="11">
        <f t="array" ref="DC27:DC67">VLOOKUP(DB27:DB67, DA14:DK21, COLUMN(DH14)-COLUMN(DA14) + 1, FALSE)</f>
        <v>1.991111111111114E-2</v>
      </c>
      <c r="DD27" s="11">
        <f t="array" ref="DD27:DD67">VLOOKUP(DB27:DB67, DA14:DK21, COLUMN(DI14)-COLUMN(DA14) + 1, FALSE)</f>
        <v>-2.2400000000000031E-2</v>
      </c>
      <c r="DE27" s="11">
        <f t="array" ref="DE27:DE67">VLOOKUP(DB27:DB67, DA14:DK21, COLUMN(DJ14)-COLUMN(DA14) + 1, FALSE)</f>
        <v>0</v>
      </c>
      <c r="DF27" s="1">
        <f t="array" ref="DF27:DF67">VLOOKUP(DB27:DB67, DA14:DK21, COLUMN(DK14)-COLUMN(DA14) + 1, FALSE)</f>
        <v>2.53E-2</v>
      </c>
      <c r="DG27" s="3">
        <f t="shared" ref="DG27:DG66" si="107">DC27*DA27^3 + DD27*DA27^2 + DE27*DA27 + DF27</f>
        <v>2.53E-2</v>
      </c>
      <c r="DH27" s="11">
        <v>1</v>
      </c>
    </row>
    <row r="28" spans="1:115" x14ac:dyDescent="0.25">
      <c r="A28" s="7">
        <v>0.25</v>
      </c>
      <c r="B28" s="7">
        <v>0</v>
      </c>
      <c r="C28" s="11">
        <v>1.991111111111114E-2</v>
      </c>
      <c r="D28" s="11">
        <v>-2.2400000000000031E-2</v>
      </c>
      <c r="E28" s="11">
        <v>0</v>
      </c>
      <c r="F28" s="1">
        <v>2.53E-2</v>
      </c>
      <c r="G28" s="3">
        <f t="shared" si="99"/>
        <v>2.421111111111111E-2</v>
      </c>
      <c r="H28" s="11">
        <f t="shared" ref="H28:H67" si="108">H27 / (1 + G27*(A28-A27))</f>
        <v>0.99371475417981281</v>
      </c>
      <c r="I28" s="3">
        <f t="array" ref="I28:I67">G27:G66 * H28:H67 * (A28:A67-A27:A66)</f>
        <v>6.2852458201873157E-3</v>
      </c>
      <c r="J28" s="11">
        <f t="array" ref="J28:J67">(ROUND(A28:A67*$F$6, 0)=A28:A67*$F$6) * H28:H67</f>
        <v>0</v>
      </c>
      <c r="K28" s="11"/>
      <c r="N28" s="7">
        <v>0.25</v>
      </c>
      <c r="O28" s="7">
        <v>0</v>
      </c>
      <c r="P28" s="11">
        <v>2.0385185185185211E-2</v>
      </c>
      <c r="Q28" s="11">
        <v>-2.2933333333333361E-2</v>
      </c>
      <c r="R28" s="11">
        <v>0</v>
      </c>
      <c r="S28" s="1">
        <v>2.5399999999999999E-2</v>
      </c>
      <c r="T28" s="3">
        <f t="shared" si="100"/>
        <v>2.4285185185185184E-2</v>
      </c>
      <c r="U28" s="11">
        <f t="shared" ref="U28:U67" si="109">U27 / (1 + T27*(N28-N27))</f>
        <v>0.99369006806776961</v>
      </c>
      <c r="V28" s="3">
        <f t="array" ref="V28:V67">T27:T66 * U28:U67 * (N28:N67-N27:N66)</f>
        <v>6.3099319322303367E-3</v>
      </c>
      <c r="W28" s="11">
        <f t="array" ref="W28:W67">(ROUND(N28:N67*$F$6, 0)=N28:N67*$F$6) * U28:U67</f>
        <v>0</v>
      </c>
      <c r="AA28" s="7">
        <v>0.25</v>
      </c>
      <c r="AB28" s="7">
        <v>0</v>
      </c>
      <c r="AC28" s="11">
        <v>1.9437037037037069E-2</v>
      </c>
      <c r="AD28" s="11">
        <v>-2.1866666666666701E-2</v>
      </c>
      <c r="AE28" s="11">
        <v>0</v>
      </c>
      <c r="AF28" s="1">
        <v>2.53E-2</v>
      </c>
      <c r="AG28" s="3">
        <f t="shared" si="101"/>
        <v>2.4237037037037036E-2</v>
      </c>
      <c r="AH28" s="11">
        <f t="shared" ref="AH28:AH67" si="110">AH27 / (1 + AG27*(AA28-AA27))</f>
        <v>0.99371475417981281</v>
      </c>
      <c r="AI28" s="3">
        <f t="array" ref="AI28:AI67">AG27:AG66 * AH28:AH67 * (AA28:AA67-AA27:AA66)</f>
        <v>6.2852458201873157E-3</v>
      </c>
      <c r="AJ28" s="11">
        <f t="array" ref="AJ28:AJ67">(ROUND(AA28:AA67*$F$6, 0)=AA28:AA67*$F$6) * AH28:AH67</f>
        <v>0</v>
      </c>
      <c r="AK28" s="11"/>
      <c r="AN28" s="7">
        <v>0.25</v>
      </c>
      <c r="AO28" s="7">
        <v>0</v>
      </c>
      <c r="AP28" s="11">
        <v>1.991111111111114E-2</v>
      </c>
      <c r="AQ28" s="11">
        <v>-2.2400000000000031E-2</v>
      </c>
      <c r="AR28" s="11">
        <v>0</v>
      </c>
      <c r="AS28" s="1">
        <v>2.53E-2</v>
      </c>
      <c r="AT28" s="3">
        <f t="shared" si="102"/>
        <v>2.421111111111111E-2</v>
      </c>
      <c r="AU28" s="11">
        <f t="shared" ref="AU28:AU67" si="111">AU27 / (1 + AT27*(AN28-AN27))</f>
        <v>0.99371475417981281</v>
      </c>
      <c r="AV28" s="3">
        <f t="array" ref="AV28:AV67">AT27:AT66 * AU28:AU67 * (AN28:AN67-AN27:AN66)</f>
        <v>6.2852458201873157E-3</v>
      </c>
      <c r="AW28" s="11">
        <f t="array" ref="AW28:AW67">(ROUND(AN28:AN67*$F$6, 0)=AN28:AN67*$F$6) * AU28:AU67</f>
        <v>0</v>
      </c>
      <c r="AX28" s="11"/>
      <c r="BA28" s="7">
        <v>0.25</v>
      </c>
      <c r="BB28" s="7">
        <v>0</v>
      </c>
      <c r="BC28" s="11">
        <v>1.991111111111114E-2</v>
      </c>
      <c r="BD28" s="11">
        <v>-2.2400000000000031E-2</v>
      </c>
      <c r="BE28" s="11">
        <v>0</v>
      </c>
      <c r="BF28" s="1">
        <v>2.53E-2</v>
      </c>
      <c r="BG28" s="3">
        <f t="shared" si="103"/>
        <v>2.421111111111111E-2</v>
      </c>
      <c r="BH28" s="11">
        <f t="shared" ref="BH28:BH67" si="112">BH27 / (1 + BG27*(BA28-BA27))</f>
        <v>0.99371475417981281</v>
      </c>
      <c r="BI28" s="3">
        <f t="array" ref="BI28:BI67">BG27:BG66 * BH28:BH67 * (BA28:BA67-BA27:BA66)</f>
        <v>6.2852458201873157E-3</v>
      </c>
      <c r="BJ28" s="11">
        <f t="array" ref="BJ28:BJ67">(ROUND(BA28:BA67*$F$6, 0)=BA28:BA67*$F$6) * BH28:BH67</f>
        <v>0</v>
      </c>
      <c r="BK28" s="11"/>
      <c r="BN28" s="7">
        <v>0.25</v>
      </c>
      <c r="BO28" s="7">
        <v>0</v>
      </c>
      <c r="BP28" s="11">
        <v>1.991111111111114E-2</v>
      </c>
      <c r="BQ28" s="11">
        <v>-2.2400000000000031E-2</v>
      </c>
      <c r="BR28" s="11">
        <v>0</v>
      </c>
      <c r="BS28" s="1">
        <v>2.53E-2</v>
      </c>
      <c r="BT28" s="3">
        <f t="shared" si="104"/>
        <v>2.421111111111111E-2</v>
      </c>
      <c r="BU28" s="11">
        <f t="shared" ref="BU28:BU67" si="113">BU27 / (1 + BT27*(BN28-BN27))</f>
        <v>0.99371475417981281</v>
      </c>
      <c r="BV28" s="3">
        <f t="array" ref="BV28:BV67">BT27:BT66 * BU28:BU67 * (BN28:BN67-BN27:BN66)</f>
        <v>6.2852458201873157E-3</v>
      </c>
      <c r="BW28" s="11">
        <f t="array" ref="BW28:BW67">(ROUND(BN28:BN67*$F$6, 0)=BN28:BN67*$F$6) * BU28:BU67</f>
        <v>0</v>
      </c>
      <c r="BX28" s="11"/>
      <c r="CA28" s="7">
        <v>0.25</v>
      </c>
      <c r="CB28" s="7">
        <v>0</v>
      </c>
      <c r="CC28" s="11">
        <v>1.991111111111114E-2</v>
      </c>
      <c r="CD28" s="11">
        <v>-2.2400000000000031E-2</v>
      </c>
      <c r="CE28" s="11">
        <v>0</v>
      </c>
      <c r="CF28" s="1">
        <v>2.53E-2</v>
      </c>
      <c r="CG28" s="3">
        <f t="shared" si="105"/>
        <v>2.421111111111111E-2</v>
      </c>
      <c r="CH28" s="11">
        <f t="shared" ref="CH28:CH67" si="114">CH27 / (1 + CG27*(CA28-CA27))</f>
        <v>0.99371475417981281</v>
      </c>
      <c r="CI28" s="3">
        <f t="array" ref="CI28:CI67">CG27:CG66 * CH28:CH67 * (CA28:CA67-CA27:CA66)</f>
        <v>6.2852458201873157E-3</v>
      </c>
      <c r="CJ28" s="11">
        <f t="array" ref="CJ28:CJ67">(ROUND(CA28:CA67*$F$6, 0)=CA28:CA67*$F$6) * CH28:CH67</f>
        <v>0</v>
      </c>
      <c r="CK28" s="11"/>
      <c r="CN28" s="7">
        <v>0.25</v>
      </c>
      <c r="CO28" s="7">
        <v>0</v>
      </c>
      <c r="CP28" s="11">
        <v>1.991111111111114E-2</v>
      </c>
      <c r="CQ28" s="11">
        <v>-2.2400000000000031E-2</v>
      </c>
      <c r="CR28" s="11">
        <v>0</v>
      </c>
      <c r="CS28" s="1">
        <v>2.53E-2</v>
      </c>
      <c r="CT28" s="3">
        <f t="shared" si="106"/>
        <v>2.421111111111111E-2</v>
      </c>
      <c r="CU28" s="11">
        <f t="shared" ref="CU28:CU67" si="115">CU27 / (1 + CT27*(CN28-CN27))</f>
        <v>0.99371475417981281</v>
      </c>
      <c r="CV28" s="3">
        <f t="array" ref="CV28:CV67">CT27:CT66 * CU28:CU67 * (CN28:CN67-CN27:CN66)</f>
        <v>6.2852458201873157E-3</v>
      </c>
      <c r="CW28" s="11">
        <f t="array" ref="CW28:CW67">(ROUND(CN28:CN67*$F$6, 0)=CN28:CN67*$F$6) * CU28:CU67</f>
        <v>0</v>
      </c>
      <c r="CX28" s="11"/>
      <c r="DA28" s="7">
        <v>0.25</v>
      </c>
      <c r="DB28" s="7">
        <v>0</v>
      </c>
      <c r="DC28" s="11">
        <v>1.991111111111114E-2</v>
      </c>
      <c r="DD28" s="11">
        <v>-2.2400000000000031E-2</v>
      </c>
      <c r="DE28" s="11">
        <v>0</v>
      </c>
      <c r="DF28" s="1">
        <v>2.53E-2</v>
      </c>
      <c r="DG28" s="3">
        <f t="shared" si="107"/>
        <v>2.421111111111111E-2</v>
      </c>
      <c r="DH28" s="11">
        <f t="shared" ref="DH28:DH67" si="116">DH27 / (1 + DG27*(DA28-DA27))</f>
        <v>0.99371475417981281</v>
      </c>
      <c r="DI28" s="3">
        <f t="array" ref="DI28:DI67">DG27:DG66 * DH28:DH67 * (DA28:DA67-DA27:DA66)</f>
        <v>6.2852458201873157E-3</v>
      </c>
      <c r="DJ28" s="11">
        <f t="array" ref="DJ28:DJ67">(ROUND(DA28:DA67*$F$6, 0)=DA28:DA67*$F$6) * DH28:DH67</f>
        <v>0</v>
      </c>
      <c r="DK28" s="11"/>
    </row>
    <row r="29" spans="1:115" x14ac:dyDescent="0.25">
      <c r="A29" s="7">
        <v>0.5</v>
      </c>
      <c r="B29" s="7">
        <v>0</v>
      </c>
      <c r="C29" s="11">
        <v>1.991111111111114E-2</v>
      </c>
      <c r="D29" s="11">
        <v>-2.2400000000000031E-2</v>
      </c>
      <c r="E29" s="11">
        <v>0</v>
      </c>
      <c r="F29" s="1">
        <v>2.53E-2</v>
      </c>
      <c r="G29" s="3">
        <f t="shared" si="99"/>
        <v>2.2188888888888883E-2</v>
      </c>
      <c r="H29" s="11">
        <f t="shared" si="108"/>
        <v>0.98773620641929172</v>
      </c>
      <c r="I29" s="3">
        <v>5.9785477605212127E-3</v>
      </c>
      <c r="J29" s="11">
        <v>0</v>
      </c>
      <c r="K29" s="11"/>
      <c r="N29" s="7">
        <v>0.5</v>
      </c>
      <c r="O29" s="7">
        <v>0</v>
      </c>
      <c r="P29" s="11">
        <v>2.0385185185185211E-2</v>
      </c>
      <c r="Q29" s="11">
        <v>-2.2933333333333361E-2</v>
      </c>
      <c r="R29" s="11">
        <v>0</v>
      </c>
      <c r="S29" s="1">
        <v>2.5399999999999999E-2</v>
      </c>
      <c r="T29" s="3">
        <f t="shared" si="100"/>
        <v>2.2214814814814809E-2</v>
      </c>
      <c r="U29" s="11">
        <f t="shared" si="109"/>
        <v>0.98769348825067727</v>
      </c>
      <c r="V29" s="3">
        <v>5.9965798170923063E-3</v>
      </c>
      <c r="W29" s="11">
        <v>0</v>
      </c>
      <c r="AA29" s="7">
        <v>0.5</v>
      </c>
      <c r="AB29" s="7">
        <v>0</v>
      </c>
      <c r="AC29" s="11">
        <v>1.9437037037037069E-2</v>
      </c>
      <c r="AD29" s="11">
        <v>-2.1866666666666701E-2</v>
      </c>
      <c r="AE29" s="11">
        <v>0</v>
      </c>
      <c r="AF29" s="1">
        <v>2.53E-2</v>
      </c>
      <c r="AG29" s="3">
        <f t="shared" si="101"/>
        <v>2.2262962962962957E-2</v>
      </c>
      <c r="AH29" s="11">
        <f t="shared" si="110"/>
        <v>0.98772984298307098</v>
      </c>
      <c r="AI29" s="3">
        <v>5.9849111967418666E-3</v>
      </c>
      <c r="AJ29" s="11">
        <v>0</v>
      </c>
      <c r="AK29" s="11"/>
      <c r="AN29" s="7">
        <v>0.5</v>
      </c>
      <c r="AO29" s="7">
        <v>0</v>
      </c>
      <c r="AP29" s="11">
        <v>1.991111111111114E-2</v>
      </c>
      <c r="AQ29" s="11">
        <v>-2.2400000000000031E-2</v>
      </c>
      <c r="AR29" s="11">
        <v>0</v>
      </c>
      <c r="AS29" s="1">
        <v>2.53E-2</v>
      </c>
      <c r="AT29" s="3">
        <f t="shared" si="102"/>
        <v>2.2188888888888883E-2</v>
      </c>
      <c r="AU29" s="11">
        <f t="shared" si="111"/>
        <v>0.98773620641929172</v>
      </c>
      <c r="AV29" s="3">
        <v>5.9785477605212127E-3</v>
      </c>
      <c r="AW29" s="11">
        <v>0</v>
      </c>
      <c r="AX29" s="11"/>
      <c r="BA29" s="7">
        <v>0.5</v>
      </c>
      <c r="BB29" s="7">
        <v>0</v>
      </c>
      <c r="BC29" s="11">
        <v>1.991111111111114E-2</v>
      </c>
      <c r="BD29" s="11">
        <v>-2.2400000000000031E-2</v>
      </c>
      <c r="BE29" s="11">
        <v>0</v>
      </c>
      <c r="BF29" s="1">
        <v>2.53E-2</v>
      </c>
      <c r="BG29" s="3">
        <f t="shared" si="103"/>
        <v>2.2188888888888883E-2</v>
      </c>
      <c r="BH29" s="11">
        <f t="shared" si="112"/>
        <v>0.98773620641929172</v>
      </c>
      <c r="BI29" s="3">
        <v>5.9785477605212127E-3</v>
      </c>
      <c r="BJ29" s="11">
        <v>0</v>
      </c>
      <c r="BK29" s="11"/>
      <c r="BN29" s="7">
        <v>0.5</v>
      </c>
      <c r="BO29" s="7">
        <v>0</v>
      </c>
      <c r="BP29" s="11">
        <v>1.991111111111114E-2</v>
      </c>
      <c r="BQ29" s="11">
        <v>-2.2400000000000031E-2</v>
      </c>
      <c r="BR29" s="11">
        <v>0</v>
      </c>
      <c r="BS29" s="1">
        <v>2.53E-2</v>
      </c>
      <c r="BT29" s="3">
        <f t="shared" si="104"/>
        <v>2.2188888888888883E-2</v>
      </c>
      <c r="BU29" s="11">
        <f t="shared" si="113"/>
        <v>0.98773620641929172</v>
      </c>
      <c r="BV29" s="3">
        <v>5.9785477605212127E-3</v>
      </c>
      <c r="BW29" s="11">
        <v>0</v>
      </c>
      <c r="BX29" s="11"/>
      <c r="CA29" s="7">
        <v>0.5</v>
      </c>
      <c r="CB29" s="7">
        <v>0</v>
      </c>
      <c r="CC29" s="11">
        <v>1.991111111111114E-2</v>
      </c>
      <c r="CD29" s="11">
        <v>-2.2400000000000031E-2</v>
      </c>
      <c r="CE29" s="11">
        <v>0</v>
      </c>
      <c r="CF29" s="1">
        <v>2.53E-2</v>
      </c>
      <c r="CG29" s="3">
        <f t="shared" si="105"/>
        <v>2.2188888888888883E-2</v>
      </c>
      <c r="CH29" s="11">
        <f t="shared" si="114"/>
        <v>0.98773620641929172</v>
      </c>
      <c r="CI29" s="3">
        <v>5.9785477605212127E-3</v>
      </c>
      <c r="CJ29" s="11">
        <v>0</v>
      </c>
      <c r="CK29" s="11"/>
      <c r="CN29" s="7">
        <v>0.5</v>
      </c>
      <c r="CO29" s="7">
        <v>0</v>
      </c>
      <c r="CP29" s="11">
        <v>1.991111111111114E-2</v>
      </c>
      <c r="CQ29" s="11">
        <v>-2.2400000000000031E-2</v>
      </c>
      <c r="CR29" s="11">
        <v>0</v>
      </c>
      <c r="CS29" s="1">
        <v>2.53E-2</v>
      </c>
      <c r="CT29" s="3">
        <f t="shared" si="106"/>
        <v>2.2188888888888883E-2</v>
      </c>
      <c r="CU29" s="11">
        <f t="shared" si="115"/>
        <v>0.98773620641929172</v>
      </c>
      <c r="CV29" s="3">
        <v>5.9785477605212127E-3</v>
      </c>
      <c r="CW29" s="11">
        <v>0</v>
      </c>
      <c r="CX29" s="11"/>
      <c r="DA29" s="7">
        <v>0.5</v>
      </c>
      <c r="DB29" s="7">
        <v>0</v>
      </c>
      <c r="DC29" s="11">
        <v>1.991111111111114E-2</v>
      </c>
      <c r="DD29" s="11">
        <v>-2.2400000000000031E-2</v>
      </c>
      <c r="DE29" s="11">
        <v>0</v>
      </c>
      <c r="DF29" s="1">
        <v>2.53E-2</v>
      </c>
      <c r="DG29" s="3">
        <f t="shared" si="107"/>
        <v>2.2188888888888883E-2</v>
      </c>
      <c r="DH29" s="11">
        <f t="shared" si="116"/>
        <v>0.98773620641929172</v>
      </c>
      <c r="DI29" s="3">
        <v>5.9785477605212127E-3</v>
      </c>
      <c r="DJ29" s="11">
        <v>0</v>
      </c>
      <c r="DK29" s="11"/>
    </row>
    <row r="30" spans="1:115" x14ac:dyDescent="0.25">
      <c r="A30" s="7">
        <v>0.75</v>
      </c>
      <c r="B30" s="7">
        <v>0.75</v>
      </c>
      <c r="C30" s="11">
        <v>-2.4000000000000236E-3</v>
      </c>
      <c r="D30" s="11">
        <v>1.0200000000000091E-2</v>
      </c>
      <c r="E30" s="11">
        <v>-1.1250000000000097E-2</v>
      </c>
      <c r="F30" s="1">
        <v>2.4812500000000026E-2</v>
      </c>
      <c r="G30" s="3">
        <f t="shared" si="99"/>
        <v>2.1099999999999994E-2</v>
      </c>
      <c r="H30" s="11">
        <f t="shared" si="108"/>
        <v>0.98228724080847363</v>
      </c>
      <c r="I30" s="3">
        <v>5.4489656108181149E-3</v>
      </c>
      <c r="J30" s="11">
        <v>0</v>
      </c>
      <c r="K30" s="11"/>
      <c r="N30" s="7">
        <v>0.75</v>
      </c>
      <c r="O30" s="7">
        <v>0.75</v>
      </c>
      <c r="P30" s="11">
        <v>-2.4000000000000236E-3</v>
      </c>
      <c r="Q30" s="11">
        <v>1.0200000000000091E-2</v>
      </c>
      <c r="R30" s="11">
        <v>-1.1250000000000097E-2</v>
      </c>
      <c r="S30" s="1">
        <v>2.4812500000000026E-2</v>
      </c>
      <c r="T30" s="3">
        <f t="shared" si="100"/>
        <v>2.1099999999999994E-2</v>
      </c>
      <c r="U30" s="11">
        <f t="shared" si="109"/>
        <v>0.98223842706039188</v>
      </c>
      <c r="V30" s="3">
        <v>5.4550611902853974E-3</v>
      </c>
      <c r="W30" s="11">
        <v>0</v>
      </c>
      <c r="AA30" s="7">
        <v>0.75</v>
      </c>
      <c r="AB30" s="7">
        <v>0.75</v>
      </c>
      <c r="AC30" s="11">
        <v>-2.2500000000000245E-3</v>
      </c>
      <c r="AD30" s="11">
        <v>9.6125000000000932E-3</v>
      </c>
      <c r="AE30" s="11">
        <v>-1.0621875000000098E-2</v>
      </c>
      <c r="AF30" s="1">
        <v>2.4708593750000028E-2</v>
      </c>
      <c r="AG30" s="3">
        <f t="shared" si="101"/>
        <v>2.1199999999999997E-2</v>
      </c>
      <c r="AH30" s="11">
        <f t="shared" si="110"/>
        <v>0.98226282277225241</v>
      </c>
      <c r="AI30" s="3">
        <v>5.4670202108185253E-3</v>
      </c>
      <c r="AJ30" s="11">
        <v>0</v>
      </c>
      <c r="AK30" s="11"/>
      <c r="AN30" s="7">
        <v>0.75</v>
      </c>
      <c r="AO30" s="7">
        <v>0.75</v>
      </c>
      <c r="AP30" s="11">
        <v>-2.6000000000000224E-3</v>
      </c>
      <c r="AQ30" s="11">
        <v>1.0950000000000085E-2</v>
      </c>
      <c r="AR30" s="11">
        <v>-1.203750000000009E-2</v>
      </c>
      <c r="AS30" s="1">
        <v>2.5065625000000025E-2</v>
      </c>
      <c r="AT30" s="3">
        <f t="shared" si="102"/>
        <v>2.1099999999999997E-2</v>
      </c>
      <c r="AU30" s="11">
        <f t="shared" si="111"/>
        <v>0.98228724080847363</v>
      </c>
      <c r="AV30" s="3">
        <v>5.4489656108181149E-3</v>
      </c>
      <c r="AW30" s="11">
        <v>0</v>
      </c>
      <c r="AX30" s="11"/>
      <c r="BA30" s="7">
        <v>0.75</v>
      </c>
      <c r="BB30" s="7">
        <v>0.75</v>
      </c>
      <c r="BC30" s="11">
        <v>-2.3500000000000239E-3</v>
      </c>
      <c r="BD30" s="11">
        <v>1.0037500000000091E-2</v>
      </c>
      <c r="BE30" s="11">
        <v>-1.1090625000000097E-2</v>
      </c>
      <c r="BF30" s="1">
        <v>2.4763281250000026E-2</v>
      </c>
      <c r="BG30" s="3">
        <f t="shared" si="103"/>
        <v>2.1099999999999994E-2</v>
      </c>
      <c r="BH30" s="11">
        <f t="shared" si="112"/>
        <v>0.98228724080847363</v>
      </c>
      <c r="BI30" s="3">
        <v>5.4489656108181149E-3</v>
      </c>
      <c r="BJ30" s="11">
        <v>0</v>
      </c>
      <c r="BK30" s="11"/>
      <c r="BN30" s="7">
        <v>0.75</v>
      </c>
      <c r="BO30" s="7">
        <v>0.75</v>
      </c>
      <c r="BP30" s="11">
        <v>-2.4000000000000236E-3</v>
      </c>
      <c r="BQ30" s="11">
        <v>1.0200000000000091E-2</v>
      </c>
      <c r="BR30" s="11">
        <v>-1.1250000000000097E-2</v>
      </c>
      <c r="BS30" s="1">
        <v>2.4812500000000026E-2</v>
      </c>
      <c r="BT30" s="3">
        <f t="shared" si="104"/>
        <v>2.1099999999999994E-2</v>
      </c>
      <c r="BU30" s="11">
        <f t="shared" si="113"/>
        <v>0.98228724080847363</v>
      </c>
      <c r="BV30" s="3">
        <v>5.4489656108181149E-3</v>
      </c>
      <c r="BW30" s="11">
        <v>0</v>
      </c>
      <c r="BX30" s="11"/>
      <c r="CA30" s="7">
        <v>0.75</v>
      </c>
      <c r="CB30" s="7">
        <v>0.75</v>
      </c>
      <c r="CC30" s="11">
        <v>-2.4000000000000236E-3</v>
      </c>
      <c r="CD30" s="11">
        <v>1.0200000000000091E-2</v>
      </c>
      <c r="CE30" s="11">
        <v>-1.1250000000000097E-2</v>
      </c>
      <c r="CF30" s="1">
        <v>2.4812500000000026E-2</v>
      </c>
      <c r="CG30" s="3">
        <f t="shared" si="105"/>
        <v>2.1099999999999994E-2</v>
      </c>
      <c r="CH30" s="11">
        <f t="shared" si="114"/>
        <v>0.98228724080847363</v>
      </c>
      <c r="CI30" s="3">
        <v>5.4489656108181149E-3</v>
      </c>
      <c r="CJ30" s="11">
        <v>0</v>
      </c>
      <c r="CK30" s="11"/>
      <c r="CN30" s="7">
        <v>0.75</v>
      </c>
      <c r="CO30" s="7">
        <v>0.75</v>
      </c>
      <c r="CP30" s="11">
        <v>-2.4000000000000236E-3</v>
      </c>
      <c r="CQ30" s="11">
        <v>1.0200000000000091E-2</v>
      </c>
      <c r="CR30" s="11">
        <v>-1.1250000000000097E-2</v>
      </c>
      <c r="CS30" s="1">
        <v>2.4812500000000026E-2</v>
      </c>
      <c r="CT30" s="3">
        <f t="shared" si="106"/>
        <v>2.1099999999999994E-2</v>
      </c>
      <c r="CU30" s="11">
        <f t="shared" si="115"/>
        <v>0.98228724080847363</v>
      </c>
      <c r="CV30" s="3">
        <v>5.4489656108181149E-3</v>
      </c>
      <c r="CW30" s="11">
        <v>0</v>
      </c>
      <c r="CX30" s="11"/>
      <c r="DA30" s="7">
        <v>0.75</v>
      </c>
      <c r="DB30" s="7">
        <v>0.75</v>
      </c>
      <c r="DC30" s="11">
        <v>-2.4000000000000236E-3</v>
      </c>
      <c r="DD30" s="11">
        <v>1.0200000000000091E-2</v>
      </c>
      <c r="DE30" s="11">
        <v>-1.1250000000000097E-2</v>
      </c>
      <c r="DF30" s="1">
        <v>2.4812500000000026E-2</v>
      </c>
      <c r="DG30" s="3">
        <f t="shared" si="107"/>
        <v>2.1099999999999994E-2</v>
      </c>
      <c r="DH30" s="11">
        <f t="shared" si="116"/>
        <v>0.98228724080847363</v>
      </c>
      <c r="DI30" s="3">
        <v>5.4489656108181149E-3</v>
      </c>
      <c r="DJ30" s="11">
        <v>0</v>
      </c>
      <c r="DK30" s="11"/>
    </row>
    <row r="31" spans="1:115" x14ac:dyDescent="0.25">
      <c r="A31" s="7">
        <v>1</v>
      </c>
      <c r="B31" s="7">
        <v>0.75</v>
      </c>
      <c r="C31" s="11">
        <v>-2.4000000000000236E-3</v>
      </c>
      <c r="D31" s="11">
        <v>1.0200000000000091E-2</v>
      </c>
      <c r="E31" s="11">
        <v>-1.1250000000000097E-2</v>
      </c>
      <c r="F31" s="1">
        <v>2.4812500000000026E-2</v>
      </c>
      <c r="G31" s="3">
        <f t="shared" si="99"/>
        <v>2.1362499999999996E-2</v>
      </c>
      <c r="H31" s="11">
        <f t="shared" si="108"/>
        <v>0.97713286494588414</v>
      </c>
      <c r="I31" s="3">
        <v>5.1543758625895372E-3</v>
      </c>
      <c r="J31" s="11">
        <v>0.97713286494588414</v>
      </c>
      <c r="K31" s="11"/>
      <c r="N31" s="7">
        <v>1</v>
      </c>
      <c r="O31" s="7">
        <v>0.75</v>
      </c>
      <c r="P31" s="11">
        <v>-2.4000000000000236E-3</v>
      </c>
      <c r="Q31" s="11">
        <v>1.0200000000000091E-2</v>
      </c>
      <c r="R31" s="11">
        <v>-1.1250000000000097E-2</v>
      </c>
      <c r="S31" s="1">
        <v>2.4812500000000026E-2</v>
      </c>
      <c r="T31" s="3">
        <f t="shared" si="100"/>
        <v>2.1362499999999996E-2</v>
      </c>
      <c r="U31" s="11">
        <f t="shared" si="109"/>
        <v>0.97708430733917784</v>
      </c>
      <c r="V31" s="3">
        <v>5.1541197212141617E-3</v>
      </c>
      <c r="W31" s="11">
        <v>0.97708430733917784</v>
      </c>
      <c r="AA31" s="7">
        <v>1</v>
      </c>
      <c r="AB31" s="7">
        <v>0.75</v>
      </c>
      <c r="AC31" s="11">
        <v>-2.2500000000000245E-3</v>
      </c>
      <c r="AD31" s="11">
        <v>9.6125000000000932E-3</v>
      </c>
      <c r="AE31" s="11">
        <v>-1.0621875000000098E-2</v>
      </c>
      <c r="AF31" s="1">
        <v>2.4708593750000028E-2</v>
      </c>
      <c r="AG31" s="3">
        <f t="shared" si="101"/>
        <v>2.1449218749999999E-2</v>
      </c>
      <c r="AH31" s="11">
        <f t="shared" si="110"/>
        <v>0.97708427610887527</v>
      </c>
      <c r="AI31" s="3">
        <v>5.1785466633770382E-3</v>
      </c>
      <c r="AJ31" s="11">
        <v>0.97708427610887527</v>
      </c>
      <c r="AK31" s="11"/>
      <c r="AN31" s="7">
        <v>1</v>
      </c>
      <c r="AO31" s="7">
        <v>0.75</v>
      </c>
      <c r="AP31" s="11">
        <v>-2.6000000000000224E-3</v>
      </c>
      <c r="AQ31" s="11">
        <v>1.0950000000000085E-2</v>
      </c>
      <c r="AR31" s="11">
        <v>-1.203750000000009E-2</v>
      </c>
      <c r="AS31" s="1">
        <v>2.5065625000000025E-2</v>
      </c>
      <c r="AT31" s="3">
        <f t="shared" si="102"/>
        <v>2.1378124999999998E-2</v>
      </c>
      <c r="AU31" s="11">
        <f t="shared" si="111"/>
        <v>0.97713286494588414</v>
      </c>
      <c r="AV31" s="3">
        <v>5.1543758625895381E-3</v>
      </c>
      <c r="AW31" s="11">
        <v>0.97713286494588414</v>
      </c>
      <c r="AX31" s="11"/>
      <c r="BA31" s="7">
        <v>1</v>
      </c>
      <c r="BB31" s="7">
        <v>0.75</v>
      </c>
      <c r="BC31" s="11">
        <v>-2.3500000000000239E-3</v>
      </c>
      <c r="BD31" s="11">
        <v>1.0037500000000091E-2</v>
      </c>
      <c r="BE31" s="11">
        <v>-1.1090625000000097E-2</v>
      </c>
      <c r="BF31" s="1">
        <v>2.4763281250000026E-2</v>
      </c>
      <c r="BG31" s="3">
        <f t="shared" si="103"/>
        <v>2.1360156249999998E-2</v>
      </c>
      <c r="BH31" s="11">
        <f t="shared" si="112"/>
        <v>0.97713286494588414</v>
      </c>
      <c r="BI31" s="3">
        <v>5.1543758625895372E-3</v>
      </c>
      <c r="BJ31" s="11">
        <v>0.97713286494588414</v>
      </c>
      <c r="BK31" s="11"/>
      <c r="BN31" s="7">
        <v>1</v>
      </c>
      <c r="BO31" s="7">
        <v>0.75</v>
      </c>
      <c r="BP31" s="11">
        <v>-2.4000000000000236E-3</v>
      </c>
      <c r="BQ31" s="11">
        <v>1.0200000000000091E-2</v>
      </c>
      <c r="BR31" s="11">
        <v>-1.1250000000000097E-2</v>
      </c>
      <c r="BS31" s="1">
        <v>2.4812500000000026E-2</v>
      </c>
      <c r="BT31" s="3">
        <f t="shared" si="104"/>
        <v>2.1362499999999996E-2</v>
      </c>
      <c r="BU31" s="11">
        <f t="shared" si="113"/>
        <v>0.97713286494588414</v>
      </c>
      <c r="BV31" s="3">
        <v>5.1543758625895372E-3</v>
      </c>
      <c r="BW31" s="11">
        <v>0.97713286494588414</v>
      </c>
      <c r="BX31" s="11"/>
      <c r="CA31" s="7">
        <v>1</v>
      </c>
      <c r="CB31" s="7">
        <v>0.75</v>
      </c>
      <c r="CC31" s="11">
        <v>-2.4000000000000236E-3</v>
      </c>
      <c r="CD31" s="11">
        <v>1.0200000000000091E-2</v>
      </c>
      <c r="CE31" s="11">
        <v>-1.1250000000000097E-2</v>
      </c>
      <c r="CF31" s="1">
        <v>2.4812500000000026E-2</v>
      </c>
      <c r="CG31" s="3">
        <f t="shared" si="105"/>
        <v>2.1362499999999996E-2</v>
      </c>
      <c r="CH31" s="11">
        <f t="shared" si="114"/>
        <v>0.97713286494588414</v>
      </c>
      <c r="CI31" s="3">
        <v>5.1543758625895372E-3</v>
      </c>
      <c r="CJ31" s="11">
        <v>0.97713286494588414</v>
      </c>
      <c r="CK31" s="11"/>
      <c r="CN31" s="7">
        <v>1</v>
      </c>
      <c r="CO31" s="7">
        <v>0.75</v>
      </c>
      <c r="CP31" s="11">
        <v>-2.4000000000000236E-3</v>
      </c>
      <c r="CQ31" s="11">
        <v>1.0200000000000091E-2</v>
      </c>
      <c r="CR31" s="11">
        <v>-1.1250000000000097E-2</v>
      </c>
      <c r="CS31" s="1">
        <v>2.4812500000000026E-2</v>
      </c>
      <c r="CT31" s="3">
        <f t="shared" si="106"/>
        <v>2.1362499999999996E-2</v>
      </c>
      <c r="CU31" s="11">
        <f t="shared" si="115"/>
        <v>0.97713286494588414</v>
      </c>
      <c r="CV31" s="3">
        <v>5.1543758625895372E-3</v>
      </c>
      <c r="CW31" s="11">
        <v>0.97713286494588414</v>
      </c>
      <c r="CX31" s="11"/>
      <c r="DA31" s="7">
        <v>1</v>
      </c>
      <c r="DB31" s="7">
        <v>0.75</v>
      </c>
      <c r="DC31" s="11">
        <v>-2.4000000000000236E-3</v>
      </c>
      <c r="DD31" s="11">
        <v>1.0200000000000091E-2</v>
      </c>
      <c r="DE31" s="11">
        <v>-1.1250000000000097E-2</v>
      </c>
      <c r="DF31" s="1">
        <v>2.4812500000000026E-2</v>
      </c>
      <c r="DG31" s="3">
        <f t="shared" si="107"/>
        <v>2.1362499999999996E-2</v>
      </c>
      <c r="DH31" s="11">
        <f t="shared" si="116"/>
        <v>0.97713286494588414</v>
      </c>
      <c r="DI31" s="3">
        <v>5.1543758625895372E-3</v>
      </c>
      <c r="DJ31" s="11">
        <v>0.97713286494588414</v>
      </c>
      <c r="DK31" s="11"/>
    </row>
    <row r="32" spans="1:115" x14ac:dyDescent="0.25">
      <c r="A32" s="7">
        <v>1.25</v>
      </c>
      <c r="B32" s="7">
        <v>0.75</v>
      </c>
      <c r="C32" s="11">
        <v>-2.4000000000000236E-3</v>
      </c>
      <c r="D32" s="11">
        <v>1.0200000000000091E-2</v>
      </c>
      <c r="E32" s="11">
        <v>-1.1250000000000097E-2</v>
      </c>
      <c r="F32" s="1">
        <v>2.4812500000000026E-2</v>
      </c>
      <c r="G32" s="3">
        <f t="shared" si="99"/>
        <v>2.2000000000000002E-2</v>
      </c>
      <c r="H32" s="11">
        <f t="shared" si="108"/>
        <v>0.97194208673889415</v>
      </c>
      <c r="I32" s="3">
        <v>5.1907782069899053E-3</v>
      </c>
      <c r="J32" s="11">
        <v>0</v>
      </c>
      <c r="K32" s="11"/>
      <c r="N32" s="7">
        <v>1.25</v>
      </c>
      <c r="O32" s="7">
        <v>0.75</v>
      </c>
      <c r="P32" s="11">
        <v>-2.4000000000000236E-3</v>
      </c>
      <c r="Q32" s="11">
        <v>1.0200000000000091E-2</v>
      </c>
      <c r="R32" s="11">
        <v>-1.1250000000000097E-2</v>
      </c>
      <c r="S32" s="1">
        <v>2.4812500000000026E-2</v>
      </c>
      <c r="T32" s="3">
        <f t="shared" si="100"/>
        <v>2.2000000000000002E-2</v>
      </c>
      <c r="U32" s="11">
        <f t="shared" si="109"/>
        <v>0.97189378708254004</v>
      </c>
      <c r="V32" s="3">
        <v>5.1905202566376891E-3</v>
      </c>
      <c r="W32" s="11">
        <v>0</v>
      </c>
      <c r="AA32" s="7">
        <v>1.25</v>
      </c>
      <c r="AB32" s="7">
        <v>0.75</v>
      </c>
      <c r="AC32" s="11">
        <v>-2.2500000000000245E-3</v>
      </c>
      <c r="AD32" s="11">
        <v>9.6125000000000932E-3</v>
      </c>
      <c r="AE32" s="11">
        <v>-1.0621875000000098E-2</v>
      </c>
      <c r="AF32" s="1">
        <v>2.4708593750000028E-2</v>
      </c>
      <c r="AG32" s="3">
        <f t="shared" si="101"/>
        <v>2.2056249999999999E-2</v>
      </c>
      <c r="AH32" s="11">
        <f t="shared" si="110"/>
        <v>0.97187279804824744</v>
      </c>
      <c r="AI32" s="3">
        <v>5.2114780606278581E-3</v>
      </c>
      <c r="AJ32" s="11">
        <v>0</v>
      </c>
      <c r="AK32" s="11"/>
      <c r="AN32" s="7">
        <v>1.25</v>
      </c>
      <c r="AO32" s="7">
        <v>0.75</v>
      </c>
      <c r="AP32" s="11">
        <v>-2.6000000000000224E-3</v>
      </c>
      <c r="AQ32" s="11">
        <v>1.0950000000000085E-2</v>
      </c>
      <c r="AR32" s="11">
        <v>-1.203750000000009E-2</v>
      </c>
      <c r="AS32" s="1">
        <v>2.5065625000000025E-2</v>
      </c>
      <c r="AT32" s="3">
        <f t="shared" si="102"/>
        <v>2.205E-2</v>
      </c>
      <c r="AU32" s="11">
        <f t="shared" si="111"/>
        <v>0.97193831027355493</v>
      </c>
      <c r="AV32" s="3">
        <v>5.1945546723292102E-3</v>
      </c>
      <c r="AW32" s="11">
        <v>0</v>
      </c>
      <c r="AX32" s="11"/>
      <c r="BA32" s="7">
        <v>1.25</v>
      </c>
      <c r="BB32" s="7">
        <v>0.75</v>
      </c>
      <c r="BC32" s="11">
        <v>-2.3500000000000239E-3</v>
      </c>
      <c r="BD32" s="11">
        <v>1.0037500000000091E-2</v>
      </c>
      <c r="BE32" s="11">
        <v>-1.1090625000000097E-2</v>
      </c>
      <c r="BF32" s="1">
        <v>2.4763281250000026E-2</v>
      </c>
      <c r="BG32" s="3">
        <f t="shared" si="103"/>
        <v>2.1993749999999999E-2</v>
      </c>
      <c r="BH32" s="11">
        <f t="shared" si="112"/>
        <v>0.9719426532112263</v>
      </c>
      <c r="BI32" s="3">
        <v>5.190211734657839E-3</v>
      </c>
      <c r="BJ32" s="11">
        <v>0</v>
      </c>
      <c r="BK32" s="11"/>
      <c r="BN32" s="7">
        <v>1.25</v>
      </c>
      <c r="BO32" s="7">
        <v>0.75</v>
      </c>
      <c r="BP32" s="11">
        <v>-2.4000000000000236E-3</v>
      </c>
      <c r="BQ32" s="11">
        <v>1.0200000000000091E-2</v>
      </c>
      <c r="BR32" s="11">
        <v>-1.1250000000000097E-2</v>
      </c>
      <c r="BS32" s="1">
        <v>2.4812500000000026E-2</v>
      </c>
      <c r="BT32" s="3">
        <f t="shared" si="104"/>
        <v>2.2000000000000002E-2</v>
      </c>
      <c r="BU32" s="11">
        <f t="shared" si="113"/>
        <v>0.97194208673889415</v>
      </c>
      <c r="BV32" s="3">
        <v>5.1907782069899053E-3</v>
      </c>
      <c r="BW32" s="11">
        <v>0</v>
      </c>
      <c r="BX32" s="11"/>
      <c r="CA32" s="7">
        <v>1.25</v>
      </c>
      <c r="CB32" s="7">
        <v>0.75</v>
      </c>
      <c r="CC32" s="11">
        <v>-2.4000000000000236E-3</v>
      </c>
      <c r="CD32" s="11">
        <v>1.0200000000000091E-2</v>
      </c>
      <c r="CE32" s="11">
        <v>-1.1250000000000097E-2</v>
      </c>
      <c r="CF32" s="1">
        <v>2.4812500000000026E-2</v>
      </c>
      <c r="CG32" s="3">
        <f t="shared" si="105"/>
        <v>2.2000000000000002E-2</v>
      </c>
      <c r="CH32" s="11">
        <f t="shared" si="114"/>
        <v>0.97194208673889415</v>
      </c>
      <c r="CI32" s="3">
        <v>5.1907782069899053E-3</v>
      </c>
      <c r="CJ32" s="11">
        <v>0</v>
      </c>
      <c r="CK32" s="11"/>
      <c r="CN32" s="7">
        <v>1.25</v>
      </c>
      <c r="CO32" s="7">
        <v>0.75</v>
      </c>
      <c r="CP32" s="11">
        <v>-2.4000000000000236E-3</v>
      </c>
      <c r="CQ32" s="11">
        <v>1.0200000000000091E-2</v>
      </c>
      <c r="CR32" s="11">
        <v>-1.1250000000000097E-2</v>
      </c>
      <c r="CS32" s="1">
        <v>2.4812500000000026E-2</v>
      </c>
      <c r="CT32" s="3">
        <f t="shared" si="106"/>
        <v>2.2000000000000002E-2</v>
      </c>
      <c r="CU32" s="11">
        <f t="shared" si="115"/>
        <v>0.97194208673889415</v>
      </c>
      <c r="CV32" s="3">
        <v>5.1907782069899053E-3</v>
      </c>
      <c r="CW32" s="11">
        <v>0</v>
      </c>
      <c r="CX32" s="11"/>
      <c r="DA32" s="7">
        <v>1.25</v>
      </c>
      <c r="DB32" s="7">
        <v>0.75</v>
      </c>
      <c r="DC32" s="11">
        <v>-2.4000000000000236E-3</v>
      </c>
      <c r="DD32" s="11">
        <v>1.0200000000000091E-2</v>
      </c>
      <c r="DE32" s="11">
        <v>-1.1250000000000097E-2</v>
      </c>
      <c r="DF32" s="1">
        <v>2.4812500000000026E-2</v>
      </c>
      <c r="DG32" s="3">
        <f t="shared" si="107"/>
        <v>2.2000000000000002E-2</v>
      </c>
      <c r="DH32" s="11">
        <f t="shared" si="116"/>
        <v>0.97194208673889415</v>
      </c>
      <c r="DI32" s="3">
        <v>5.1907782069899053E-3</v>
      </c>
      <c r="DJ32" s="11">
        <v>0</v>
      </c>
      <c r="DK32" s="11"/>
    </row>
    <row r="33" spans="1:115" x14ac:dyDescent="0.25">
      <c r="A33" s="7">
        <v>1.5</v>
      </c>
      <c r="B33" s="7">
        <v>0.75</v>
      </c>
      <c r="C33" s="11">
        <v>-2.4000000000000236E-3</v>
      </c>
      <c r="D33" s="11">
        <v>1.0200000000000091E-2</v>
      </c>
      <c r="E33" s="11">
        <v>-1.1250000000000097E-2</v>
      </c>
      <c r="F33" s="1">
        <v>2.4812500000000026E-2</v>
      </c>
      <c r="G33" s="3">
        <f t="shared" si="99"/>
        <v>2.2787500000000006E-2</v>
      </c>
      <c r="H33" s="11">
        <f t="shared" si="108"/>
        <v>0.96662564568761222</v>
      </c>
      <c r="I33" s="3">
        <v>5.3164410512818675E-3</v>
      </c>
      <c r="J33" s="11">
        <v>0</v>
      </c>
      <c r="K33" s="11"/>
      <c r="N33" s="7">
        <v>1.5</v>
      </c>
      <c r="O33" s="7">
        <v>0.75</v>
      </c>
      <c r="P33" s="11">
        <v>-2.4000000000000236E-3</v>
      </c>
      <c r="Q33" s="11">
        <v>1.0200000000000091E-2</v>
      </c>
      <c r="R33" s="11">
        <v>-1.1250000000000097E-2</v>
      </c>
      <c r="S33" s="1">
        <v>2.4812500000000026E-2</v>
      </c>
      <c r="T33" s="3">
        <f t="shared" si="100"/>
        <v>2.2787500000000006E-2</v>
      </c>
      <c r="U33" s="11">
        <f t="shared" si="109"/>
        <v>0.9665776102262954</v>
      </c>
      <c r="V33" s="3">
        <v>5.3161768562446253E-3</v>
      </c>
      <c r="W33" s="11">
        <v>0</v>
      </c>
      <c r="AA33" s="7">
        <v>1.5</v>
      </c>
      <c r="AB33" s="7">
        <v>0.75</v>
      </c>
      <c r="AC33" s="11">
        <v>-2.2500000000000245E-3</v>
      </c>
      <c r="AD33" s="11">
        <v>9.6125000000000932E-3</v>
      </c>
      <c r="AE33" s="11">
        <v>-1.0621875000000098E-2</v>
      </c>
      <c r="AF33" s="1">
        <v>2.4708593750000028E-2</v>
      </c>
      <c r="AG33" s="3">
        <f t="shared" si="101"/>
        <v>2.2810156250000008E-2</v>
      </c>
      <c r="AH33" s="11">
        <f t="shared" si="110"/>
        <v>0.96654321833340584</v>
      </c>
      <c r="AI33" s="3">
        <v>5.3295797148415454E-3</v>
      </c>
      <c r="AJ33" s="11">
        <v>0</v>
      </c>
      <c r="AK33" s="11"/>
      <c r="AN33" s="7">
        <v>1.5</v>
      </c>
      <c r="AO33" s="7">
        <v>0.75</v>
      </c>
      <c r="AP33" s="11">
        <v>-2.6000000000000224E-3</v>
      </c>
      <c r="AQ33" s="11">
        <v>1.0950000000000085E-2</v>
      </c>
      <c r="AR33" s="11">
        <v>-1.203750000000009E-2</v>
      </c>
      <c r="AS33" s="1">
        <v>2.5065625000000025E-2</v>
      </c>
      <c r="AT33" s="3">
        <f t="shared" si="102"/>
        <v>2.2871875000000003E-2</v>
      </c>
      <c r="AU33" s="11">
        <f t="shared" si="111"/>
        <v>0.9666098733467311</v>
      </c>
      <c r="AV33" s="3">
        <v>5.3284369268238553E-3</v>
      </c>
      <c r="AW33" s="11">
        <v>0</v>
      </c>
      <c r="AX33" s="11"/>
      <c r="BA33" s="7">
        <v>1.5</v>
      </c>
      <c r="BB33" s="7">
        <v>0.75</v>
      </c>
      <c r="BC33" s="11">
        <v>-2.3500000000000239E-3</v>
      </c>
      <c r="BD33" s="11">
        <v>1.0037500000000091E-2</v>
      </c>
      <c r="BE33" s="11">
        <v>-1.1090625000000097E-2</v>
      </c>
      <c r="BF33" s="1">
        <v>2.4763281250000026E-2</v>
      </c>
      <c r="BG33" s="3">
        <f t="shared" si="103"/>
        <v>2.2780468750000005E-2</v>
      </c>
      <c r="BH33" s="11">
        <f t="shared" si="112"/>
        <v>0.96662771115566881</v>
      </c>
      <c r="BI33" s="3">
        <v>5.3149420555574974E-3</v>
      </c>
      <c r="BJ33" s="11">
        <v>0</v>
      </c>
      <c r="BK33" s="11"/>
      <c r="BN33" s="7">
        <v>1.5</v>
      </c>
      <c r="BO33" s="7">
        <v>0.75</v>
      </c>
      <c r="BP33" s="11">
        <v>-2.4000000000000236E-3</v>
      </c>
      <c r="BQ33" s="11">
        <v>1.0200000000000091E-2</v>
      </c>
      <c r="BR33" s="11">
        <v>-1.1250000000000097E-2</v>
      </c>
      <c r="BS33" s="1">
        <v>2.4812500000000026E-2</v>
      </c>
      <c r="BT33" s="3">
        <f t="shared" si="104"/>
        <v>2.2787500000000006E-2</v>
      </c>
      <c r="BU33" s="11">
        <f t="shared" si="113"/>
        <v>0.96662564568761222</v>
      </c>
      <c r="BV33" s="3">
        <v>5.3164410512818675E-3</v>
      </c>
      <c r="BW33" s="11">
        <v>0</v>
      </c>
      <c r="BX33" s="11"/>
      <c r="CA33" s="7">
        <v>1.5</v>
      </c>
      <c r="CB33" s="7">
        <v>0.75</v>
      </c>
      <c r="CC33" s="11">
        <v>-2.4000000000000236E-3</v>
      </c>
      <c r="CD33" s="11">
        <v>1.0200000000000091E-2</v>
      </c>
      <c r="CE33" s="11">
        <v>-1.1250000000000097E-2</v>
      </c>
      <c r="CF33" s="1">
        <v>2.4812500000000026E-2</v>
      </c>
      <c r="CG33" s="3">
        <f t="shared" si="105"/>
        <v>2.2787500000000006E-2</v>
      </c>
      <c r="CH33" s="11">
        <f t="shared" si="114"/>
        <v>0.96662564568761222</v>
      </c>
      <c r="CI33" s="3">
        <v>5.3164410512818675E-3</v>
      </c>
      <c r="CJ33" s="11">
        <v>0</v>
      </c>
      <c r="CK33" s="11"/>
      <c r="CN33" s="7">
        <v>1.5</v>
      </c>
      <c r="CO33" s="7">
        <v>0.75</v>
      </c>
      <c r="CP33" s="11">
        <v>-2.4000000000000236E-3</v>
      </c>
      <c r="CQ33" s="11">
        <v>1.0200000000000091E-2</v>
      </c>
      <c r="CR33" s="11">
        <v>-1.1250000000000097E-2</v>
      </c>
      <c r="CS33" s="1">
        <v>2.4812500000000026E-2</v>
      </c>
      <c r="CT33" s="3">
        <f t="shared" si="106"/>
        <v>2.2787500000000006E-2</v>
      </c>
      <c r="CU33" s="11">
        <f t="shared" si="115"/>
        <v>0.96662564568761222</v>
      </c>
      <c r="CV33" s="3">
        <v>5.3164410512818675E-3</v>
      </c>
      <c r="CW33" s="11">
        <v>0</v>
      </c>
      <c r="CX33" s="11"/>
      <c r="DA33" s="7">
        <v>1.5</v>
      </c>
      <c r="DB33" s="7">
        <v>0.75</v>
      </c>
      <c r="DC33" s="11">
        <v>-2.4000000000000236E-3</v>
      </c>
      <c r="DD33" s="11">
        <v>1.0200000000000091E-2</v>
      </c>
      <c r="DE33" s="11">
        <v>-1.1250000000000097E-2</v>
      </c>
      <c r="DF33" s="1">
        <v>2.4812500000000026E-2</v>
      </c>
      <c r="DG33" s="3">
        <f t="shared" si="107"/>
        <v>2.2787500000000006E-2</v>
      </c>
      <c r="DH33" s="11">
        <f t="shared" si="116"/>
        <v>0.96662564568761222</v>
      </c>
      <c r="DI33" s="3">
        <v>5.3164410512818675E-3</v>
      </c>
      <c r="DJ33" s="11">
        <v>0</v>
      </c>
      <c r="DK33" s="11"/>
    </row>
    <row r="34" spans="1:115" x14ac:dyDescent="0.25">
      <c r="A34" s="7">
        <v>1.75</v>
      </c>
      <c r="B34" s="7">
        <v>1.75</v>
      </c>
      <c r="C34" s="11">
        <v>-1.1199999999999891E-3</v>
      </c>
      <c r="D34" s="11">
        <v>6.9999999999999212E-3</v>
      </c>
      <c r="E34" s="11">
        <v>-1.1809999999999821E-2</v>
      </c>
      <c r="F34" s="1">
        <v>2.8732499999999876E-2</v>
      </c>
      <c r="G34" s="3">
        <f t="shared" si="99"/>
        <v>2.3500000000000007E-2</v>
      </c>
      <c r="H34" s="11">
        <f t="shared" si="108"/>
        <v>0.96115009374729565</v>
      </c>
      <c r="I34" s="3">
        <v>5.4755519403166262E-3</v>
      </c>
      <c r="J34" s="11">
        <v>0</v>
      </c>
      <c r="K34" s="11"/>
      <c r="N34" s="7">
        <v>1.75</v>
      </c>
      <c r="O34" s="7">
        <v>1.75</v>
      </c>
      <c r="P34" s="11">
        <v>-1.1199999999999891E-3</v>
      </c>
      <c r="Q34" s="11">
        <v>6.9999999999999212E-3</v>
      </c>
      <c r="R34" s="11">
        <v>-1.1809999999999821E-2</v>
      </c>
      <c r="S34" s="1">
        <v>2.8732499999999876E-2</v>
      </c>
      <c r="T34" s="3">
        <f t="shared" si="100"/>
        <v>2.3500000000000007E-2</v>
      </c>
      <c r="U34" s="11">
        <f t="shared" si="109"/>
        <v>0.96110233038786708</v>
      </c>
      <c r="V34" s="3">
        <v>5.4752798384283818E-3</v>
      </c>
      <c r="W34" s="11">
        <v>0</v>
      </c>
      <c r="AA34" s="7">
        <v>1.75</v>
      </c>
      <c r="AB34" s="7">
        <v>1.75</v>
      </c>
      <c r="AC34" s="11">
        <v>-1.1699999999999888E-3</v>
      </c>
      <c r="AD34" s="11">
        <v>7.3624999999999195E-3</v>
      </c>
      <c r="AE34" s="11">
        <v>-1.2669374999999821E-2</v>
      </c>
      <c r="AF34" s="1">
        <v>2.9394218749999881E-2</v>
      </c>
      <c r="AG34" s="3">
        <f t="shared" si="101"/>
        <v>2.3500000000000004E-2</v>
      </c>
      <c r="AH34" s="11">
        <f t="shared" si="110"/>
        <v>0.96106272062751485</v>
      </c>
      <c r="AI34" s="3">
        <v>5.4804977058909299E-3</v>
      </c>
      <c r="AJ34" s="11">
        <v>0</v>
      </c>
      <c r="AK34" s="11"/>
      <c r="AN34" s="7">
        <v>1.75</v>
      </c>
      <c r="AO34" s="7">
        <v>1.75</v>
      </c>
      <c r="AP34" s="11">
        <v>-9.6999999999998997E-4</v>
      </c>
      <c r="AQ34" s="11">
        <v>5.9624999999999279E-3</v>
      </c>
      <c r="AR34" s="11">
        <v>-9.5568749999998381E-3</v>
      </c>
      <c r="AS34" s="1">
        <v>2.7262968749999887E-2</v>
      </c>
      <c r="AT34" s="3">
        <f t="shared" si="102"/>
        <v>2.3600000000000006E-2</v>
      </c>
      <c r="AU34" s="11">
        <f t="shared" si="111"/>
        <v>0.96111425208811163</v>
      </c>
      <c r="AV34" s="3">
        <v>5.4956212586194453E-3</v>
      </c>
      <c r="AW34" s="11">
        <v>0</v>
      </c>
      <c r="AX34" s="11"/>
      <c r="BA34" s="7">
        <v>1.75</v>
      </c>
      <c r="BB34" s="7">
        <v>1.75</v>
      </c>
      <c r="BC34" s="11">
        <v>-1.2699999999999882E-3</v>
      </c>
      <c r="BD34" s="11">
        <v>7.9874999999999148E-3</v>
      </c>
      <c r="BE34" s="11">
        <v>-1.3838124999999812E-2</v>
      </c>
      <c r="BF34" s="1">
        <v>3.0061406249999877E-2</v>
      </c>
      <c r="BG34" s="3">
        <f t="shared" si="103"/>
        <v>2.350000000000001E-2</v>
      </c>
      <c r="BH34" s="11">
        <f t="shared" si="112"/>
        <v>0.96115382747299605</v>
      </c>
      <c r="BI34" s="3">
        <v>5.4738836826728702E-3</v>
      </c>
      <c r="BJ34" s="11">
        <v>0</v>
      </c>
      <c r="BK34" s="11"/>
      <c r="BN34" s="7">
        <v>1.75</v>
      </c>
      <c r="BO34" s="7">
        <v>1.75</v>
      </c>
      <c r="BP34" s="11">
        <v>-1.0699999999999894E-3</v>
      </c>
      <c r="BQ34" s="11">
        <v>6.6874999999999227E-3</v>
      </c>
      <c r="BR34" s="11">
        <v>-1.1175624999999825E-2</v>
      </c>
      <c r="BS34" s="1">
        <v>2.8311406249999879E-2</v>
      </c>
      <c r="BT34" s="3">
        <f t="shared" si="104"/>
        <v>2.3500000000000007E-2</v>
      </c>
      <c r="BU34" s="11">
        <f t="shared" si="113"/>
        <v>0.96115009374729565</v>
      </c>
      <c r="BV34" s="3">
        <v>5.4755519403166262E-3</v>
      </c>
      <c r="BW34" s="11">
        <v>0</v>
      </c>
      <c r="BX34" s="11"/>
      <c r="CA34" s="7">
        <v>1.75</v>
      </c>
      <c r="CB34" s="7">
        <v>1.75</v>
      </c>
      <c r="CC34" s="11">
        <v>-1.1199999999999891E-3</v>
      </c>
      <c r="CD34" s="11">
        <v>6.9999999999999212E-3</v>
      </c>
      <c r="CE34" s="11">
        <v>-1.1809999999999821E-2</v>
      </c>
      <c r="CF34" s="1">
        <v>2.8732499999999876E-2</v>
      </c>
      <c r="CG34" s="3">
        <f t="shared" si="105"/>
        <v>2.3500000000000007E-2</v>
      </c>
      <c r="CH34" s="11">
        <f t="shared" si="114"/>
        <v>0.96115009374729565</v>
      </c>
      <c r="CI34" s="3">
        <v>5.4755519403166262E-3</v>
      </c>
      <c r="CJ34" s="11">
        <v>0</v>
      </c>
      <c r="CK34" s="11"/>
      <c r="CN34" s="7">
        <v>1.75</v>
      </c>
      <c r="CO34" s="7">
        <v>1.75</v>
      </c>
      <c r="CP34" s="11">
        <v>-1.1199999999999891E-3</v>
      </c>
      <c r="CQ34" s="11">
        <v>6.9999999999999212E-3</v>
      </c>
      <c r="CR34" s="11">
        <v>-1.1809999999999821E-2</v>
      </c>
      <c r="CS34" s="1">
        <v>2.8732499999999876E-2</v>
      </c>
      <c r="CT34" s="3">
        <f t="shared" si="106"/>
        <v>2.3500000000000007E-2</v>
      </c>
      <c r="CU34" s="11">
        <f t="shared" si="115"/>
        <v>0.96115009374729565</v>
      </c>
      <c r="CV34" s="3">
        <v>5.4755519403166262E-3</v>
      </c>
      <c r="CW34" s="11">
        <v>0</v>
      </c>
      <c r="CX34" s="11"/>
      <c r="DA34" s="7">
        <v>1.75</v>
      </c>
      <c r="DB34" s="7">
        <v>1.75</v>
      </c>
      <c r="DC34" s="11">
        <v>-1.1199999999999891E-3</v>
      </c>
      <c r="DD34" s="11">
        <v>6.9999999999999212E-3</v>
      </c>
      <c r="DE34" s="11">
        <v>-1.1809999999999821E-2</v>
      </c>
      <c r="DF34" s="1">
        <v>2.8732499999999876E-2</v>
      </c>
      <c r="DG34" s="3">
        <f t="shared" si="107"/>
        <v>2.3500000000000007E-2</v>
      </c>
      <c r="DH34" s="11">
        <f t="shared" si="116"/>
        <v>0.96115009374729565</v>
      </c>
      <c r="DI34" s="3">
        <v>5.4755519403166262E-3</v>
      </c>
      <c r="DJ34" s="11">
        <v>0</v>
      </c>
      <c r="DK34" s="11"/>
    </row>
    <row r="35" spans="1:115" x14ac:dyDescent="0.25">
      <c r="A35" s="7">
        <v>2</v>
      </c>
      <c r="B35" s="7">
        <v>1.75</v>
      </c>
      <c r="C35" s="11">
        <v>-1.1199999999999891E-3</v>
      </c>
      <c r="D35" s="11">
        <v>6.9999999999999212E-3</v>
      </c>
      <c r="E35" s="11">
        <v>-1.1809999999999821E-2</v>
      </c>
      <c r="F35" s="1">
        <v>2.8732499999999876E-2</v>
      </c>
      <c r="G35" s="3">
        <f t="shared" si="99"/>
        <v>2.4152500000000007E-2</v>
      </c>
      <c r="H35" s="11">
        <f t="shared" si="108"/>
        <v>0.95553631787975202</v>
      </c>
      <c r="I35" s="3">
        <v>5.6137758675435445E-3</v>
      </c>
      <c r="J35" s="11">
        <v>0.95553631787975202</v>
      </c>
      <c r="K35" s="11"/>
      <c r="N35" s="7">
        <v>2</v>
      </c>
      <c r="O35" s="7">
        <v>1.75</v>
      </c>
      <c r="P35" s="11">
        <v>-1.1199999999999891E-3</v>
      </c>
      <c r="Q35" s="11">
        <v>6.9999999999999212E-3</v>
      </c>
      <c r="R35" s="11">
        <v>-1.1809999999999821E-2</v>
      </c>
      <c r="S35" s="1">
        <v>2.8732499999999876E-2</v>
      </c>
      <c r="T35" s="3">
        <f t="shared" si="100"/>
        <v>2.4152500000000007E-2</v>
      </c>
      <c r="U35" s="11">
        <f t="shared" si="109"/>
        <v>0.9554888334911068</v>
      </c>
      <c r="V35" s="3">
        <v>5.6134968967602545E-3</v>
      </c>
      <c r="W35" s="11">
        <v>0.9554888334911068</v>
      </c>
      <c r="AA35" s="7">
        <v>2</v>
      </c>
      <c r="AB35" s="7">
        <v>1.75</v>
      </c>
      <c r="AC35" s="11">
        <v>-1.1699999999999888E-3</v>
      </c>
      <c r="AD35" s="11">
        <v>7.3624999999999195E-3</v>
      </c>
      <c r="AE35" s="11">
        <v>-1.2669374999999821E-2</v>
      </c>
      <c r="AF35" s="1">
        <v>2.9394218749999881E-2</v>
      </c>
      <c r="AG35" s="3">
        <f t="shared" si="101"/>
        <v>2.4145468750000006E-2</v>
      </c>
      <c r="AH35" s="11">
        <f t="shared" si="110"/>
        <v>0.95544945507892609</v>
      </c>
      <c r="AI35" s="3">
        <v>5.6132655485886919E-3</v>
      </c>
      <c r="AJ35" s="11">
        <v>0.95544945507892609</v>
      </c>
      <c r="AK35" s="11"/>
      <c r="AN35" s="7">
        <v>2</v>
      </c>
      <c r="AO35" s="7">
        <v>1.75</v>
      </c>
      <c r="AP35" s="11">
        <v>-9.6999999999998997E-4</v>
      </c>
      <c r="AQ35" s="11">
        <v>5.9624999999999279E-3</v>
      </c>
      <c r="AR35" s="11">
        <v>-9.5568749999998381E-3</v>
      </c>
      <c r="AS35" s="1">
        <v>2.7262968749999887E-2</v>
      </c>
      <c r="AT35" s="3">
        <f t="shared" si="102"/>
        <v>2.4239218750000003E-2</v>
      </c>
      <c r="AU35" s="11">
        <f t="shared" si="111"/>
        <v>0.95547693815300883</v>
      </c>
      <c r="AV35" s="3">
        <v>5.6373139351027536E-3</v>
      </c>
      <c r="AW35" s="11">
        <v>0.95547693815300883</v>
      </c>
      <c r="AX35" s="11"/>
      <c r="BA35" s="7">
        <v>2</v>
      </c>
      <c r="BB35" s="7">
        <v>1.75</v>
      </c>
      <c r="BC35" s="11">
        <v>-1.2699999999999882E-3</v>
      </c>
      <c r="BD35" s="11">
        <v>7.9874999999999148E-3</v>
      </c>
      <c r="BE35" s="11">
        <v>-1.3838124999999812E-2</v>
      </c>
      <c r="BF35" s="1">
        <v>3.0061406249999877E-2</v>
      </c>
      <c r="BG35" s="3">
        <f t="shared" si="103"/>
        <v>2.4175156250000007E-2</v>
      </c>
      <c r="BH35" s="11">
        <f t="shared" si="112"/>
        <v>0.95554002979793307</v>
      </c>
      <c r="BI35" s="3">
        <v>5.6137976750628591E-3</v>
      </c>
      <c r="BJ35" s="11">
        <v>0.95554002979793307</v>
      </c>
      <c r="BK35" s="11"/>
      <c r="BN35" s="7">
        <v>2</v>
      </c>
      <c r="BO35" s="7">
        <v>1.75</v>
      </c>
      <c r="BP35" s="11">
        <v>-1.0699999999999894E-3</v>
      </c>
      <c r="BQ35" s="11">
        <v>6.6874999999999227E-3</v>
      </c>
      <c r="BR35" s="11">
        <v>-1.1175624999999825E-2</v>
      </c>
      <c r="BS35" s="1">
        <v>2.8311406249999879E-2</v>
      </c>
      <c r="BT35" s="3">
        <f t="shared" si="104"/>
        <v>2.4150156250000006E-2</v>
      </c>
      <c r="BU35" s="11">
        <f t="shared" si="113"/>
        <v>0.95553631787975202</v>
      </c>
      <c r="BV35" s="3">
        <v>5.6137758675435445E-3</v>
      </c>
      <c r="BW35" s="11">
        <v>0.95553631787975202</v>
      </c>
      <c r="BX35" s="11"/>
      <c r="CA35" s="7">
        <v>2</v>
      </c>
      <c r="CB35" s="7">
        <v>1.75</v>
      </c>
      <c r="CC35" s="11">
        <v>-1.1199999999999891E-3</v>
      </c>
      <c r="CD35" s="11">
        <v>6.9999999999999212E-3</v>
      </c>
      <c r="CE35" s="11">
        <v>-1.1809999999999821E-2</v>
      </c>
      <c r="CF35" s="1">
        <v>2.8732499999999876E-2</v>
      </c>
      <c r="CG35" s="3">
        <f t="shared" si="105"/>
        <v>2.4152500000000007E-2</v>
      </c>
      <c r="CH35" s="11">
        <f t="shared" si="114"/>
        <v>0.95553631787975202</v>
      </c>
      <c r="CI35" s="3">
        <v>5.6137758675435445E-3</v>
      </c>
      <c r="CJ35" s="11">
        <v>0.95553631787975202</v>
      </c>
      <c r="CK35" s="11"/>
      <c r="CN35" s="7">
        <v>2</v>
      </c>
      <c r="CO35" s="7">
        <v>1.75</v>
      </c>
      <c r="CP35" s="11">
        <v>-1.1199999999999891E-3</v>
      </c>
      <c r="CQ35" s="11">
        <v>6.9999999999999212E-3</v>
      </c>
      <c r="CR35" s="11">
        <v>-1.1809999999999821E-2</v>
      </c>
      <c r="CS35" s="1">
        <v>2.8732499999999876E-2</v>
      </c>
      <c r="CT35" s="3">
        <f t="shared" si="106"/>
        <v>2.4152500000000007E-2</v>
      </c>
      <c r="CU35" s="11">
        <f t="shared" si="115"/>
        <v>0.95553631787975202</v>
      </c>
      <c r="CV35" s="3">
        <v>5.6137758675435445E-3</v>
      </c>
      <c r="CW35" s="11">
        <v>0.95553631787975202</v>
      </c>
      <c r="CX35" s="11"/>
      <c r="DA35" s="7">
        <v>2</v>
      </c>
      <c r="DB35" s="7">
        <v>1.75</v>
      </c>
      <c r="DC35" s="11">
        <v>-1.1199999999999891E-3</v>
      </c>
      <c r="DD35" s="11">
        <v>6.9999999999999212E-3</v>
      </c>
      <c r="DE35" s="11">
        <v>-1.1809999999999821E-2</v>
      </c>
      <c r="DF35" s="1">
        <v>2.8732499999999876E-2</v>
      </c>
      <c r="DG35" s="3">
        <f t="shared" si="107"/>
        <v>2.4152500000000007E-2</v>
      </c>
      <c r="DH35" s="11">
        <f t="shared" si="116"/>
        <v>0.95553631787975202</v>
      </c>
      <c r="DI35" s="3">
        <v>5.6137758675435445E-3</v>
      </c>
      <c r="DJ35" s="11">
        <v>0.95553631787975202</v>
      </c>
      <c r="DK35" s="11"/>
    </row>
    <row r="36" spans="1:115" x14ac:dyDescent="0.25">
      <c r="A36" s="7">
        <v>2.25</v>
      </c>
      <c r="B36" s="7">
        <v>1.75</v>
      </c>
      <c r="C36" s="11">
        <v>-1.1199999999999891E-3</v>
      </c>
      <c r="D36" s="11">
        <v>6.9999999999999212E-3</v>
      </c>
      <c r="E36" s="11">
        <v>-1.1809999999999821E-2</v>
      </c>
      <c r="F36" s="1">
        <v>2.8732499999999876E-2</v>
      </c>
      <c r="G36" s="3">
        <f t="shared" si="99"/>
        <v>2.4840000000000008E-2</v>
      </c>
      <c r="H36" s="11">
        <f t="shared" si="108"/>
        <v>0.94980129891176057</v>
      </c>
      <c r="I36" s="3">
        <v>5.7350189679915764E-3</v>
      </c>
      <c r="J36" s="11">
        <v>0</v>
      </c>
      <c r="K36" s="11"/>
      <c r="N36" s="7">
        <v>2.25</v>
      </c>
      <c r="O36" s="7">
        <v>1.75</v>
      </c>
      <c r="P36" s="11">
        <v>-1.1199999999999891E-3</v>
      </c>
      <c r="Q36" s="11">
        <v>6.9999999999999212E-3</v>
      </c>
      <c r="R36" s="11">
        <v>-1.1809999999999821E-2</v>
      </c>
      <c r="S36" s="1">
        <v>2.8732499999999876E-2</v>
      </c>
      <c r="T36" s="3">
        <f t="shared" si="100"/>
        <v>2.4840000000000008E-2</v>
      </c>
      <c r="U36" s="11">
        <f t="shared" si="109"/>
        <v>0.94975409951894907</v>
      </c>
      <c r="V36" s="3">
        <v>5.7347339721578565E-3</v>
      </c>
      <c r="W36" s="11">
        <v>0</v>
      </c>
      <c r="AA36" s="7">
        <v>2.25</v>
      </c>
      <c r="AB36" s="7">
        <v>1.75</v>
      </c>
      <c r="AC36" s="11">
        <v>-1.1699999999999888E-3</v>
      </c>
      <c r="AD36" s="11">
        <v>7.3624999999999195E-3</v>
      </c>
      <c r="AE36" s="11">
        <v>-1.2669374999999821E-2</v>
      </c>
      <c r="AF36" s="1">
        <v>2.9394218749999881E-2</v>
      </c>
      <c r="AG36" s="3">
        <f t="shared" si="101"/>
        <v>2.4833750000000005E-2</v>
      </c>
      <c r="AH36" s="11">
        <f t="shared" si="110"/>
        <v>0.949716616855516</v>
      </c>
      <c r="AI36" s="3">
        <v>5.7328382234101477E-3</v>
      </c>
      <c r="AJ36" s="11">
        <v>0</v>
      </c>
      <c r="AK36" s="11"/>
      <c r="AN36" s="7">
        <v>2.25</v>
      </c>
      <c r="AO36" s="7">
        <v>1.75</v>
      </c>
      <c r="AP36" s="11">
        <v>-9.6999999999998997E-4</v>
      </c>
      <c r="AQ36" s="11">
        <v>5.9624999999999279E-3</v>
      </c>
      <c r="AR36" s="11">
        <v>-9.5568749999998381E-3</v>
      </c>
      <c r="AS36" s="1">
        <v>2.7262968749999887E-2</v>
      </c>
      <c r="AT36" s="3">
        <f t="shared" si="102"/>
        <v>2.4896250000000002E-2</v>
      </c>
      <c r="AU36" s="11">
        <f t="shared" si="111"/>
        <v>0.94972180948010032</v>
      </c>
      <c r="AV36" s="3">
        <v>5.7551286729084945E-3</v>
      </c>
      <c r="AW36" s="11">
        <v>0</v>
      </c>
      <c r="AX36" s="11"/>
      <c r="BA36" s="7">
        <v>2.25</v>
      </c>
      <c r="BB36" s="7">
        <v>1.75</v>
      </c>
      <c r="BC36" s="11">
        <v>-1.2699999999999882E-3</v>
      </c>
      <c r="BD36" s="11">
        <v>7.9874999999999148E-3</v>
      </c>
      <c r="BE36" s="11">
        <v>-1.3838124999999812E-2</v>
      </c>
      <c r="BF36" s="1">
        <v>3.0061406249999877E-2</v>
      </c>
      <c r="BG36" s="3">
        <f t="shared" si="103"/>
        <v>2.4896249999999998E-2</v>
      </c>
      <c r="BH36" s="11">
        <f t="shared" si="112"/>
        <v>0.94979964111539339</v>
      </c>
      <c r="BI36" s="3">
        <v>5.740388682539641E-3</v>
      </c>
      <c r="BJ36" s="11">
        <v>0</v>
      </c>
      <c r="BK36" s="11"/>
      <c r="BN36" s="7">
        <v>2.25</v>
      </c>
      <c r="BO36" s="7">
        <v>1.75</v>
      </c>
      <c r="BP36" s="11">
        <v>-1.0699999999999894E-3</v>
      </c>
      <c r="BQ36" s="11">
        <v>6.6874999999999227E-3</v>
      </c>
      <c r="BR36" s="11">
        <v>-1.1175624999999825E-2</v>
      </c>
      <c r="BS36" s="1">
        <v>2.8311406249999879E-2</v>
      </c>
      <c r="BT36" s="3">
        <f t="shared" si="104"/>
        <v>2.4833750000000005E-2</v>
      </c>
      <c r="BU36" s="11">
        <f t="shared" si="113"/>
        <v>0.94980185209608703</v>
      </c>
      <c r="BV36" s="3">
        <v>5.7344657836649743E-3</v>
      </c>
      <c r="BW36" s="11">
        <v>0</v>
      </c>
      <c r="BX36" s="11"/>
      <c r="CA36" s="7">
        <v>2.25</v>
      </c>
      <c r="CB36" s="7">
        <v>1.75</v>
      </c>
      <c r="CC36" s="11">
        <v>-1.1199999999999891E-3</v>
      </c>
      <c r="CD36" s="11">
        <v>6.9999999999999212E-3</v>
      </c>
      <c r="CE36" s="11">
        <v>-1.1809999999999821E-2</v>
      </c>
      <c r="CF36" s="1">
        <v>2.8732499999999876E-2</v>
      </c>
      <c r="CG36" s="3">
        <f t="shared" si="105"/>
        <v>2.4840000000000008E-2</v>
      </c>
      <c r="CH36" s="11">
        <f t="shared" si="114"/>
        <v>0.94980129891176057</v>
      </c>
      <c r="CI36" s="3">
        <v>5.7350189679915764E-3</v>
      </c>
      <c r="CJ36" s="11">
        <v>0</v>
      </c>
      <c r="CK36" s="11"/>
      <c r="CN36" s="7">
        <v>2.25</v>
      </c>
      <c r="CO36" s="7">
        <v>1.75</v>
      </c>
      <c r="CP36" s="11">
        <v>-1.1199999999999891E-3</v>
      </c>
      <c r="CQ36" s="11">
        <v>6.9999999999999212E-3</v>
      </c>
      <c r="CR36" s="11">
        <v>-1.1809999999999821E-2</v>
      </c>
      <c r="CS36" s="1">
        <v>2.8732499999999876E-2</v>
      </c>
      <c r="CT36" s="3">
        <f t="shared" si="106"/>
        <v>2.4840000000000008E-2</v>
      </c>
      <c r="CU36" s="11">
        <f t="shared" si="115"/>
        <v>0.94980129891176057</v>
      </c>
      <c r="CV36" s="3">
        <v>5.7350189679915764E-3</v>
      </c>
      <c r="CW36" s="11">
        <v>0</v>
      </c>
      <c r="CX36" s="11"/>
      <c r="DA36" s="7">
        <v>2.25</v>
      </c>
      <c r="DB36" s="7">
        <v>1.75</v>
      </c>
      <c r="DC36" s="11">
        <v>-1.1199999999999891E-3</v>
      </c>
      <c r="DD36" s="11">
        <v>6.9999999999999212E-3</v>
      </c>
      <c r="DE36" s="11">
        <v>-1.1809999999999821E-2</v>
      </c>
      <c r="DF36" s="1">
        <v>2.8732499999999876E-2</v>
      </c>
      <c r="DG36" s="3">
        <f t="shared" si="107"/>
        <v>2.4840000000000008E-2</v>
      </c>
      <c r="DH36" s="11">
        <f t="shared" si="116"/>
        <v>0.94980129891176057</v>
      </c>
      <c r="DI36" s="3">
        <v>5.7350189679915764E-3</v>
      </c>
      <c r="DJ36" s="11">
        <v>0</v>
      </c>
      <c r="DK36" s="11"/>
    </row>
    <row r="37" spans="1:115" x14ac:dyDescent="0.25">
      <c r="A37" s="7">
        <v>2.5</v>
      </c>
      <c r="B37" s="7">
        <v>1.75</v>
      </c>
      <c r="C37" s="11">
        <v>-1.1199999999999891E-3</v>
      </c>
      <c r="D37" s="11">
        <v>6.9999999999999212E-3</v>
      </c>
      <c r="E37" s="11">
        <v>-1.1809999999999821E-2</v>
      </c>
      <c r="F37" s="1">
        <v>2.8732499999999876E-2</v>
      </c>
      <c r="G37" s="3">
        <f t="shared" si="99"/>
        <v>2.5457500000000001E-2</v>
      </c>
      <c r="H37" s="11">
        <f t="shared" si="108"/>
        <v>0.94393943502028455</v>
      </c>
      <c r="I37" s="3">
        <v>5.8618638914759687E-3</v>
      </c>
      <c r="J37" s="11">
        <v>0</v>
      </c>
      <c r="K37" s="11"/>
      <c r="N37" s="7">
        <v>2.5</v>
      </c>
      <c r="O37" s="7">
        <v>1.75</v>
      </c>
      <c r="P37" s="11">
        <v>-1.1199999999999891E-3</v>
      </c>
      <c r="Q37" s="11">
        <v>6.9999999999999212E-3</v>
      </c>
      <c r="R37" s="11">
        <v>-1.1809999999999821E-2</v>
      </c>
      <c r="S37" s="1">
        <v>2.8732499999999876E-2</v>
      </c>
      <c r="T37" s="3">
        <f t="shared" si="100"/>
        <v>2.5457500000000001E-2</v>
      </c>
      <c r="U37" s="11">
        <f t="shared" si="109"/>
        <v>0.94389252692673398</v>
      </c>
      <c r="V37" s="3">
        <v>5.8615725922150199E-3</v>
      </c>
      <c r="W37" s="11">
        <v>0</v>
      </c>
      <c r="AA37" s="7">
        <v>2.5</v>
      </c>
      <c r="AB37" s="7">
        <v>1.75</v>
      </c>
      <c r="AC37" s="11">
        <v>-1.1699999999999888E-3</v>
      </c>
      <c r="AD37" s="11">
        <v>7.3624999999999195E-3</v>
      </c>
      <c r="AE37" s="11">
        <v>-1.2669374999999821E-2</v>
      </c>
      <c r="AF37" s="1">
        <v>2.9394218749999881E-2</v>
      </c>
      <c r="AG37" s="3">
        <f t="shared" si="101"/>
        <v>2.5455156249999999E-2</v>
      </c>
      <c r="AH37" s="11">
        <f t="shared" si="110"/>
        <v>0.94385674126839747</v>
      </c>
      <c r="AI37" s="3">
        <v>5.8598755871185175E-3</v>
      </c>
      <c r="AJ37" s="11">
        <v>0</v>
      </c>
      <c r="AK37" s="11"/>
      <c r="AN37" s="7">
        <v>2.5</v>
      </c>
      <c r="AO37" s="7">
        <v>1.75</v>
      </c>
      <c r="AP37" s="11">
        <v>-9.6999999999998997E-4</v>
      </c>
      <c r="AQ37" s="11">
        <v>5.9624999999999279E-3</v>
      </c>
      <c r="AR37" s="11">
        <v>-9.5568749999998381E-3</v>
      </c>
      <c r="AS37" s="1">
        <v>2.7262968749999887E-2</v>
      </c>
      <c r="AT37" s="3">
        <f t="shared" si="102"/>
        <v>2.548015625E-2</v>
      </c>
      <c r="AU37" s="11">
        <f t="shared" si="111"/>
        <v>0.94384724523530295</v>
      </c>
      <c r="AV37" s="3">
        <v>5.874564244797353E-3</v>
      </c>
      <c r="AW37" s="11">
        <v>0</v>
      </c>
      <c r="AX37" s="11"/>
      <c r="BA37" s="7">
        <v>2.5</v>
      </c>
      <c r="BB37" s="7">
        <v>1.75</v>
      </c>
      <c r="BC37" s="11">
        <v>-1.2699999999999882E-3</v>
      </c>
      <c r="BD37" s="11">
        <v>7.9874999999999148E-3</v>
      </c>
      <c r="BE37" s="11">
        <v>-1.3838124999999812E-2</v>
      </c>
      <c r="BF37" s="1">
        <v>3.0061406249999877E-2</v>
      </c>
      <c r="BG37" s="3">
        <f t="shared" si="103"/>
        <v>2.554421875E-2</v>
      </c>
      <c r="BH37" s="11">
        <f t="shared" si="112"/>
        <v>0.94392459543809937</v>
      </c>
      <c r="BI37" s="3">
        <v>5.8750456772939446E-3</v>
      </c>
      <c r="BJ37" s="11">
        <v>0</v>
      </c>
      <c r="BK37" s="11"/>
      <c r="BN37" s="7">
        <v>2.5</v>
      </c>
      <c r="BO37" s="7">
        <v>1.75</v>
      </c>
      <c r="BP37" s="11">
        <v>-1.0699999999999894E-3</v>
      </c>
      <c r="BQ37" s="11">
        <v>6.6874999999999227E-3</v>
      </c>
      <c r="BR37" s="11">
        <v>-1.1175624999999825E-2</v>
      </c>
      <c r="BS37" s="1">
        <v>2.8311406249999879E-2</v>
      </c>
      <c r="BT37" s="3">
        <f t="shared" si="104"/>
        <v>2.545046875E-2</v>
      </c>
      <c r="BU37" s="11">
        <f t="shared" si="113"/>
        <v>0.9439414505964</v>
      </c>
      <c r="BV37" s="3">
        <v>5.860401499687088E-3</v>
      </c>
      <c r="BW37" s="11">
        <v>0</v>
      </c>
      <c r="BX37" s="11"/>
      <c r="CA37" s="7">
        <v>2.5</v>
      </c>
      <c r="CB37" s="7">
        <v>1.75</v>
      </c>
      <c r="CC37" s="11">
        <v>-1.1199999999999891E-3</v>
      </c>
      <c r="CD37" s="11">
        <v>6.9999999999999212E-3</v>
      </c>
      <c r="CE37" s="11">
        <v>-1.1809999999999821E-2</v>
      </c>
      <c r="CF37" s="1">
        <v>2.8732499999999876E-2</v>
      </c>
      <c r="CG37" s="3">
        <f t="shared" si="105"/>
        <v>2.5457500000000001E-2</v>
      </c>
      <c r="CH37" s="11">
        <f t="shared" si="114"/>
        <v>0.94393943502028455</v>
      </c>
      <c r="CI37" s="3">
        <v>5.8618638914759687E-3</v>
      </c>
      <c r="CJ37" s="11">
        <v>0</v>
      </c>
      <c r="CK37" s="11"/>
      <c r="CN37" s="7">
        <v>2.5</v>
      </c>
      <c r="CO37" s="7">
        <v>1.75</v>
      </c>
      <c r="CP37" s="11">
        <v>-1.1199999999999891E-3</v>
      </c>
      <c r="CQ37" s="11">
        <v>6.9999999999999212E-3</v>
      </c>
      <c r="CR37" s="11">
        <v>-1.1809999999999821E-2</v>
      </c>
      <c r="CS37" s="1">
        <v>2.8732499999999876E-2</v>
      </c>
      <c r="CT37" s="3">
        <f t="shared" si="106"/>
        <v>2.5457500000000001E-2</v>
      </c>
      <c r="CU37" s="11">
        <f t="shared" si="115"/>
        <v>0.94393943502028455</v>
      </c>
      <c r="CV37" s="3">
        <v>5.8618638914759687E-3</v>
      </c>
      <c r="CW37" s="11">
        <v>0</v>
      </c>
      <c r="CX37" s="11"/>
      <c r="DA37" s="7">
        <v>2.5</v>
      </c>
      <c r="DB37" s="7">
        <v>1.75</v>
      </c>
      <c r="DC37" s="11">
        <v>-1.1199999999999891E-3</v>
      </c>
      <c r="DD37" s="11">
        <v>6.9999999999999212E-3</v>
      </c>
      <c r="DE37" s="11">
        <v>-1.1809999999999821E-2</v>
      </c>
      <c r="DF37" s="1">
        <v>2.8732499999999876E-2</v>
      </c>
      <c r="DG37" s="3">
        <f t="shared" si="107"/>
        <v>2.5457500000000001E-2</v>
      </c>
      <c r="DH37" s="11">
        <f t="shared" si="116"/>
        <v>0.94393943502028455</v>
      </c>
      <c r="DI37" s="3">
        <v>5.8618638914759687E-3</v>
      </c>
      <c r="DJ37" s="11">
        <v>0</v>
      </c>
      <c r="DK37" s="11"/>
    </row>
    <row r="38" spans="1:115" x14ac:dyDescent="0.25">
      <c r="A38" s="7">
        <v>2.75</v>
      </c>
      <c r="B38" s="7">
        <v>2.75</v>
      </c>
      <c r="C38" s="11">
        <v>1.9520000000000093E-3</v>
      </c>
      <c r="D38" s="11">
        <v>-1.9176000000000085E-2</v>
      </c>
      <c r="E38" s="11">
        <v>6.246200000000024E-2</v>
      </c>
      <c r="F38" s="1">
        <v>-4.144750000000022E-2</v>
      </c>
      <c r="G38" s="3">
        <f t="shared" si="99"/>
        <v>2.5900000000000006E-2</v>
      </c>
      <c r="H38" s="11">
        <f t="shared" si="108"/>
        <v>0.93796984319947196</v>
      </c>
      <c r="I38" s="3">
        <v>5.9695918208126399E-3</v>
      </c>
      <c r="J38" s="11">
        <v>0</v>
      </c>
      <c r="K38" s="11"/>
      <c r="N38" s="7">
        <v>2.75</v>
      </c>
      <c r="O38" s="7">
        <v>2.75</v>
      </c>
      <c r="P38" s="11">
        <v>1.9520000000000093E-3</v>
      </c>
      <c r="Q38" s="11">
        <v>-1.9176000000000085E-2</v>
      </c>
      <c r="R38" s="11">
        <v>6.246200000000024E-2</v>
      </c>
      <c r="S38" s="1">
        <v>-4.144750000000022E-2</v>
      </c>
      <c r="T38" s="3">
        <f t="shared" si="100"/>
        <v>2.5900000000000006E-2</v>
      </c>
      <c r="U38" s="11">
        <f t="shared" si="109"/>
        <v>0.93792323175861025</v>
      </c>
      <c r="V38" s="3">
        <v>5.9692951681237054E-3</v>
      </c>
      <c r="W38" s="11">
        <v>0</v>
      </c>
      <c r="AA38" s="7">
        <v>2.75</v>
      </c>
      <c r="AB38" s="7">
        <v>2.75</v>
      </c>
      <c r="AC38" s="11">
        <v>1.9520000000000093E-3</v>
      </c>
      <c r="AD38" s="11">
        <v>-1.9176000000000085E-2</v>
      </c>
      <c r="AE38" s="11">
        <v>6.246200000000024E-2</v>
      </c>
      <c r="AF38" s="1">
        <v>-4.144750000000022E-2</v>
      </c>
      <c r="AG38" s="3">
        <f t="shared" si="101"/>
        <v>2.5900000000000006E-2</v>
      </c>
      <c r="AH38" s="11">
        <f t="shared" si="110"/>
        <v>0.93788821848177562</v>
      </c>
      <c r="AI38" s="3">
        <v>5.9685227866219338E-3</v>
      </c>
      <c r="AJ38" s="11">
        <v>0</v>
      </c>
      <c r="AK38" s="11"/>
      <c r="AN38" s="7">
        <v>2.75</v>
      </c>
      <c r="AO38" s="7">
        <v>2.75</v>
      </c>
      <c r="AP38" s="11">
        <v>1.9020000000000096E-3</v>
      </c>
      <c r="AQ38" s="11">
        <v>-1.866350000000009E-2</v>
      </c>
      <c r="AR38" s="11">
        <v>6.0727625000000278E-2</v>
      </c>
      <c r="AS38" s="1">
        <v>-3.9513906250000286E-2</v>
      </c>
      <c r="AT38" s="3">
        <f t="shared" si="102"/>
        <v>2.5900000000000006E-2</v>
      </c>
      <c r="AU38" s="11">
        <f t="shared" si="111"/>
        <v>0.93787295785808444</v>
      </c>
      <c r="AV38" s="3">
        <v>5.9742873772184145E-3</v>
      </c>
      <c r="AW38" s="11">
        <v>0</v>
      </c>
      <c r="AX38" s="11"/>
      <c r="BA38" s="7">
        <v>2.75</v>
      </c>
      <c r="BB38" s="7">
        <v>2.75</v>
      </c>
      <c r="BC38" s="11">
        <v>2.1020000000000084E-3</v>
      </c>
      <c r="BD38" s="11">
        <v>-2.0663500000000078E-2</v>
      </c>
      <c r="BE38" s="11">
        <v>6.724012500000022E-2</v>
      </c>
      <c r="BF38" s="1">
        <v>-4.6357656250000184E-2</v>
      </c>
      <c r="BG38" s="3">
        <f t="shared" si="103"/>
        <v>2.5999999999999995E-2</v>
      </c>
      <c r="BH38" s="11">
        <f t="shared" si="112"/>
        <v>0.93793489192495216</v>
      </c>
      <c r="BI38" s="3">
        <v>5.989703513147147E-3</v>
      </c>
      <c r="BJ38" s="11">
        <v>0</v>
      </c>
      <c r="BK38" s="11"/>
      <c r="BN38" s="7">
        <v>2.75</v>
      </c>
      <c r="BO38" s="7">
        <v>2.75</v>
      </c>
      <c r="BP38" s="11">
        <v>1.8020000000000102E-3</v>
      </c>
      <c r="BQ38" s="11">
        <v>-1.7738500000000094E-2</v>
      </c>
      <c r="BR38" s="11">
        <v>5.8008875000000286E-2</v>
      </c>
      <c r="BS38" s="1">
        <v>-3.6952968750000287E-2</v>
      </c>
      <c r="BT38" s="3">
        <f t="shared" si="104"/>
        <v>2.5899999999999992E-2</v>
      </c>
      <c r="BU38" s="11">
        <f t="shared" si="113"/>
        <v>0.93797348438324391</v>
      </c>
      <c r="BV38" s="3">
        <v>5.9679662131560908E-3</v>
      </c>
      <c r="BW38" s="11">
        <v>0</v>
      </c>
      <c r="BX38" s="11"/>
      <c r="CA38" s="7">
        <v>2.75</v>
      </c>
      <c r="CB38" s="7">
        <v>2.75</v>
      </c>
      <c r="CC38" s="11">
        <v>2.002000000000009E-3</v>
      </c>
      <c r="CD38" s="11">
        <v>-1.9638500000000083E-2</v>
      </c>
      <c r="CE38" s="11">
        <v>6.3871375000000244E-2</v>
      </c>
      <c r="CF38" s="1">
        <v>-4.2865468750000246E-2</v>
      </c>
      <c r="CG38" s="3">
        <f t="shared" si="105"/>
        <v>2.5900000000000006E-2</v>
      </c>
      <c r="CH38" s="11">
        <f t="shared" si="114"/>
        <v>0.93796984319947196</v>
      </c>
      <c r="CI38" s="3">
        <v>5.9695918208126399E-3</v>
      </c>
      <c r="CJ38" s="11">
        <v>0</v>
      </c>
      <c r="CK38" s="11"/>
      <c r="CN38" s="7">
        <v>2.75</v>
      </c>
      <c r="CO38" s="7">
        <v>2.75</v>
      </c>
      <c r="CP38" s="11">
        <v>1.9520000000000093E-3</v>
      </c>
      <c r="CQ38" s="11">
        <v>-1.9176000000000085E-2</v>
      </c>
      <c r="CR38" s="11">
        <v>6.246200000000024E-2</v>
      </c>
      <c r="CS38" s="1">
        <v>-4.144750000000022E-2</v>
      </c>
      <c r="CT38" s="3">
        <f t="shared" si="106"/>
        <v>2.5900000000000006E-2</v>
      </c>
      <c r="CU38" s="11">
        <f t="shared" si="115"/>
        <v>0.93796984319947196</v>
      </c>
      <c r="CV38" s="3">
        <v>5.9695918208126399E-3</v>
      </c>
      <c r="CW38" s="11">
        <v>0</v>
      </c>
      <c r="CX38" s="11"/>
      <c r="DA38" s="7">
        <v>2.75</v>
      </c>
      <c r="DB38" s="7">
        <v>2.75</v>
      </c>
      <c r="DC38" s="11">
        <v>1.9520000000000093E-3</v>
      </c>
      <c r="DD38" s="11">
        <v>-1.9176000000000085E-2</v>
      </c>
      <c r="DE38" s="11">
        <v>6.246200000000024E-2</v>
      </c>
      <c r="DF38" s="1">
        <v>-4.144750000000022E-2</v>
      </c>
      <c r="DG38" s="3">
        <f t="shared" si="107"/>
        <v>2.5900000000000006E-2</v>
      </c>
      <c r="DH38" s="11">
        <f t="shared" si="116"/>
        <v>0.93796984319947196</v>
      </c>
      <c r="DI38" s="3">
        <v>5.9695918208126399E-3</v>
      </c>
      <c r="DJ38" s="11">
        <v>0</v>
      </c>
      <c r="DK38" s="11"/>
    </row>
    <row r="39" spans="1:115" x14ac:dyDescent="0.25">
      <c r="A39" s="7">
        <v>3</v>
      </c>
      <c r="B39" s="7">
        <v>2.75</v>
      </c>
      <c r="C39" s="11">
        <v>1.9520000000000093E-3</v>
      </c>
      <c r="D39" s="11">
        <v>-1.9176000000000085E-2</v>
      </c>
      <c r="E39" s="11">
        <v>6.246200000000024E-2</v>
      </c>
      <c r="F39" s="1">
        <v>-4.144750000000022E-2</v>
      </c>
      <c r="G39" s="3">
        <f t="shared" si="99"/>
        <v>2.6058499999999984E-2</v>
      </c>
      <c r="H39" s="11">
        <f t="shared" si="108"/>
        <v>0.93193556044558679</v>
      </c>
      <c r="I39" s="3">
        <v>6.0342827538851758E-3</v>
      </c>
      <c r="J39" s="11">
        <v>0.93193556044558679</v>
      </c>
      <c r="K39" s="11"/>
      <c r="N39" s="7">
        <v>3</v>
      </c>
      <c r="O39" s="7">
        <v>2.75</v>
      </c>
      <c r="P39" s="11">
        <v>1.9520000000000093E-3</v>
      </c>
      <c r="Q39" s="11">
        <v>-1.9176000000000085E-2</v>
      </c>
      <c r="R39" s="11">
        <v>6.246200000000024E-2</v>
      </c>
      <c r="S39" s="1">
        <v>-4.144750000000022E-2</v>
      </c>
      <c r="T39" s="3">
        <f t="shared" si="100"/>
        <v>2.6058499999999984E-2</v>
      </c>
      <c r="U39" s="11">
        <f t="shared" si="109"/>
        <v>0.93188924887216296</v>
      </c>
      <c r="V39" s="3">
        <v>6.033982886447257E-3</v>
      </c>
      <c r="W39" s="11">
        <v>0.93188924887216296</v>
      </c>
      <c r="AA39" s="7">
        <v>3</v>
      </c>
      <c r="AB39" s="7">
        <v>2.75</v>
      </c>
      <c r="AC39" s="11">
        <v>1.9520000000000093E-3</v>
      </c>
      <c r="AD39" s="11">
        <v>-1.9176000000000085E-2</v>
      </c>
      <c r="AE39" s="11">
        <v>6.246200000000024E-2</v>
      </c>
      <c r="AF39" s="1">
        <v>-4.144750000000022E-2</v>
      </c>
      <c r="AG39" s="3">
        <f t="shared" si="101"/>
        <v>2.6058499999999984E-2</v>
      </c>
      <c r="AH39" s="11">
        <f t="shared" si="110"/>
        <v>0.93185446084778623</v>
      </c>
      <c r="AI39" s="3">
        <v>6.0337576339894172E-3</v>
      </c>
      <c r="AJ39" s="11">
        <v>0.93185446084778623</v>
      </c>
      <c r="AK39" s="11"/>
      <c r="AN39" s="7">
        <v>3</v>
      </c>
      <c r="AO39" s="7">
        <v>2.75</v>
      </c>
      <c r="AP39" s="11">
        <v>1.9020000000000096E-3</v>
      </c>
      <c r="AQ39" s="11">
        <v>-1.866350000000009E-2</v>
      </c>
      <c r="AR39" s="11">
        <v>6.0727625000000278E-2</v>
      </c>
      <c r="AS39" s="1">
        <v>-3.9513906250000286E-2</v>
      </c>
      <c r="AT39" s="3">
        <f t="shared" si="102"/>
        <v>2.6051468750000001E-2</v>
      </c>
      <c r="AU39" s="11">
        <f t="shared" si="111"/>
        <v>0.93183929840093838</v>
      </c>
      <c r="AV39" s="3">
        <v>6.0336594571460773E-3</v>
      </c>
      <c r="AW39" s="11">
        <v>0.93183929840093838</v>
      </c>
      <c r="AX39" s="11"/>
      <c r="BA39" s="7">
        <v>3</v>
      </c>
      <c r="BB39" s="7">
        <v>2.75</v>
      </c>
      <c r="BC39" s="11">
        <v>2.1020000000000084E-3</v>
      </c>
      <c r="BD39" s="11">
        <v>-2.0663500000000078E-2</v>
      </c>
      <c r="BE39" s="11">
        <v>6.724012500000022E-2</v>
      </c>
      <c r="BF39" s="1">
        <v>-4.6357656250000184E-2</v>
      </c>
      <c r="BG39" s="3">
        <f t="shared" si="103"/>
        <v>2.6145218750000004E-2</v>
      </c>
      <c r="BH39" s="11">
        <f t="shared" si="112"/>
        <v>0.93187768695971407</v>
      </c>
      <c r="BI39" s="3">
        <v>6.0572049652381403E-3</v>
      </c>
      <c r="BJ39" s="11">
        <v>0.93187768695971407</v>
      </c>
      <c r="BK39" s="11"/>
      <c r="BN39" s="7">
        <v>3</v>
      </c>
      <c r="BO39" s="7">
        <v>2.75</v>
      </c>
      <c r="BP39" s="11">
        <v>1.8020000000000102E-3</v>
      </c>
      <c r="BQ39" s="11">
        <v>-1.7738500000000094E-2</v>
      </c>
      <c r="BR39" s="11">
        <v>5.8008875000000286E-2</v>
      </c>
      <c r="BS39" s="1">
        <v>-3.6952968750000287E-2</v>
      </c>
      <c r="BT39" s="3">
        <f t="shared" si="104"/>
        <v>2.6081156249999987E-2</v>
      </c>
      <c r="BU39" s="11">
        <f t="shared" si="113"/>
        <v>0.93193917820437056</v>
      </c>
      <c r="BV39" s="3">
        <v>6.0343061788732978E-3</v>
      </c>
      <c r="BW39" s="11">
        <v>0.93193917820437056</v>
      </c>
      <c r="BX39" s="11"/>
      <c r="CA39" s="7">
        <v>3</v>
      </c>
      <c r="CB39" s="7">
        <v>2.75</v>
      </c>
      <c r="CC39" s="11">
        <v>2.002000000000009E-3</v>
      </c>
      <c r="CD39" s="11">
        <v>-1.9638500000000083E-2</v>
      </c>
      <c r="CE39" s="11">
        <v>6.3871375000000244E-2</v>
      </c>
      <c r="CF39" s="1">
        <v>-4.2865468750000246E-2</v>
      </c>
      <c r="CG39" s="3">
        <f t="shared" si="105"/>
        <v>2.605615624999999E-2</v>
      </c>
      <c r="CH39" s="11">
        <f t="shared" si="114"/>
        <v>0.93193556044558679</v>
      </c>
      <c r="CI39" s="3">
        <v>6.0342827538851758E-3</v>
      </c>
      <c r="CJ39" s="11">
        <v>0.93193556044558679</v>
      </c>
      <c r="CK39" s="11"/>
      <c r="CN39" s="7">
        <v>3</v>
      </c>
      <c r="CO39" s="7">
        <v>2.75</v>
      </c>
      <c r="CP39" s="11">
        <v>1.9520000000000093E-3</v>
      </c>
      <c r="CQ39" s="11">
        <v>-1.9176000000000085E-2</v>
      </c>
      <c r="CR39" s="11">
        <v>6.246200000000024E-2</v>
      </c>
      <c r="CS39" s="1">
        <v>-4.144750000000022E-2</v>
      </c>
      <c r="CT39" s="3">
        <f t="shared" si="106"/>
        <v>2.6058499999999984E-2</v>
      </c>
      <c r="CU39" s="11">
        <f t="shared" si="115"/>
        <v>0.93193556044558679</v>
      </c>
      <c r="CV39" s="3">
        <v>6.0342827538851758E-3</v>
      </c>
      <c r="CW39" s="11">
        <v>0.93193556044558679</v>
      </c>
      <c r="CX39" s="11"/>
      <c r="DA39" s="7">
        <v>3</v>
      </c>
      <c r="DB39" s="7">
        <v>2.75</v>
      </c>
      <c r="DC39" s="11">
        <v>1.9520000000000093E-3</v>
      </c>
      <c r="DD39" s="11">
        <v>-1.9176000000000085E-2</v>
      </c>
      <c r="DE39" s="11">
        <v>6.246200000000024E-2</v>
      </c>
      <c r="DF39" s="1">
        <v>-4.144750000000022E-2</v>
      </c>
      <c r="DG39" s="3">
        <f t="shared" si="107"/>
        <v>2.6058499999999984E-2</v>
      </c>
      <c r="DH39" s="11">
        <f t="shared" si="116"/>
        <v>0.93193556044558679</v>
      </c>
      <c r="DI39" s="3">
        <v>6.0342827538851758E-3</v>
      </c>
      <c r="DJ39" s="11">
        <v>0.93193556044558679</v>
      </c>
      <c r="DK39" s="11"/>
    </row>
    <row r="40" spans="1:115" x14ac:dyDescent="0.25">
      <c r="A40" s="7">
        <v>3.25</v>
      </c>
      <c r="B40" s="7">
        <v>2.75</v>
      </c>
      <c r="C40" s="11">
        <v>1.9520000000000093E-3</v>
      </c>
      <c r="D40" s="11">
        <v>-1.9176000000000085E-2</v>
      </c>
      <c r="E40" s="11">
        <v>6.246200000000024E-2</v>
      </c>
      <c r="F40" s="1">
        <v>-4.144750000000022E-2</v>
      </c>
      <c r="G40" s="3">
        <f t="shared" si="99"/>
        <v>2.6015999999999956E-2</v>
      </c>
      <c r="H40" s="11">
        <f t="shared" si="108"/>
        <v>0.92590364540961034</v>
      </c>
      <c r="I40" s="3">
        <v>6.031915035976579E-3</v>
      </c>
      <c r="J40" s="11">
        <v>0</v>
      </c>
      <c r="K40" s="11"/>
      <c r="N40" s="7">
        <v>3.25</v>
      </c>
      <c r="O40" s="7">
        <v>2.75</v>
      </c>
      <c r="P40" s="11">
        <v>1.9520000000000093E-3</v>
      </c>
      <c r="Q40" s="11">
        <v>-1.9176000000000085E-2</v>
      </c>
      <c r="R40" s="11">
        <v>6.246200000000024E-2</v>
      </c>
      <c r="S40" s="1">
        <v>-4.144750000000022E-2</v>
      </c>
      <c r="T40" s="3">
        <f t="shared" si="100"/>
        <v>2.6015999999999956E-2</v>
      </c>
      <c r="U40" s="11">
        <f t="shared" si="109"/>
        <v>0.92585763358596307</v>
      </c>
      <c r="V40" s="3">
        <v>6.0316152861999515E-3</v>
      </c>
      <c r="W40" s="11">
        <v>0</v>
      </c>
      <c r="AA40" s="7">
        <v>3.25</v>
      </c>
      <c r="AB40" s="7">
        <v>2.75</v>
      </c>
      <c r="AC40" s="11">
        <v>1.9520000000000093E-3</v>
      </c>
      <c r="AD40" s="11">
        <v>-1.9176000000000085E-2</v>
      </c>
      <c r="AE40" s="11">
        <v>6.246200000000024E-2</v>
      </c>
      <c r="AF40" s="1">
        <v>-4.144750000000022E-2</v>
      </c>
      <c r="AG40" s="3">
        <f t="shared" si="101"/>
        <v>2.6015999999999956E-2</v>
      </c>
      <c r="AH40" s="11">
        <f t="shared" si="110"/>
        <v>0.92582307072566017</v>
      </c>
      <c r="AI40" s="3">
        <v>6.0313901221261505E-3</v>
      </c>
      <c r="AJ40" s="11">
        <v>0</v>
      </c>
      <c r="AK40" s="11"/>
      <c r="AN40" s="7">
        <v>3.25</v>
      </c>
      <c r="AO40" s="7">
        <v>2.75</v>
      </c>
      <c r="AP40" s="11">
        <v>1.9020000000000096E-3</v>
      </c>
      <c r="AQ40" s="11">
        <v>-1.866350000000009E-2</v>
      </c>
      <c r="AR40" s="11">
        <v>6.0727625000000278E-2</v>
      </c>
      <c r="AS40" s="1">
        <v>-3.9513906250000286E-2</v>
      </c>
      <c r="AT40" s="3">
        <f t="shared" si="102"/>
        <v>2.6009749999999998E-2</v>
      </c>
      <c r="AU40" s="11">
        <f t="shared" si="111"/>
        <v>0.92580962328358285</v>
      </c>
      <c r="AV40" s="3">
        <v>6.0296751173553832E-3</v>
      </c>
      <c r="AW40" s="11">
        <v>0</v>
      </c>
      <c r="AX40" s="11"/>
      <c r="BA40" s="7">
        <v>3.25</v>
      </c>
      <c r="BB40" s="7">
        <v>2.75</v>
      </c>
      <c r="BC40" s="11">
        <v>2.1020000000000084E-3</v>
      </c>
      <c r="BD40" s="11">
        <v>-2.0663500000000078E-2</v>
      </c>
      <c r="BE40" s="11">
        <v>6.724012500000022E-2</v>
      </c>
      <c r="BF40" s="1">
        <v>-4.6357656250000184E-2</v>
      </c>
      <c r="BG40" s="3">
        <f t="shared" si="103"/>
        <v>2.6072250000000019E-2</v>
      </c>
      <c r="BH40" s="11">
        <f t="shared" si="112"/>
        <v>0.9258262047974859</v>
      </c>
      <c r="BI40" s="3">
        <v>6.0514821622281428E-3</v>
      </c>
      <c r="BJ40" s="11">
        <v>0</v>
      </c>
      <c r="BK40" s="11"/>
      <c r="BN40" s="7">
        <v>3.25</v>
      </c>
      <c r="BO40" s="7">
        <v>2.75</v>
      </c>
      <c r="BP40" s="11">
        <v>1.8020000000000102E-3</v>
      </c>
      <c r="BQ40" s="11">
        <v>-1.7738500000000094E-2</v>
      </c>
      <c r="BR40" s="11">
        <v>5.8008875000000286E-2</v>
      </c>
      <c r="BS40" s="1">
        <v>-3.6952968750000287E-2</v>
      </c>
      <c r="BT40" s="3">
        <f t="shared" si="104"/>
        <v>2.6072249999999991E-2</v>
      </c>
      <c r="BU40" s="11">
        <f t="shared" si="113"/>
        <v>0.92590202932958632</v>
      </c>
      <c r="BV40" s="3">
        <v>6.0371488747842528E-3</v>
      </c>
      <c r="BW40" s="11">
        <v>0</v>
      </c>
      <c r="BX40" s="11"/>
      <c r="CA40" s="7">
        <v>3.25</v>
      </c>
      <c r="CB40" s="7">
        <v>2.75</v>
      </c>
      <c r="CC40" s="11">
        <v>2.002000000000009E-3</v>
      </c>
      <c r="CD40" s="11">
        <v>-1.9638500000000083E-2</v>
      </c>
      <c r="CE40" s="11">
        <v>6.3871375000000244E-2</v>
      </c>
      <c r="CF40" s="1">
        <v>-4.2865468750000246E-2</v>
      </c>
      <c r="CG40" s="3">
        <f t="shared" si="105"/>
        <v>2.6009749999999998E-2</v>
      </c>
      <c r="CH40" s="11">
        <f t="shared" si="114"/>
        <v>0.92590418442014177</v>
      </c>
      <c r="CI40" s="3">
        <v>6.0313760254450052E-3</v>
      </c>
      <c r="CJ40" s="11">
        <v>0</v>
      </c>
      <c r="CK40" s="11"/>
      <c r="CN40" s="7">
        <v>3.25</v>
      </c>
      <c r="CO40" s="7">
        <v>2.75</v>
      </c>
      <c r="CP40" s="11">
        <v>1.9520000000000093E-3</v>
      </c>
      <c r="CQ40" s="11">
        <v>-1.9176000000000085E-2</v>
      </c>
      <c r="CR40" s="11">
        <v>6.246200000000024E-2</v>
      </c>
      <c r="CS40" s="1">
        <v>-4.144750000000022E-2</v>
      </c>
      <c r="CT40" s="3">
        <f t="shared" si="106"/>
        <v>2.6015999999999956E-2</v>
      </c>
      <c r="CU40" s="11">
        <f t="shared" si="115"/>
        <v>0.92590364540961034</v>
      </c>
      <c r="CV40" s="3">
        <v>6.031915035976579E-3</v>
      </c>
      <c r="CW40" s="11">
        <v>0</v>
      </c>
      <c r="CX40" s="11"/>
      <c r="DA40" s="7">
        <v>3.25</v>
      </c>
      <c r="DB40" s="7">
        <v>2.75</v>
      </c>
      <c r="DC40" s="11">
        <v>1.9520000000000093E-3</v>
      </c>
      <c r="DD40" s="11">
        <v>-1.9176000000000085E-2</v>
      </c>
      <c r="DE40" s="11">
        <v>6.246200000000024E-2</v>
      </c>
      <c r="DF40" s="1">
        <v>-4.144750000000022E-2</v>
      </c>
      <c r="DG40" s="3">
        <f t="shared" si="107"/>
        <v>2.6015999999999956E-2</v>
      </c>
      <c r="DH40" s="11">
        <f t="shared" si="116"/>
        <v>0.92590364540961034</v>
      </c>
      <c r="DI40" s="3">
        <v>6.031915035976579E-3</v>
      </c>
      <c r="DJ40" s="11">
        <v>0</v>
      </c>
      <c r="DK40" s="11"/>
    </row>
    <row r="41" spans="1:115" x14ac:dyDescent="0.25">
      <c r="A41" s="7">
        <v>3.5</v>
      </c>
      <c r="B41" s="7">
        <v>2.75</v>
      </c>
      <c r="C41" s="11">
        <v>1.9520000000000093E-3</v>
      </c>
      <c r="D41" s="11">
        <v>-1.9176000000000085E-2</v>
      </c>
      <c r="E41" s="11">
        <v>6.246200000000024E-2</v>
      </c>
      <c r="F41" s="1">
        <v>-4.144750000000022E-2</v>
      </c>
      <c r="G41" s="3">
        <f t="shared" si="99"/>
        <v>2.5955499999999965E-2</v>
      </c>
      <c r="H41" s="11">
        <f t="shared" si="108"/>
        <v>0.91992048259083947</v>
      </c>
      <c r="I41" s="3">
        <v>5.98316281877081E-3</v>
      </c>
      <c r="J41" s="11">
        <v>0</v>
      </c>
      <c r="K41" s="11"/>
      <c r="N41" s="7">
        <v>3.5</v>
      </c>
      <c r="O41" s="7">
        <v>2.75</v>
      </c>
      <c r="P41" s="11">
        <v>1.9520000000000093E-3</v>
      </c>
      <c r="Q41" s="11">
        <v>-1.9176000000000085E-2</v>
      </c>
      <c r="R41" s="11">
        <v>6.246200000000024E-2</v>
      </c>
      <c r="S41" s="1">
        <v>-4.144750000000022E-2</v>
      </c>
      <c r="T41" s="3">
        <f t="shared" si="100"/>
        <v>2.5955499999999965E-2</v>
      </c>
      <c r="U41" s="11">
        <f t="shared" si="109"/>
        <v>0.91987476809427782</v>
      </c>
      <c r="V41" s="3">
        <v>5.982865491685173E-3</v>
      </c>
      <c r="W41" s="11">
        <v>0</v>
      </c>
      <c r="AA41" s="7">
        <v>3.5</v>
      </c>
      <c r="AB41" s="7">
        <v>2.75</v>
      </c>
      <c r="AC41" s="11">
        <v>1.9520000000000093E-3</v>
      </c>
      <c r="AD41" s="11">
        <v>-1.9176000000000085E-2</v>
      </c>
      <c r="AE41" s="11">
        <v>6.246200000000024E-2</v>
      </c>
      <c r="AF41" s="1">
        <v>-4.144750000000022E-2</v>
      </c>
      <c r="AG41" s="3">
        <f t="shared" si="101"/>
        <v>2.5955499999999965E-2</v>
      </c>
      <c r="AH41" s="11">
        <f t="shared" si="110"/>
        <v>0.9198404285781876</v>
      </c>
      <c r="AI41" s="3">
        <v>5.9826421474725219E-3</v>
      </c>
      <c r="AJ41" s="11">
        <v>0</v>
      </c>
      <c r="AK41" s="11"/>
      <c r="AN41" s="7">
        <v>3.5</v>
      </c>
      <c r="AO41" s="7">
        <v>2.75</v>
      </c>
      <c r="AP41" s="11">
        <v>1.9020000000000096E-3</v>
      </c>
      <c r="AQ41" s="11">
        <v>-1.866350000000009E-2</v>
      </c>
      <c r="AR41" s="11">
        <v>6.0727625000000278E-2</v>
      </c>
      <c r="AS41" s="1">
        <v>-3.9513906250000286E-2</v>
      </c>
      <c r="AT41" s="3">
        <f t="shared" si="102"/>
        <v>2.5953156249999998E-2</v>
      </c>
      <c r="AU41" s="11">
        <f t="shared" si="111"/>
        <v>0.91982849597776839</v>
      </c>
      <c r="AV41" s="3">
        <v>5.9811273058144399E-3</v>
      </c>
      <c r="AW41" s="11">
        <v>0</v>
      </c>
      <c r="AX41" s="11"/>
      <c r="BA41" s="7">
        <v>3.5</v>
      </c>
      <c r="BB41" s="7">
        <v>2.75</v>
      </c>
      <c r="BC41" s="11">
        <v>2.1020000000000084E-3</v>
      </c>
      <c r="BD41" s="11">
        <v>-2.0663500000000078E-2</v>
      </c>
      <c r="BE41" s="11">
        <v>6.724012500000022E-2</v>
      </c>
      <c r="BF41" s="1">
        <v>-4.6357656250000184E-2</v>
      </c>
      <c r="BG41" s="3">
        <f t="shared" si="103"/>
        <v>2.5978156250000023E-2</v>
      </c>
      <c r="BH41" s="11">
        <f t="shared" si="112"/>
        <v>0.91983069086500946</v>
      </c>
      <c r="BI41" s="3">
        <v>5.995513932476315E-3</v>
      </c>
      <c r="BJ41" s="11">
        <v>0</v>
      </c>
      <c r="BK41" s="11"/>
      <c r="BN41" s="7">
        <v>3.5</v>
      </c>
      <c r="BO41" s="7">
        <v>2.75</v>
      </c>
      <c r="BP41" s="11">
        <v>1.8020000000000102E-3</v>
      </c>
      <c r="BQ41" s="11">
        <v>-1.7738500000000094E-2</v>
      </c>
      <c r="BR41" s="11">
        <v>5.8008875000000286E-2</v>
      </c>
      <c r="BS41" s="1">
        <v>-3.6952968750000287E-2</v>
      </c>
      <c r="BT41" s="3">
        <f t="shared" si="104"/>
        <v>2.6042218749999985E-2</v>
      </c>
      <c r="BU41" s="11">
        <f t="shared" si="113"/>
        <v>0.91990602436862501</v>
      </c>
      <c r="BV41" s="3">
        <v>5.9960049609612187E-3</v>
      </c>
      <c r="BW41" s="11">
        <v>0</v>
      </c>
      <c r="BX41" s="11"/>
      <c r="CA41" s="7">
        <v>3.5</v>
      </c>
      <c r="CB41" s="7">
        <v>2.75</v>
      </c>
      <c r="CC41" s="11">
        <v>2.002000000000009E-3</v>
      </c>
      <c r="CD41" s="11">
        <v>-1.9638500000000083E-2</v>
      </c>
      <c r="CE41" s="11">
        <v>6.3871375000000244E-2</v>
      </c>
      <c r="CF41" s="1">
        <v>-4.2865468750000246E-2</v>
      </c>
      <c r="CG41" s="3">
        <f t="shared" si="105"/>
        <v>2.5948468749999981E-2</v>
      </c>
      <c r="CH41" s="11">
        <f t="shared" si="114"/>
        <v>0.9199224462088218</v>
      </c>
      <c r="CI41" s="3">
        <v>5.9817382113199749E-3</v>
      </c>
      <c r="CJ41" s="11">
        <v>0</v>
      </c>
      <c r="CK41" s="11"/>
      <c r="CN41" s="7">
        <v>3.5</v>
      </c>
      <c r="CO41" s="7">
        <v>2.75</v>
      </c>
      <c r="CP41" s="11">
        <v>1.9520000000000093E-3</v>
      </c>
      <c r="CQ41" s="11">
        <v>-1.9176000000000085E-2</v>
      </c>
      <c r="CR41" s="11">
        <v>6.246200000000024E-2</v>
      </c>
      <c r="CS41" s="1">
        <v>-4.144750000000022E-2</v>
      </c>
      <c r="CT41" s="3">
        <f t="shared" si="106"/>
        <v>2.5955499999999965E-2</v>
      </c>
      <c r="CU41" s="11">
        <f t="shared" si="115"/>
        <v>0.91992048259083947</v>
      </c>
      <c r="CV41" s="3">
        <v>5.98316281877081E-3</v>
      </c>
      <c r="CW41" s="11">
        <v>0</v>
      </c>
      <c r="CX41" s="11"/>
      <c r="DA41" s="7">
        <v>3.5</v>
      </c>
      <c r="DB41" s="7">
        <v>2.75</v>
      </c>
      <c r="DC41" s="11">
        <v>1.9520000000000093E-3</v>
      </c>
      <c r="DD41" s="11">
        <v>-1.9176000000000085E-2</v>
      </c>
      <c r="DE41" s="11">
        <v>6.246200000000024E-2</v>
      </c>
      <c r="DF41" s="1">
        <v>-4.144750000000022E-2</v>
      </c>
      <c r="DG41" s="3">
        <f t="shared" si="107"/>
        <v>2.5955499999999965E-2</v>
      </c>
      <c r="DH41" s="11">
        <f t="shared" si="116"/>
        <v>0.91992048259083947</v>
      </c>
      <c r="DI41" s="3">
        <v>5.98316281877081E-3</v>
      </c>
      <c r="DJ41" s="11">
        <v>0</v>
      </c>
      <c r="DK41" s="11"/>
    </row>
    <row r="42" spans="1:115" x14ac:dyDescent="0.25">
      <c r="A42" s="7">
        <v>3.75</v>
      </c>
      <c r="B42" s="7">
        <v>3.75</v>
      </c>
      <c r="C42" s="11">
        <v>-1.7146666666666846E-3</v>
      </c>
      <c r="D42" s="11">
        <v>2.1836666666666896E-2</v>
      </c>
      <c r="E42" s="11">
        <v>-9.044550000000097E-2</v>
      </c>
      <c r="F42" s="1">
        <v>0.14857437500000129</v>
      </c>
      <c r="G42" s="3">
        <f t="shared" si="99"/>
        <v>2.606E-2</v>
      </c>
      <c r="H42" s="11">
        <f t="shared" si="108"/>
        <v>0.91398971756229241</v>
      </c>
      <c r="I42" s="3">
        <v>5.9307650285470121E-3</v>
      </c>
      <c r="J42" s="11">
        <v>0</v>
      </c>
      <c r="K42" s="11"/>
      <c r="N42" s="7">
        <v>3.75</v>
      </c>
      <c r="O42" s="7">
        <v>3.75</v>
      </c>
      <c r="P42" s="11">
        <v>-1.7146666666666846E-3</v>
      </c>
      <c r="Q42" s="11">
        <v>2.1836666666666896E-2</v>
      </c>
      <c r="R42" s="11">
        <v>-9.044550000000097E-2</v>
      </c>
      <c r="S42" s="1">
        <v>0.14857437500000129</v>
      </c>
      <c r="T42" s="3">
        <f t="shared" si="100"/>
        <v>2.606E-2</v>
      </c>
      <c r="U42" s="11">
        <f t="shared" si="109"/>
        <v>0.91394429778896236</v>
      </c>
      <c r="V42" s="3">
        <v>5.9304703053153452E-3</v>
      </c>
      <c r="W42" s="11">
        <v>0</v>
      </c>
      <c r="AA42" s="7">
        <v>3.75</v>
      </c>
      <c r="AB42" s="7">
        <v>3.75</v>
      </c>
      <c r="AC42" s="11">
        <v>-1.7146666666666846E-3</v>
      </c>
      <c r="AD42" s="11">
        <v>2.1836666666666896E-2</v>
      </c>
      <c r="AE42" s="11">
        <v>-9.044550000000097E-2</v>
      </c>
      <c r="AF42" s="1">
        <v>0.14857437500000129</v>
      </c>
      <c r="AG42" s="3">
        <f t="shared" si="101"/>
        <v>2.606E-2</v>
      </c>
      <c r="AH42" s="11">
        <f t="shared" si="110"/>
        <v>0.91391017966113886</v>
      </c>
      <c r="AI42" s="3">
        <v>5.9302489170486644E-3</v>
      </c>
      <c r="AJ42" s="11">
        <v>0</v>
      </c>
      <c r="AK42" s="11"/>
      <c r="AN42" s="7">
        <v>3.75</v>
      </c>
      <c r="AO42" s="7">
        <v>3.75</v>
      </c>
      <c r="AP42" s="11">
        <v>-1.7146666666666846E-3</v>
      </c>
      <c r="AQ42" s="11">
        <v>2.1836666666666896E-2</v>
      </c>
      <c r="AR42" s="11">
        <v>-9.044550000000097E-2</v>
      </c>
      <c r="AS42" s="1">
        <v>0.14857437500000129</v>
      </c>
      <c r="AT42" s="3">
        <f t="shared" si="102"/>
        <v>2.606E-2</v>
      </c>
      <c r="AU42" s="11">
        <f t="shared" si="111"/>
        <v>0.91389885602598375</v>
      </c>
      <c r="AV42" s="3">
        <v>5.9296399517846524E-3</v>
      </c>
      <c r="AW42" s="11">
        <v>0</v>
      </c>
      <c r="AX42" s="11"/>
      <c r="BA42" s="7">
        <v>3.75</v>
      </c>
      <c r="BB42" s="7">
        <v>3.75</v>
      </c>
      <c r="BC42" s="11">
        <v>-1.7646666666666843E-3</v>
      </c>
      <c r="BD42" s="11">
        <v>2.2499166666666889E-2</v>
      </c>
      <c r="BE42" s="11">
        <v>-9.335487500000092E-2</v>
      </c>
      <c r="BF42" s="1">
        <v>0.15280484375000128</v>
      </c>
      <c r="BG42" s="3">
        <f t="shared" si="103"/>
        <v>2.606E-2</v>
      </c>
      <c r="BH42" s="11">
        <f t="shared" si="112"/>
        <v>0.91389536173915698</v>
      </c>
      <c r="BI42" s="3">
        <v>5.9353291258525285E-3</v>
      </c>
      <c r="BJ42" s="11">
        <v>0</v>
      </c>
      <c r="BK42" s="11"/>
      <c r="BN42" s="7">
        <v>3.75</v>
      </c>
      <c r="BO42" s="7">
        <v>3.75</v>
      </c>
      <c r="BP42" s="11">
        <v>-1.5646666666666855E-3</v>
      </c>
      <c r="BQ42" s="11">
        <v>1.9899166666666909E-2</v>
      </c>
      <c r="BR42" s="11">
        <v>-8.224237500000102E-2</v>
      </c>
      <c r="BS42" s="1">
        <v>0.13724859375000142</v>
      </c>
      <c r="BT42" s="3">
        <f t="shared" si="104"/>
        <v>2.6159999999999989E-2</v>
      </c>
      <c r="BU42" s="11">
        <f t="shared" si="113"/>
        <v>0.91395566602303158</v>
      </c>
      <c r="BV42" s="3">
        <v>5.9503583455934291E-3</v>
      </c>
      <c r="BW42" s="11">
        <v>0</v>
      </c>
      <c r="BX42" s="11"/>
      <c r="CA42" s="7">
        <v>3.75</v>
      </c>
      <c r="CB42" s="7">
        <v>3.75</v>
      </c>
      <c r="CC42" s="11">
        <v>-1.8396666666666839E-3</v>
      </c>
      <c r="CD42" s="11">
        <v>2.3417916666666885E-2</v>
      </c>
      <c r="CE42" s="11">
        <v>-9.6981437500000905E-2</v>
      </c>
      <c r="CF42" s="1">
        <v>0.15743960937500123</v>
      </c>
      <c r="CG42" s="3">
        <f t="shared" si="105"/>
        <v>2.606E-2</v>
      </c>
      <c r="CH42" s="11">
        <f t="shared" si="114"/>
        <v>0.91399326479153331</v>
      </c>
      <c r="CI42" s="3">
        <v>5.92918141728839E-3</v>
      </c>
      <c r="CJ42" s="11">
        <v>0</v>
      </c>
      <c r="CK42" s="11"/>
      <c r="CN42" s="7">
        <v>3.75</v>
      </c>
      <c r="CO42" s="7">
        <v>3.75</v>
      </c>
      <c r="CP42" s="11">
        <v>-1.6896666666666848E-3</v>
      </c>
      <c r="CQ42" s="11">
        <v>2.1530416666666899E-2</v>
      </c>
      <c r="CR42" s="11">
        <v>-8.9203312500000992E-2</v>
      </c>
      <c r="CS42" s="1">
        <v>0.14690445312500142</v>
      </c>
      <c r="CT42" s="3">
        <f t="shared" si="106"/>
        <v>2.606E-2</v>
      </c>
      <c r="CU42" s="11">
        <f t="shared" si="115"/>
        <v>0.91398971756229241</v>
      </c>
      <c r="CV42" s="3">
        <v>5.9307650285470121E-3</v>
      </c>
      <c r="CW42" s="11">
        <v>0</v>
      </c>
      <c r="CX42" s="11"/>
      <c r="DA42" s="7">
        <v>3.75</v>
      </c>
      <c r="DB42" s="7">
        <v>3.75</v>
      </c>
      <c r="DC42" s="11">
        <v>-1.7146666666666846E-3</v>
      </c>
      <c r="DD42" s="11">
        <v>2.1836666666666896E-2</v>
      </c>
      <c r="DE42" s="11">
        <v>-9.044550000000097E-2</v>
      </c>
      <c r="DF42" s="1">
        <v>0.14857437500000129</v>
      </c>
      <c r="DG42" s="3">
        <f t="shared" si="107"/>
        <v>2.606E-2</v>
      </c>
      <c r="DH42" s="11">
        <f t="shared" si="116"/>
        <v>0.91398971756229241</v>
      </c>
      <c r="DI42" s="3">
        <v>5.9307650285470121E-3</v>
      </c>
      <c r="DJ42" s="11">
        <v>0</v>
      </c>
      <c r="DK42" s="11"/>
    </row>
    <row r="43" spans="1:115" x14ac:dyDescent="0.25">
      <c r="A43" s="7">
        <v>4</v>
      </c>
      <c r="B43" s="7">
        <v>3.75</v>
      </c>
      <c r="C43" s="11">
        <v>-1.7146666666666846E-3</v>
      </c>
      <c r="D43" s="11">
        <v>2.1836666666666896E-2</v>
      </c>
      <c r="E43" s="11">
        <v>-9.044550000000097E-2</v>
      </c>
      <c r="F43" s="1">
        <v>0.14857437500000129</v>
      </c>
      <c r="G43" s="3">
        <f t="shared" si="99"/>
        <v>2.6440374999999933E-2</v>
      </c>
      <c r="H43" s="11">
        <f t="shared" si="108"/>
        <v>0.90807361794140418</v>
      </c>
      <c r="I43" s="3">
        <v>5.9160996208882481E-3</v>
      </c>
      <c r="J43" s="11">
        <v>0.90807361794140418</v>
      </c>
      <c r="K43" s="11"/>
      <c r="N43" s="7">
        <v>4</v>
      </c>
      <c r="O43" s="7">
        <v>3.75</v>
      </c>
      <c r="P43" s="11">
        <v>-1.7146666666666846E-3</v>
      </c>
      <c r="Q43" s="11">
        <v>2.1836666666666896E-2</v>
      </c>
      <c r="R43" s="11">
        <v>-9.044550000000097E-2</v>
      </c>
      <c r="S43" s="1">
        <v>0.14857437500000129</v>
      </c>
      <c r="T43" s="3">
        <f t="shared" si="100"/>
        <v>2.6440374999999933E-2</v>
      </c>
      <c r="U43" s="11">
        <f t="shared" si="109"/>
        <v>0.90802849216252346</v>
      </c>
      <c r="V43" s="3">
        <v>5.9158056264388406E-3</v>
      </c>
      <c r="W43" s="11">
        <v>0.90802849216252346</v>
      </c>
      <c r="AA43" s="7">
        <v>4</v>
      </c>
      <c r="AB43" s="7">
        <v>3.75</v>
      </c>
      <c r="AC43" s="11">
        <v>-1.7146666666666846E-3</v>
      </c>
      <c r="AD43" s="11">
        <v>2.1836666666666896E-2</v>
      </c>
      <c r="AE43" s="11">
        <v>-9.044550000000097E-2</v>
      </c>
      <c r="AF43" s="1">
        <v>0.14857437500000129</v>
      </c>
      <c r="AG43" s="3">
        <f t="shared" si="101"/>
        <v>2.6440374999999933E-2</v>
      </c>
      <c r="AH43" s="11">
        <f t="shared" si="110"/>
        <v>0.90799459487552481</v>
      </c>
      <c r="AI43" s="3">
        <v>5.9155847856140441E-3</v>
      </c>
      <c r="AJ43" s="11">
        <v>0.90799459487552481</v>
      </c>
      <c r="AK43" s="11"/>
      <c r="AN43" s="7">
        <v>4</v>
      </c>
      <c r="AO43" s="7">
        <v>3.75</v>
      </c>
      <c r="AP43" s="11">
        <v>-1.7146666666666846E-3</v>
      </c>
      <c r="AQ43" s="11">
        <v>2.1836666666666896E-2</v>
      </c>
      <c r="AR43" s="11">
        <v>-9.044550000000097E-2</v>
      </c>
      <c r="AS43" s="1">
        <v>0.14857437500000129</v>
      </c>
      <c r="AT43" s="3">
        <f t="shared" si="102"/>
        <v>2.6440374999999933E-2</v>
      </c>
      <c r="AU43" s="11">
        <f t="shared" si="111"/>
        <v>0.90798334453632956</v>
      </c>
      <c r="AV43" s="3">
        <v>5.915511489654187E-3</v>
      </c>
      <c r="AW43" s="11">
        <v>0.90798334453632956</v>
      </c>
      <c r="AX43" s="11"/>
      <c r="BA43" s="7">
        <v>4</v>
      </c>
      <c r="BB43" s="7">
        <v>3.75</v>
      </c>
      <c r="BC43" s="11">
        <v>-1.7646666666666843E-3</v>
      </c>
      <c r="BD43" s="11">
        <v>2.2499166666666889E-2</v>
      </c>
      <c r="BE43" s="11">
        <v>-9.335487500000092E-2</v>
      </c>
      <c r="BF43" s="1">
        <v>0.15280484375000128</v>
      </c>
      <c r="BG43" s="3">
        <f t="shared" si="103"/>
        <v>2.6433343750000032E-2</v>
      </c>
      <c r="BH43" s="11">
        <f t="shared" si="112"/>
        <v>0.90797987286742565</v>
      </c>
      <c r="BI43" s="3">
        <v>5.9154888717312783E-3</v>
      </c>
      <c r="BJ43" s="11">
        <v>0.90797987286742565</v>
      </c>
      <c r="BK43" s="11"/>
      <c r="BN43" s="7">
        <v>4</v>
      </c>
      <c r="BO43" s="7">
        <v>3.75</v>
      </c>
      <c r="BP43" s="11">
        <v>-1.5646666666666855E-3</v>
      </c>
      <c r="BQ43" s="11">
        <v>1.9899166666666909E-2</v>
      </c>
      <c r="BR43" s="11">
        <v>-8.224237500000102E-2</v>
      </c>
      <c r="BS43" s="1">
        <v>0.13724859375000142</v>
      </c>
      <c r="BT43" s="3">
        <f t="shared" si="104"/>
        <v>2.6527093750000008E-2</v>
      </c>
      <c r="BU43" s="11">
        <f t="shared" si="113"/>
        <v>0.90801723331713746</v>
      </c>
      <c r="BV43" s="3">
        <v>5.9384327058940763E-3</v>
      </c>
      <c r="BW43" s="11">
        <v>0.90801723331713746</v>
      </c>
      <c r="BX43" s="11"/>
      <c r="CA43" s="7">
        <v>4</v>
      </c>
      <c r="CB43" s="7">
        <v>3.75</v>
      </c>
      <c r="CC43" s="11">
        <v>-1.8396666666666839E-3</v>
      </c>
      <c r="CD43" s="11">
        <v>2.3417916666666885E-2</v>
      </c>
      <c r="CE43" s="11">
        <v>-9.6981437500000905E-2</v>
      </c>
      <c r="CF43" s="1">
        <v>0.15743960937500123</v>
      </c>
      <c r="CG43" s="3">
        <f t="shared" si="105"/>
        <v>2.6461859375000008E-2</v>
      </c>
      <c r="CH43" s="11">
        <f t="shared" si="114"/>
        <v>0.90807714221003488</v>
      </c>
      <c r="CI43" s="3">
        <v>5.9161225814983774E-3</v>
      </c>
      <c r="CJ43" s="11">
        <v>0.90807714221003488</v>
      </c>
      <c r="CK43" s="11"/>
      <c r="CN43" s="7">
        <v>4</v>
      </c>
      <c r="CO43" s="7">
        <v>3.75</v>
      </c>
      <c r="CP43" s="11">
        <v>-1.6896666666666848E-3</v>
      </c>
      <c r="CQ43" s="11">
        <v>2.1530416666666899E-2</v>
      </c>
      <c r="CR43" s="11">
        <v>-8.9203312500000992E-2</v>
      </c>
      <c r="CS43" s="1">
        <v>0.14690445312500142</v>
      </c>
      <c r="CT43" s="3">
        <f t="shared" si="106"/>
        <v>2.6439203125000005E-2</v>
      </c>
      <c r="CU43" s="11">
        <f t="shared" si="115"/>
        <v>0.90807361794140418</v>
      </c>
      <c r="CV43" s="3">
        <v>5.9160996208882481E-3</v>
      </c>
      <c r="CW43" s="11">
        <v>0.90807361794140418</v>
      </c>
      <c r="CX43" s="11"/>
      <c r="DA43" s="7">
        <v>4</v>
      </c>
      <c r="DB43" s="7">
        <v>3.75</v>
      </c>
      <c r="DC43" s="11">
        <v>-1.7146666666666846E-3</v>
      </c>
      <c r="DD43" s="11">
        <v>2.1836666666666896E-2</v>
      </c>
      <c r="DE43" s="11">
        <v>-9.044550000000097E-2</v>
      </c>
      <c r="DF43" s="1">
        <v>0.14857437500000129</v>
      </c>
      <c r="DG43" s="3">
        <f t="shared" si="107"/>
        <v>2.6440374999999933E-2</v>
      </c>
      <c r="DH43" s="11">
        <f t="shared" si="116"/>
        <v>0.90807361794140418</v>
      </c>
      <c r="DI43" s="3">
        <v>5.9160996208882481E-3</v>
      </c>
      <c r="DJ43" s="11">
        <v>0.90807361794140418</v>
      </c>
      <c r="DK43" s="11"/>
    </row>
    <row r="44" spans="1:115" x14ac:dyDescent="0.25">
      <c r="A44" s="7">
        <v>4.25</v>
      </c>
      <c r="B44" s="7">
        <v>3.75</v>
      </c>
      <c r="C44" s="11">
        <v>-1.7146666666666846E-3</v>
      </c>
      <c r="D44" s="11">
        <v>2.1836666666666896E-2</v>
      </c>
      <c r="E44" s="11">
        <v>-9.044550000000097E-2</v>
      </c>
      <c r="F44" s="1">
        <v>0.14857437500000129</v>
      </c>
      <c r="G44" s="3">
        <f t="shared" si="99"/>
        <v>2.6978333333333243E-2</v>
      </c>
      <c r="H44" s="11">
        <f t="shared" si="108"/>
        <v>0.9021105824187492</v>
      </c>
      <c r="I44" s="3">
        <v>5.9630355226550184E-3</v>
      </c>
      <c r="J44" s="11">
        <v>0</v>
      </c>
      <c r="K44" s="11"/>
      <c r="N44" s="7">
        <v>4.25</v>
      </c>
      <c r="O44" s="7">
        <v>3.75</v>
      </c>
      <c r="P44" s="11">
        <v>-1.7146666666666846E-3</v>
      </c>
      <c r="Q44" s="11">
        <v>2.1836666666666896E-2</v>
      </c>
      <c r="R44" s="11">
        <v>-9.044550000000097E-2</v>
      </c>
      <c r="S44" s="1">
        <v>0.14857437500000129</v>
      </c>
      <c r="T44" s="3">
        <f t="shared" si="100"/>
        <v>2.6978333333333243E-2</v>
      </c>
      <c r="U44" s="11">
        <f t="shared" si="109"/>
        <v>0.90206575296674896</v>
      </c>
      <c r="V44" s="3">
        <v>5.9627391957745362E-3</v>
      </c>
      <c r="W44" s="11">
        <v>0</v>
      </c>
      <c r="AA44" s="7">
        <v>4.25</v>
      </c>
      <c r="AB44" s="7">
        <v>3.75</v>
      </c>
      <c r="AC44" s="11">
        <v>-1.7146666666666846E-3</v>
      </c>
      <c r="AD44" s="11">
        <v>2.1836666666666896E-2</v>
      </c>
      <c r="AE44" s="11">
        <v>-9.044550000000097E-2</v>
      </c>
      <c r="AF44" s="1">
        <v>0.14857437500000129</v>
      </c>
      <c r="AG44" s="3">
        <f t="shared" si="101"/>
        <v>2.6978333333333243E-2</v>
      </c>
      <c r="AH44" s="11">
        <f t="shared" si="110"/>
        <v>0.90203207827263532</v>
      </c>
      <c r="AI44" s="3">
        <v>5.9625166028894425E-3</v>
      </c>
      <c r="AJ44" s="11">
        <v>0</v>
      </c>
      <c r="AK44" s="11"/>
      <c r="AN44" s="7">
        <v>4.25</v>
      </c>
      <c r="AO44" s="7">
        <v>3.75</v>
      </c>
      <c r="AP44" s="11">
        <v>-1.7146666666666846E-3</v>
      </c>
      <c r="AQ44" s="11">
        <v>2.1836666666666896E-2</v>
      </c>
      <c r="AR44" s="11">
        <v>-9.044550000000097E-2</v>
      </c>
      <c r="AS44" s="1">
        <v>0.14857437500000129</v>
      </c>
      <c r="AT44" s="3">
        <f t="shared" si="102"/>
        <v>2.6978333333333243E-2</v>
      </c>
      <c r="AU44" s="11">
        <f t="shared" si="111"/>
        <v>0.9020209018109</v>
      </c>
      <c r="AV44" s="3">
        <v>5.9624427254295785E-3</v>
      </c>
      <c r="AW44" s="11">
        <v>0</v>
      </c>
      <c r="AX44" s="11"/>
      <c r="BA44" s="7">
        <v>4.25</v>
      </c>
      <c r="BB44" s="7">
        <v>3.75</v>
      </c>
      <c r="BC44" s="11">
        <v>-1.7646666666666843E-3</v>
      </c>
      <c r="BD44" s="11">
        <v>2.2499166666666889E-2</v>
      </c>
      <c r="BE44" s="11">
        <v>-9.335487500000092E-2</v>
      </c>
      <c r="BF44" s="1">
        <v>0.15280484375000128</v>
      </c>
      <c r="BG44" s="3">
        <f t="shared" si="103"/>
        <v>2.6972083333333369E-2</v>
      </c>
      <c r="BH44" s="11">
        <f t="shared" si="112"/>
        <v>0.90201902810767287</v>
      </c>
      <c r="BI44" s="3">
        <v>5.9608447597527649E-3</v>
      </c>
      <c r="BJ44" s="11">
        <v>0</v>
      </c>
      <c r="BK44" s="11"/>
      <c r="BN44" s="7">
        <v>4.25</v>
      </c>
      <c r="BO44" s="7">
        <v>3.75</v>
      </c>
      <c r="BP44" s="11">
        <v>-1.5646666666666855E-3</v>
      </c>
      <c r="BQ44" s="11">
        <v>1.9899166666666909E-2</v>
      </c>
      <c r="BR44" s="11">
        <v>-8.224237500000102E-2</v>
      </c>
      <c r="BS44" s="1">
        <v>0.13724859375000142</v>
      </c>
      <c r="BT44" s="3">
        <f t="shared" si="104"/>
        <v>2.7034583333333362E-2</v>
      </c>
      <c r="BU44" s="11">
        <f t="shared" si="113"/>
        <v>0.90203514063180379</v>
      </c>
      <c r="BV44" s="3">
        <v>5.9820926853335751E-3</v>
      </c>
      <c r="BW44" s="11">
        <v>0</v>
      </c>
      <c r="BX44" s="11"/>
      <c r="CA44" s="7">
        <v>4.25</v>
      </c>
      <c r="CB44" s="7">
        <v>3.75</v>
      </c>
      <c r="CC44" s="11">
        <v>-1.8396666666666839E-3</v>
      </c>
      <c r="CD44" s="11">
        <v>2.3417916666666885E-2</v>
      </c>
      <c r="CE44" s="11">
        <v>-9.6981437500000905E-2</v>
      </c>
      <c r="CF44" s="1">
        <v>0.15743960937500123</v>
      </c>
      <c r="CG44" s="3">
        <f t="shared" si="105"/>
        <v>2.7031458333333369E-2</v>
      </c>
      <c r="CH44" s="11">
        <f t="shared" si="114"/>
        <v>0.90210927004880603</v>
      </c>
      <c r="CI44" s="3">
        <v>5.9678721612288531E-3</v>
      </c>
      <c r="CJ44" s="11">
        <v>0</v>
      </c>
      <c r="CK44" s="11"/>
      <c r="CN44" s="7">
        <v>4.25</v>
      </c>
      <c r="CO44" s="7">
        <v>3.75</v>
      </c>
      <c r="CP44" s="11">
        <v>-1.6896666666666848E-3</v>
      </c>
      <c r="CQ44" s="11">
        <v>2.1530416666666899E-2</v>
      </c>
      <c r="CR44" s="11">
        <v>-8.9203312500000992E-2</v>
      </c>
      <c r="CS44" s="1">
        <v>0.14690445312500142</v>
      </c>
      <c r="CT44" s="3">
        <f t="shared" si="106"/>
        <v>2.6975208333333417E-2</v>
      </c>
      <c r="CU44" s="11">
        <f t="shared" si="115"/>
        <v>0.90211084497352401</v>
      </c>
      <c r="CV44" s="3">
        <v>5.962772967880098E-3</v>
      </c>
      <c r="CW44" s="11">
        <v>0</v>
      </c>
      <c r="CX44" s="11"/>
      <c r="DA44" s="7">
        <v>4.25</v>
      </c>
      <c r="DB44" s="7">
        <v>3.75</v>
      </c>
      <c r="DC44" s="11">
        <v>-1.7146666666666846E-3</v>
      </c>
      <c r="DD44" s="11">
        <v>2.1836666666666896E-2</v>
      </c>
      <c r="DE44" s="11">
        <v>-9.044550000000097E-2</v>
      </c>
      <c r="DF44" s="1">
        <v>0.14857437500000129</v>
      </c>
      <c r="DG44" s="3">
        <f t="shared" si="107"/>
        <v>2.6978333333333243E-2</v>
      </c>
      <c r="DH44" s="11">
        <f t="shared" si="116"/>
        <v>0.9021105824187492</v>
      </c>
      <c r="DI44" s="3">
        <v>5.9630355226550184E-3</v>
      </c>
      <c r="DJ44" s="11">
        <v>0</v>
      </c>
      <c r="DK44" s="11"/>
    </row>
    <row r="45" spans="1:115" x14ac:dyDescent="0.25">
      <c r="A45" s="7">
        <v>4.5</v>
      </c>
      <c r="B45" s="7">
        <v>3.75</v>
      </c>
      <c r="C45" s="11">
        <v>-1.7146666666666846E-3</v>
      </c>
      <c r="D45" s="11">
        <v>2.1836666666666896E-2</v>
      </c>
      <c r="E45" s="11">
        <v>-9.044550000000097E-2</v>
      </c>
      <c r="F45" s="1">
        <v>0.14857437500000129</v>
      </c>
      <c r="G45" s="3">
        <f t="shared" si="99"/>
        <v>2.7513124999999944E-2</v>
      </c>
      <c r="H45" s="11">
        <f t="shared" si="108"/>
        <v>0.89606698397309403</v>
      </c>
      <c r="I45" s="3">
        <v>6.0435984456551767E-3</v>
      </c>
      <c r="J45" s="11">
        <v>0</v>
      </c>
      <c r="K45" s="11"/>
      <c r="N45" s="7">
        <v>4.5</v>
      </c>
      <c r="O45" s="7">
        <v>3.75</v>
      </c>
      <c r="P45" s="11">
        <v>-1.7146666666666846E-3</v>
      </c>
      <c r="Q45" s="11">
        <v>2.1836666666666896E-2</v>
      </c>
      <c r="R45" s="11">
        <v>-9.044550000000097E-2</v>
      </c>
      <c r="S45" s="1">
        <v>0.14857437500000129</v>
      </c>
      <c r="T45" s="3">
        <f t="shared" si="100"/>
        <v>2.7513124999999944E-2</v>
      </c>
      <c r="U45" s="11">
        <f t="shared" si="109"/>
        <v>0.89602245485146537</v>
      </c>
      <c r="V45" s="3">
        <v>6.0432981152835925E-3</v>
      </c>
      <c r="W45" s="11">
        <v>0</v>
      </c>
      <c r="AA45" s="7">
        <v>4.5</v>
      </c>
      <c r="AB45" s="7">
        <v>3.75</v>
      </c>
      <c r="AC45" s="11">
        <v>-1.7146666666666846E-3</v>
      </c>
      <c r="AD45" s="11">
        <v>2.1836666666666896E-2</v>
      </c>
      <c r="AE45" s="11">
        <v>-9.044550000000097E-2</v>
      </c>
      <c r="AF45" s="1">
        <v>0.14857437500000129</v>
      </c>
      <c r="AG45" s="3">
        <f t="shared" si="101"/>
        <v>2.7513124999999944E-2</v>
      </c>
      <c r="AH45" s="11">
        <f t="shared" si="110"/>
        <v>0.89598900575755303</v>
      </c>
      <c r="AI45" s="3">
        <v>6.0430725150822763E-3</v>
      </c>
      <c r="AJ45" s="11">
        <v>0</v>
      </c>
      <c r="AK45" s="11"/>
      <c r="AN45" s="7">
        <v>4.5</v>
      </c>
      <c r="AO45" s="7">
        <v>3.75</v>
      </c>
      <c r="AP45" s="11">
        <v>-1.7146666666666846E-3</v>
      </c>
      <c r="AQ45" s="11">
        <v>2.1836666666666896E-2</v>
      </c>
      <c r="AR45" s="11">
        <v>-9.044550000000097E-2</v>
      </c>
      <c r="AS45" s="1">
        <v>0.14857437500000129</v>
      </c>
      <c r="AT45" s="3">
        <f t="shared" si="102"/>
        <v>2.7513124999999944E-2</v>
      </c>
      <c r="AU45" s="11">
        <f t="shared" si="111"/>
        <v>0.89597790417139078</v>
      </c>
      <c r="AV45" s="3">
        <v>6.0429976395092724E-3</v>
      </c>
      <c r="AW45" s="11">
        <v>0</v>
      </c>
      <c r="AX45" s="11"/>
      <c r="BA45" s="7">
        <v>4.5</v>
      </c>
      <c r="BB45" s="7">
        <v>3.75</v>
      </c>
      <c r="BC45" s="11">
        <v>-1.7646666666666843E-3</v>
      </c>
      <c r="BD45" s="11">
        <v>2.2499166666666889E-2</v>
      </c>
      <c r="BE45" s="11">
        <v>-9.335487500000092E-2</v>
      </c>
      <c r="BF45" s="1">
        <v>0.15280484375000128</v>
      </c>
      <c r="BG45" s="3">
        <f t="shared" si="103"/>
        <v>2.7510781250000033E-2</v>
      </c>
      <c r="BH45" s="11">
        <f t="shared" si="112"/>
        <v>0.89597743360666648</v>
      </c>
      <c r="BI45" s="3">
        <v>6.0415945010062937E-3</v>
      </c>
      <c r="BJ45" s="11">
        <v>0</v>
      </c>
      <c r="BK45" s="11"/>
      <c r="BN45" s="7">
        <v>4.5</v>
      </c>
      <c r="BO45" s="7">
        <v>3.75</v>
      </c>
      <c r="BP45" s="11">
        <v>-1.5646666666666855E-3</v>
      </c>
      <c r="BQ45" s="11">
        <v>1.9899166666666909E-2</v>
      </c>
      <c r="BR45" s="11">
        <v>-8.224237500000102E-2</v>
      </c>
      <c r="BS45" s="1">
        <v>0.13724859375000142</v>
      </c>
      <c r="BT45" s="3">
        <f t="shared" si="104"/>
        <v>2.7535781250000058E-2</v>
      </c>
      <c r="BU45" s="11">
        <f t="shared" si="113"/>
        <v>0.89597953229907867</v>
      </c>
      <c r="BV45" s="3">
        <v>6.0556083327251231E-3</v>
      </c>
      <c r="BW45" s="11">
        <v>0</v>
      </c>
      <c r="BX45" s="11"/>
      <c r="CA45" s="7">
        <v>4.5</v>
      </c>
      <c r="CB45" s="7">
        <v>3.75</v>
      </c>
      <c r="CC45" s="11">
        <v>-1.8396666666666839E-3</v>
      </c>
      <c r="CD45" s="11">
        <v>2.3417916666666885E-2</v>
      </c>
      <c r="CE45" s="11">
        <v>-9.6981437500000905E-2</v>
      </c>
      <c r="CF45" s="1">
        <v>0.15743960937500123</v>
      </c>
      <c r="CG45" s="3">
        <f t="shared" si="105"/>
        <v>2.7596328125000014E-2</v>
      </c>
      <c r="CH45" s="11">
        <f t="shared" si="114"/>
        <v>0.89605385940755666</v>
      </c>
      <c r="CI45" s="3">
        <v>6.0554106412494813E-3</v>
      </c>
      <c r="CJ45" s="11">
        <v>0</v>
      </c>
      <c r="CK45" s="11"/>
      <c r="CN45" s="7">
        <v>4.5</v>
      </c>
      <c r="CO45" s="7">
        <v>3.75</v>
      </c>
      <c r="CP45" s="11">
        <v>-1.6896666666666848E-3</v>
      </c>
      <c r="CQ45" s="11">
        <v>2.1530416666666899E-2</v>
      </c>
      <c r="CR45" s="11">
        <v>-8.9203312500000992E-2</v>
      </c>
      <c r="CS45" s="1">
        <v>0.14690445312500142</v>
      </c>
      <c r="CT45" s="3">
        <f t="shared" si="106"/>
        <v>2.7509609375000049E-2</v>
      </c>
      <c r="CU45" s="11">
        <f t="shared" si="115"/>
        <v>0.89606794013205338</v>
      </c>
      <c r="CV45" s="3">
        <v>6.0429048414707689E-3</v>
      </c>
      <c r="CW45" s="11">
        <v>0</v>
      </c>
      <c r="CX45" s="11"/>
      <c r="DA45" s="7">
        <v>4.5</v>
      </c>
      <c r="DB45" s="7">
        <v>3.75</v>
      </c>
      <c r="DC45" s="11">
        <v>-1.7146666666666846E-3</v>
      </c>
      <c r="DD45" s="11">
        <v>2.1836666666666896E-2</v>
      </c>
      <c r="DE45" s="11">
        <v>-9.044550000000097E-2</v>
      </c>
      <c r="DF45" s="1">
        <v>0.14857437500000129</v>
      </c>
      <c r="DG45" s="3">
        <f t="shared" si="107"/>
        <v>2.7513124999999944E-2</v>
      </c>
      <c r="DH45" s="11">
        <f t="shared" si="116"/>
        <v>0.89606698397309403</v>
      </c>
      <c r="DI45" s="3">
        <v>6.0435984456551767E-3</v>
      </c>
      <c r="DJ45" s="11">
        <v>0</v>
      </c>
      <c r="DK45" s="11"/>
    </row>
    <row r="46" spans="1:115" x14ac:dyDescent="0.25">
      <c r="A46" s="7">
        <v>4.75</v>
      </c>
      <c r="B46" s="7">
        <v>4.75</v>
      </c>
      <c r="C46" s="11">
        <v>3.4400000000000283E-4</v>
      </c>
      <c r="D46" s="11">
        <v>-6.0313333333333833E-3</v>
      </c>
      <c r="E46" s="11">
        <v>3.4954500000000284E-2</v>
      </c>
      <c r="F46" s="1">
        <v>-3.8935041666667197E-2</v>
      </c>
      <c r="G46" s="3">
        <f t="shared" si="99"/>
        <v>2.7883999999999992E-2</v>
      </c>
      <c r="H46" s="11">
        <f t="shared" si="108"/>
        <v>0.88994568723903944</v>
      </c>
      <c r="I46" s="3">
        <v>6.1212967340546365E-3</v>
      </c>
      <c r="J46" s="11">
        <v>0</v>
      </c>
      <c r="K46" s="11"/>
      <c r="N46" s="7">
        <v>4.75</v>
      </c>
      <c r="O46" s="7">
        <v>4.75</v>
      </c>
      <c r="P46" s="11">
        <v>3.4400000000000283E-4</v>
      </c>
      <c r="Q46" s="11">
        <v>-6.0313333333333833E-3</v>
      </c>
      <c r="R46" s="11">
        <v>3.4954500000000284E-2</v>
      </c>
      <c r="S46" s="1">
        <v>-3.8935041666667197E-2</v>
      </c>
      <c r="T46" s="3">
        <f t="shared" si="100"/>
        <v>2.7883999999999992E-2</v>
      </c>
      <c r="U46" s="11">
        <f t="shared" si="109"/>
        <v>0.88990146230891842</v>
      </c>
      <c r="V46" s="3">
        <v>6.1209925425470026E-3</v>
      </c>
      <c r="W46" s="11">
        <v>0</v>
      </c>
      <c r="AA46" s="7">
        <v>4.75</v>
      </c>
      <c r="AB46" s="7">
        <v>4.75</v>
      </c>
      <c r="AC46" s="11">
        <v>3.4400000000000283E-4</v>
      </c>
      <c r="AD46" s="11">
        <v>-6.0313333333333833E-3</v>
      </c>
      <c r="AE46" s="11">
        <v>3.4954500000000284E-2</v>
      </c>
      <c r="AF46" s="1">
        <v>-3.8935041666667197E-2</v>
      </c>
      <c r="AG46" s="3">
        <f t="shared" si="101"/>
        <v>2.7883999999999992E-2</v>
      </c>
      <c r="AH46" s="11">
        <f t="shared" si="110"/>
        <v>0.88986824171559031</v>
      </c>
      <c r="AI46" s="3">
        <v>6.1207640419628003E-3</v>
      </c>
      <c r="AJ46" s="11">
        <v>0</v>
      </c>
      <c r="AK46" s="11"/>
      <c r="AN46" s="7">
        <v>4.75</v>
      </c>
      <c r="AO46" s="7">
        <v>4.75</v>
      </c>
      <c r="AP46" s="11">
        <v>3.4400000000000283E-4</v>
      </c>
      <c r="AQ46" s="11">
        <v>-6.0313333333333833E-3</v>
      </c>
      <c r="AR46" s="11">
        <v>3.4954500000000284E-2</v>
      </c>
      <c r="AS46" s="1">
        <v>-3.8935041666667197E-2</v>
      </c>
      <c r="AT46" s="3">
        <f t="shared" si="102"/>
        <v>2.7883999999999992E-2</v>
      </c>
      <c r="AU46" s="11">
        <f t="shared" si="111"/>
        <v>0.88985721596762357</v>
      </c>
      <c r="AV46" s="3">
        <v>6.120688203767293E-3</v>
      </c>
      <c r="AW46" s="11">
        <v>0</v>
      </c>
      <c r="AX46" s="11"/>
      <c r="BA46" s="7">
        <v>4.75</v>
      </c>
      <c r="BB46" s="7">
        <v>4.75</v>
      </c>
      <c r="BC46" s="11">
        <v>3.4400000000000283E-4</v>
      </c>
      <c r="BD46" s="11">
        <v>-6.0313333333333833E-3</v>
      </c>
      <c r="BE46" s="11">
        <v>3.4954500000000284E-2</v>
      </c>
      <c r="BF46" s="1">
        <v>-3.8935041666667197E-2</v>
      </c>
      <c r="BG46" s="3">
        <f t="shared" si="103"/>
        <v>2.7883999999999992E-2</v>
      </c>
      <c r="BH46" s="11">
        <f t="shared" si="112"/>
        <v>0.88985726645636543</v>
      </c>
      <c r="BI46" s="3">
        <v>6.1201671503010148E-3</v>
      </c>
      <c r="BJ46" s="11">
        <v>0</v>
      </c>
      <c r="BK46" s="11"/>
      <c r="BN46" s="7">
        <v>4.75</v>
      </c>
      <c r="BO46" s="7">
        <v>4.75</v>
      </c>
      <c r="BP46" s="11">
        <v>3.3150000000000291E-4</v>
      </c>
      <c r="BQ46" s="11">
        <v>-5.8032083333333841E-3</v>
      </c>
      <c r="BR46" s="11">
        <v>3.3583406250000294E-2</v>
      </c>
      <c r="BS46" s="1">
        <v>-3.6229768229167236E-2</v>
      </c>
      <c r="BT46" s="3">
        <f t="shared" si="104"/>
        <v>2.7884000000000006E-2</v>
      </c>
      <c r="BU46" s="11">
        <f t="shared" si="113"/>
        <v>0.88985382721640216</v>
      </c>
      <c r="BV46" s="3">
        <v>6.1257050826765492E-3</v>
      </c>
      <c r="BW46" s="11">
        <v>0</v>
      </c>
      <c r="BX46" s="11"/>
      <c r="CA46" s="7">
        <v>4.75</v>
      </c>
      <c r="CB46" s="7">
        <v>4.75</v>
      </c>
      <c r="CC46" s="11">
        <v>3.6900000000000268E-4</v>
      </c>
      <c r="CD46" s="11">
        <v>-6.4750833333333804E-3</v>
      </c>
      <c r="CE46" s="11">
        <v>3.750293750000027E-2</v>
      </c>
      <c r="CF46" s="1">
        <v>-4.3607307291667174E-2</v>
      </c>
      <c r="CG46" s="3">
        <f t="shared" si="105"/>
        <v>2.7984000000000009E-2</v>
      </c>
      <c r="CH46" s="11">
        <f t="shared" si="114"/>
        <v>0.88991426787272299</v>
      </c>
      <c r="CI46" s="3">
        <v>6.1395915348337058E-3</v>
      </c>
      <c r="CJ46" s="11">
        <v>0</v>
      </c>
      <c r="CK46" s="11"/>
      <c r="CN46" s="7">
        <v>4.75</v>
      </c>
      <c r="CO46" s="7">
        <v>4.75</v>
      </c>
      <c r="CP46" s="11">
        <v>3.2733333333333627E-4</v>
      </c>
      <c r="CQ46" s="11">
        <v>-5.7480000000000517E-3</v>
      </c>
      <c r="CR46" s="11">
        <v>3.3415958333333627E-2</v>
      </c>
      <c r="CS46" s="1">
        <v>-3.6233479166667193E-2</v>
      </c>
      <c r="CT46" s="3">
        <f t="shared" si="106"/>
        <v>2.788400000000002E-2</v>
      </c>
      <c r="CU46" s="11">
        <f t="shared" si="115"/>
        <v>0.88994741370323638</v>
      </c>
      <c r="CV46" s="3">
        <v>6.1205264288168998E-3</v>
      </c>
      <c r="CW46" s="11">
        <v>0</v>
      </c>
      <c r="CX46" s="11"/>
      <c r="DA46" s="7">
        <v>4.75</v>
      </c>
      <c r="DB46" s="7">
        <v>4.75</v>
      </c>
      <c r="DC46" s="11">
        <v>3.4816666666666947E-4</v>
      </c>
      <c r="DD46" s="11">
        <v>-6.0990416666667161E-3</v>
      </c>
      <c r="DE46" s="11">
        <v>3.5315697916666944E-2</v>
      </c>
      <c r="DF46" s="1">
        <v>-3.9569611979167169E-2</v>
      </c>
      <c r="DG46" s="3">
        <f t="shared" si="107"/>
        <v>2.788400000000002E-2</v>
      </c>
      <c r="DH46" s="11">
        <f t="shared" si="116"/>
        <v>0.88994568723903944</v>
      </c>
      <c r="DI46" s="3">
        <v>6.1212967340546365E-3</v>
      </c>
      <c r="DJ46" s="11">
        <v>0</v>
      </c>
      <c r="DK46" s="11"/>
    </row>
    <row r="47" spans="1:115" x14ac:dyDescent="0.25">
      <c r="A47" s="7">
        <v>5</v>
      </c>
      <c r="B47" s="7">
        <v>4.75</v>
      </c>
      <c r="C47" s="11">
        <v>3.4400000000000283E-4</v>
      </c>
      <c r="D47" s="11">
        <v>-6.0313333333333833E-3</v>
      </c>
      <c r="E47" s="11">
        <v>3.4954500000000284E-2</v>
      </c>
      <c r="F47" s="1">
        <v>-3.8935041666667197E-2</v>
      </c>
      <c r="G47" s="3">
        <f t="shared" si="99"/>
        <v>2.8054124999999999E-2</v>
      </c>
      <c r="H47" s="11">
        <f t="shared" si="108"/>
        <v>0.8837848232362594</v>
      </c>
      <c r="I47" s="3">
        <v>6.1608640027799623E-3</v>
      </c>
      <c r="J47" s="11">
        <v>0.8837848232362594</v>
      </c>
      <c r="K47" s="11"/>
      <c r="N47" s="7">
        <v>5</v>
      </c>
      <c r="O47" s="7">
        <v>4.75</v>
      </c>
      <c r="P47" s="11">
        <v>3.4400000000000283E-4</v>
      </c>
      <c r="Q47" s="11">
        <v>-6.0313333333333833E-3</v>
      </c>
      <c r="R47" s="11">
        <v>3.4954500000000284E-2</v>
      </c>
      <c r="S47" s="1">
        <v>-3.8935041666667197E-2</v>
      </c>
      <c r="T47" s="3">
        <f t="shared" si="100"/>
        <v>2.8054124999999999E-2</v>
      </c>
      <c r="U47" s="11">
        <f t="shared" si="109"/>
        <v>0.88374090446390052</v>
      </c>
      <c r="V47" s="3">
        <v>6.1605578450178488E-3</v>
      </c>
      <c r="W47" s="11">
        <v>0.88374090446390052</v>
      </c>
      <c r="AA47" s="7">
        <v>5</v>
      </c>
      <c r="AB47" s="7">
        <v>4.75</v>
      </c>
      <c r="AC47" s="11">
        <v>3.4400000000000283E-4</v>
      </c>
      <c r="AD47" s="11">
        <v>-6.0313333333333833E-3</v>
      </c>
      <c r="AE47" s="11">
        <v>3.4954500000000284E-2</v>
      </c>
      <c r="AF47" s="1">
        <v>-3.8935041666667197E-2</v>
      </c>
      <c r="AG47" s="3">
        <f t="shared" si="101"/>
        <v>2.8054124999999999E-2</v>
      </c>
      <c r="AH47" s="11">
        <f t="shared" si="110"/>
        <v>0.88370791384815472</v>
      </c>
      <c r="AI47" s="3">
        <v>6.1603278674354847E-3</v>
      </c>
      <c r="AJ47" s="11">
        <v>0.88370791384815472</v>
      </c>
      <c r="AK47" s="11"/>
      <c r="AN47" s="7">
        <v>5</v>
      </c>
      <c r="AO47" s="7">
        <v>4.75</v>
      </c>
      <c r="AP47" s="11">
        <v>3.4400000000000283E-4</v>
      </c>
      <c r="AQ47" s="11">
        <v>-6.0313333333333833E-3</v>
      </c>
      <c r="AR47" s="11">
        <v>3.4954500000000284E-2</v>
      </c>
      <c r="AS47" s="1">
        <v>-3.8935041666667197E-2</v>
      </c>
      <c r="AT47" s="3">
        <f t="shared" si="102"/>
        <v>2.8054124999999999E-2</v>
      </c>
      <c r="AU47" s="11">
        <f t="shared" si="111"/>
        <v>0.8836969644285918</v>
      </c>
      <c r="AV47" s="3">
        <v>6.1602515390317119E-3</v>
      </c>
      <c r="AW47" s="11">
        <v>0.8836969644285918</v>
      </c>
      <c r="AX47" s="11"/>
      <c r="BA47" s="7">
        <v>5</v>
      </c>
      <c r="BB47" s="7">
        <v>4.75</v>
      </c>
      <c r="BC47" s="11">
        <v>3.4400000000000283E-4</v>
      </c>
      <c r="BD47" s="11">
        <v>-6.0313333333333833E-3</v>
      </c>
      <c r="BE47" s="11">
        <v>3.4954500000000284E-2</v>
      </c>
      <c r="BF47" s="1">
        <v>-3.8935041666667197E-2</v>
      </c>
      <c r="BG47" s="3">
        <f t="shared" si="103"/>
        <v>2.8054124999999999E-2</v>
      </c>
      <c r="BH47" s="11">
        <f t="shared" si="112"/>
        <v>0.88369701456781313</v>
      </c>
      <c r="BI47" s="3">
        <v>6.1602518885522234E-3</v>
      </c>
      <c r="BJ47" s="11">
        <v>0.88369701456781313</v>
      </c>
      <c r="BK47" s="11"/>
      <c r="BN47" s="7">
        <v>5</v>
      </c>
      <c r="BO47" s="7">
        <v>4.75</v>
      </c>
      <c r="BP47" s="11">
        <v>3.3150000000000291E-4</v>
      </c>
      <c r="BQ47" s="11">
        <v>-5.8032083333333841E-3</v>
      </c>
      <c r="BR47" s="11">
        <v>3.3583406250000294E-2</v>
      </c>
      <c r="BS47" s="1">
        <v>-3.6229768229167236E-2</v>
      </c>
      <c r="BT47" s="3">
        <f t="shared" si="104"/>
        <v>2.8044554687499987E-2</v>
      </c>
      <c r="BU47" s="11">
        <f t="shared" si="113"/>
        <v>0.88369359913681933</v>
      </c>
      <c r="BV47" s="3">
        <v>6.1602280795827686E-3</v>
      </c>
      <c r="BW47" s="11">
        <v>0.88369359913681933</v>
      </c>
      <c r="BX47" s="11"/>
      <c r="CA47" s="7">
        <v>5</v>
      </c>
      <c r="CB47" s="7">
        <v>4.75</v>
      </c>
      <c r="CC47" s="11">
        <v>3.6900000000000268E-4</v>
      </c>
      <c r="CD47" s="11">
        <v>-6.4750833333333804E-3</v>
      </c>
      <c r="CE47" s="11">
        <v>3.750293750000027E-2</v>
      </c>
      <c r="CF47" s="1">
        <v>-4.3607307291667174E-2</v>
      </c>
      <c r="CG47" s="3">
        <f t="shared" si="105"/>
        <v>2.8155296875000013E-2</v>
      </c>
      <c r="CH47" s="11">
        <f t="shared" si="114"/>
        <v>0.88373168103222155</v>
      </c>
      <c r="CI47" s="3">
        <v>6.182586840501424E-3</v>
      </c>
      <c r="CJ47" s="11">
        <v>0.88373168103222155</v>
      </c>
      <c r="CK47" s="11"/>
      <c r="CN47" s="7">
        <v>5</v>
      </c>
      <c r="CO47" s="7">
        <v>4.75</v>
      </c>
      <c r="CP47" s="11">
        <v>3.2733333333333627E-4</v>
      </c>
      <c r="CQ47" s="11">
        <v>-5.7480000000000517E-3</v>
      </c>
      <c r="CR47" s="11">
        <v>3.3415958333333627E-2</v>
      </c>
      <c r="CS47" s="1">
        <v>-3.6233479166667193E-2</v>
      </c>
      <c r="CT47" s="3">
        <f t="shared" si="106"/>
        <v>2.8062979166666682E-2</v>
      </c>
      <c r="CU47" s="11">
        <f t="shared" si="115"/>
        <v>0.88378653774859095</v>
      </c>
      <c r="CV47" s="3">
        <v>6.1608759546454318E-3</v>
      </c>
      <c r="CW47" s="11">
        <v>0.88378653774859095</v>
      </c>
      <c r="CX47" s="11"/>
      <c r="DA47" s="7">
        <v>5</v>
      </c>
      <c r="DB47" s="7">
        <v>4.75</v>
      </c>
      <c r="DC47" s="11">
        <v>3.4816666666666947E-4</v>
      </c>
      <c r="DD47" s="11">
        <v>-6.0990416666667161E-3</v>
      </c>
      <c r="DE47" s="11">
        <v>3.5315697916666944E-2</v>
      </c>
      <c r="DF47" s="1">
        <v>-3.9569611979167169E-2</v>
      </c>
      <c r="DG47" s="3">
        <f t="shared" si="107"/>
        <v>2.8053669270833331E-2</v>
      </c>
      <c r="DH47" s="11">
        <f t="shared" si="116"/>
        <v>0.8837848232362594</v>
      </c>
      <c r="DI47" s="3">
        <v>6.1608640027799684E-3</v>
      </c>
      <c r="DJ47" s="11">
        <v>0.8837848232362594</v>
      </c>
      <c r="DK47" s="11"/>
    </row>
    <row r="48" spans="1:115" x14ac:dyDescent="0.25">
      <c r="A48" s="7">
        <v>5.25</v>
      </c>
      <c r="B48" s="7">
        <v>4.75</v>
      </c>
      <c r="C48" s="11">
        <v>3.4400000000000283E-4</v>
      </c>
      <c r="D48" s="11">
        <v>-6.0313333333333833E-3</v>
      </c>
      <c r="E48" s="11">
        <v>3.4954500000000284E-2</v>
      </c>
      <c r="F48" s="1">
        <v>-3.8935041666667197E-2</v>
      </c>
      <c r="G48" s="3">
        <f t="shared" si="99"/>
        <v>2.8115333333333326E-2</v>
      </c>
      <c r="H48" s="11">
        <f t="shared" si="108"/>
        <v>0.87762954102436197</v>
      </c>
      <c r="I48" s="3">
        <v>6.1552822118975193E-3</v>
      </c>
      <c r="J48" s="11">
        <v>0</v>
      </c>
      <c r="K48" s="11"/>
      <c r="N48" s="7">
        <v>5.25</v>
      </c>
      <c r="O48" s="7">
        <v>4.75</v>
      </c>
      <c r="P48" s="11">
        <v>3.4400000000000283E-4</v>
      </c>
      <c r="Q48" s="11">
        <v>-6.0313333333333833E-3</v>
      </c>
      <c r="R48" s="11">
        <v>3.4954500000000284E-2</v>
      </c>
      <c r="S48" s="1">
        <v>-3.8935041666667197E-2</v>
      </c>
      <c r="T48" s="3">
        <f t="shared" si="100"/>
        <v>2.8115333333333326E-2</v>
      </c>
      <c r="U48" s="11">
        <f t="shared" si="109"/>
        <v>0.8775859281323839</v>
      </c>
      <c r="V48" s="3">
        <v>6.1549763315167285E-3</v>
      </c>
      <c r="W48" s="11">
        <v>0</v>
      </c>
      <c r="AA48" s="7">
        <v>5.25</v>
      </c>
      <c r="AB48" s="7">
        <v>4.75</v>
      </c>
      <c r="AC48" s="11">
        <v>3.4400000000000283E-4</v>
      </c>
      <c r="AD48" s="11">
        <v>-6.0313333333333833E-3</v>
      </c>
      <c r="AE48" s="11">
        <v>3.4954500000000284E-2</v>
      </c>
      <c r="AF48" s="1">
        <v>-3.8935041666667197E-2</v>
      </c>
      <c r="AG48" s="3">
        <f t="shared" si="101"/>
        <v>2.8115333333333326E-2</v>
      </c>
      <c r="AH48" s="11">
        <f t="shared" si="110"/>
        <v>0.87755316728585897</v>
      </c>
      <c r="AI48" s="3">
        <v>6.1547465622958496E-3</v>
      </c>
      <c r="AJ48" s="11">
        <v>0</v>
      </c>
      <c r="AK48" s="11"/>
      <c r="AN48" s="7">
        <v>5.25</v>
      </c>
      <c r="AO48" s="7">
        <v>4.75</v>
      </c>
      <c r="AP48" s="11">
        <v>3.4400000000000283E-4</v>
      </c>
      <c r="AQ48" s="11">
        <v>-6.0313333333333833E-3</v>
      </c>
      <c r="AR48" s="11">
        <v>3.4954500000000284E-2</v>
      </c>
      <c r="AS48" s="1">
        <v>-3.8935041666667197E-2</v>
      </c>
      <c r="AT48" s="3">
        <f t="shared" si="102"/>
        <v>2.8115333333333326E-2</v>
      </c>
      <c r="AU48" s="11">
        <f t="shared" si="111"/>
        <v>0.87754229412554563</v>
      </c>
      <c r="AV48" s="3">
        <v>6.1546703030462054E-3</v>
      </c>
      <c r="AW48" s="11">
        <v>0</v>
      </c>
      <c r="AX48" s="11"/>
      <c r="BA48" s="7">
        <v>5.25</v>
      </c>
      <c r="BB48" s="7">
        <v>4.75</v>
      </c>
      <c r="BC48" s="11">
        <v>3.4400000000000283E-4</v>
      </c>
      <c r="BD48" s="11">
        <v>-6.0313333333333833E-3</v>
      </c>
      <c r="BE48" s="11">
        <v>3.4954500000000284E-2</v>
      </c>
      <c r="BF48" s="1">
        <v>-3.8935041666667197E-2</v>
      </c>
      <c r="BG48" s="3">
        <f t="shared" si="103"/>
        <v>2.8115333333333326E-2</v>
      </c>
      <c r="BH48" s="11">
        <f t="shared" si="112"/>
        <v>0.87754234391556318</v>
      </c>
      <c r="BI48" s="3">
        <v>6.1546706522500492E-3</v>
      </c>
      <c r="BJ48" s="11">
        <v>0</v>
      </c>
      <c r="BK48" s="11"/>
      <c r="BN48" s="7">
        <v>5.25</v>
      </c>
      <c r="BO48" s="7">
        <v>4.75</v>
      </c>
      <c r="BP48" s="11">
        <v>3.3150000000000291E-4</v>
      </c>
      <c r="BQ48" s="11">
        <v>-5.8032083333333841E-3</v>
      </c>
      <c r="BR48" s="11">
        <v>3.3583406250000294E-2</v>
      </c>
      <c r="BS48" s="1">
        <v>-3.6229768229167236E-2</v>
      </c>
      <c r="BT48" s="3">
        <f t="shared" si="104"/>
        <v>2.8101270833333317E-2</v>
      </c>
      <c r="BU48" s="11">
        <f t="shared" si="113"/>
        <v>0.87754103723450716</v>
      </c>
      <c r="BV48" s="3">
        <v>6.1525619023121494E-3</v>
      </c>
      <c r="BW48" s="11">
        <v>0</v>
      </c>
      <c r="BX48" s="11"/>
      <c r="CA48" s="7">
        <v>5.25</v>
      </c>
      <c r="CB48" s="7">
        <v>4.75</v>
      </c>
      <c r="CC48" s="11">
        <v>3.6900000000000268E-4</v>
      </c>
      <c r="CD48" s="11">
        <v>-6.4750833333333804E-3</v>
      </c>
      <c r="CE48" s="11">
        <v>3.750293750000027E-2</v>
      </c>
      <c r="CF48" s="1">
        <v>-4.3607307291667174E-2</v>
      </c>
      <c r="CG48" s="3">
        <f t="shared" si="105"/>
        <v>2.8209083333333329E-2</v>
      </c>
      <c r="CH48" s="11">
        <f t="shared" si="114"/>
        <v>0.87755472756257547</v>
      </c>
      <c r="CI48" s="3">
        <v>6.1769534696460172E-3</v>
      </c>
      <c r="CJ48" s="11">
        <v>0</v>
      </c>
      <c r="CK48" s="11"/>
      <c r="CN48" s="7">
        <v>5.25</v>
      </c>
      <c r="CO48" s="7">
        <v>4.75</v>
      </c>
      <c r="CP48" s="11">
        <v>3.2733333333333627E-4</v>
      </c>
      <c r="CQ48" s="11">
        <v>-5.7480000000000517E-3</v>
      </c>
      <c r="CR48" s="11">
        <v>3.3415958333333627E-2</v>
      </c>
      <c r="CS48" s="1">
        <v>-3.6233479166667193E-2</v>
      </c>
      <c r="CT48" s="3">
        <f t="shared" si="106"/>
        <v>2.813720833333333E-2</v>
      </c>
      <c r="CU48" s="11">
        <f t="shared" si="115"/>
        <v>0.87762931445667747</v>
      </c>
      <c r="CV48" s="3">
        <v>6.1572232919134256E-3</v>
      </c>
      <c r="CW48" s="11">
        <v>0</v>
      </c>
      <c r="CX48" s="11"/>
      <c r="DA48" s="7">
        <v>5.25</v>
      </c>
      <c r="DB48" s="7">
        <v>4.75</v>
      </c>
      <c r="DC48" s="11">
        <v>3.4816666666666947E-4</v>
      </c>
      <c r="DD48" s="11">
        <v>-6.0990416666667161E-3</v>
      </c>
      <c r="DE48" s="11">
        <v>3.5315697916666944E-2</v>
      </c>
      <c r="DF48" s="1">
        <v>-3.9569611979167169E-2</v>
      </c>
      <c r="DG48" s="3">
        <f t="shared" si="107"/>
        <v>2.8113770833333315E-2</v>
      </c>
      <c r="DH48" s="11">
        <f t="shared" si="116"/>
        <v>0.87762964031831681</v>
      </c>
      <c r="DI48" s="3">
        <v>6.1551829179426181E-3</v>
      </c>
      <c r="DJ48" s="11">
        <v>0</v>
      </c>
      <c r="DK48" s="11"/>
    </row>
    <row r="49" spans="1:115" x14ac:dyDescent="0.25">
      <c r="A49" s="7">
        <v>5.5</v>
      </c>
      <c r="B49" s="7">
        <v>4.75</v>
      </c>
      <c r="C49" s="11">
        <v>3.4400000000000283E-4</v>
      </c>
      <c r="D49" s="11">
        <v>-6.0313333333333833E-3</v>
      </c>
      <c r="E49" s="11">
        <v>3.4954500000000284E-2</v>
      </c>
      <c r="F49" s="1">
        <v>-3.8935041666667197E-2</v>
      </c>
      <c r="G49" s="3">
        <f t="shared" si="99"/>
        <v>2.8099874999999996E-2</v>
      </c>
      <c r="H49" s="11">
        <f t="shared" si="108"/>
        <v>0.87150388546408253</v>
      </c>
      <c r="I49" s="3">
        <v>6.1256555602794572E-3</v>
      </c>
      <c r="J49" s="11">
        <v>0</v>
      </c>
      <c r="K49" s="11"/>
      <c r="N49" s="7">
        <v>5.5</v>
      </c>
      <c r="O49" s="7">
        <v>4.75</v>
      </c>
      <c r="P49" s="11">
        <v>3.4400000000000283E-4</v>
      </c>
      <c r="Q49" s="11">
        <v>-6.0313333333333833E-3</v>
      </c>
      <c r="R49" s="11">
        <v>3.4954500000000284E-2</v>
      </c>
      <c r="S49" s="1">
        <v>-3.8935041666667197E-2</v>
      </c>
      <c r="T49" s="3">
        <f t="shared" si="100"/>
        <v>2.8099874999999996E-2</v>
      </c>
      <c r="U49" s="11">
        <f t="shared" si="109"/>
        <v>0.8714605769802195</v>
      </c>
      <c r="V49" s="3">
        <v>6.1253511521644644E-3</v>
      </c>
      <c r="W49" s="11">
        <v>0</v>
      </c>
      <c r="AA49" s="7">
        <v>5.5</v>
      </c>
      <c r="AB49" s="7">
        <v>4.75</v>
      </c>
      <c r="AC49" s="11">
        <v>3.4400000000000283E-4</v>
      </c>
      <c r="AD49" s="11">
        <v>-6.0313333333333833E-3</v>
      </c>
      <c r="AE49" s="11">
        <v>3.4954500000000284E-2</v>
      </c>
      <c r="AF49" s="1">
        <v>-3.8935041666667197E-2</v>
      </c>
      <c r="AG49" s="3">
        <f t="shared" si="101"/>
        <v>2.8099874999999996E-2</v>
      </c>
      <c r="AH49" s="11">
        <f t="shared" si="110"/>
        <v>0.87142804479698843</v>
      </c>
      <c r="AI49" s="3">
        <v>6.125122488870564E-3</v>
      </c>
      <c r="AJ49" s="11">
        <v>0</v>
      </c>
      <c r="AK49" s="11"/>
      <c r="AN49" s="7">
        <v>5.5</v>
      </c>
      <c r="AO49" s="7">
        <v>4.75</v>
      </c>
      <c r="AP49" s="11">
        <v>3.4400000000000283E-4</v>
      </c>
      <c r="AQ49" s="11">
        <v>-6.0313333333333833E-3</v>
      </c>
      <c r="AR49" s="11">
        <v>3.4954500000000284E-2</v>
      </c>
      <c r="AS49" s="1">
        <v>-3.8935041666667197E-2</v>
      </c>
      <c r="AT49" s="3">
        <f t="shared" si="102"/>
        <v>2.8099874999999996E-2</v>
      </c>
      <c r="AU49" s="11">
        <f t="shared" si="111"/>
        <v>0.87141724752887317</v>
      </c>
      <c r="AV49" s="3">
        <v>6.1250465966725259E-3</v>
      </c>
      <c r="AW49" s="11">
        <v>0</v>
      </c>
      <c r="AX49" s="11"/>
      <c r="BA49" s="7">
        <v>5.5</v>
      </c>
      <c r="BB49" s="7">
        <v>4.75</v>
      </c>
      <c r="BC49" s="11">
        <v>3.4400000000000283E-4</v>
      </c>
      <c r="BD49" s="11">
        <v>-6.0313333333333833E-3</v>
      </c>
      <c r="BE49" s="11">
        <v>3.4954500000000284E-2</v>
      </c>
      <c r="BF49" s="1">
        <v>-3.8935041666667197E-2</v>
      </c>
      <c r="BG49" s="3">
        <f t="shared" si="103"/>
        <v>2.8099874999999996E-2</v>
      </c>
      <c r="BH49" s="11">
        <f t="shared" si="112"/>
        <v>0.87141729697136772</v>
      </c>
      <c r="BI49" s="3">
        <v>6.1250469441955797E-3</v>
      </c>
      <c r="BJ49" s="11">
        <v>0</v>
      </c>
      <c r="BK49" s="11"/>
      <c r="BN49" s="7">
        <v>5.5</v>
      </c>
      <c r="BO49" s="7">
        <v>4.75</v>
      </c>
      <c r="BP49" s="11">
        <v>3.3150000000000291E-4</v>
      </c>
      <c r="BQ49" s="11">
        <v>-5.8032083333333841E-3</v>
      </c>
      <c r="BR49" s="11">
        <v>3.3583406250000294E-2</v>
      </c>
      <c r="BS49" s="1">
        <v>-3.6229768229167236E-2</v>
      </c>
      <c r="BT49" s="3">
        <f t="shared" si="104"/>
        <v>2.8085226562499996E-2</v>
      </c>
      <c r="BU49" s="11">
        <f t="shared" si="113"/>
        <v>0.87141904161010486</v>
      </c>
      <c r="BV49" s="3">
        <v>6.1219956244023283E-3</v>
      </c>
      <c r="BW49" s="11">
        <v>0</v>
      </c>
      <c r="BX49" s="11"/>
      <c r="CA49" s="7">
        <v>5.5</v>
      </c>
      <c r="CB49" s="7">
        <v>4.75</v>
      </c>
      <c r="CC49" s="11">
        <v>3.6900000000000268E-4</v>
      </c>
      <c r="CD49" s="11">
        <v>-6.4750833333333804E-3</v>
      </c>
      <c r="CE49" s="11">
        <v>3.750293750000027E-2</v>
      </c>
      <c r="CF49" s="1">
        <v>-4.3607307291667174E-2</v>
      </c>
      <c r="CG49" s="3">
        <f t="shared" si="105"/>
        <v>2.8179953125000018E-2</v>
      </c>
      <c r="CH49" s="11">
        <f t="shared" si="114"/>
        <v>0.87140931308004599</v>
      </c>
      <c r="CI49" s="3">
        <v>6.1454144825294427E-3</v>
      </c>
      <c r="CJ49" s="11">
        <v>0</v>
      </c>
      <c r="CK49" s="11"/>
      <c r="CN49" s="7">
        <v>5.5</v>
      </c>
      <c r="CO49" s="7">
        <v>4.75</v>
      </c>
      <c r="CP49" s="11">
        <v>3.2733333333333627E-4</v>
      </c>
      <c r="CQ49" s="11">
        <v>-5.7480000000000517E-3</v>
      </c>
      <c r="CR49" s="11">
        <v>3.3415958333333627E-2</v>
      </c>
      <c r="CS49" s="1">
        <v>-3.6233479166667193E-2</v>
      </c>
      <c r="CT49" s="3">
        <f t="shared" si="106"/>
        <v>2.813737500000002E-2</v>
      </c>
      <c r="CU49" s="11">
        <f t="shared" si="115"/>
        <v>0.87149892773369741</v>
      </c>
      <c r="CV49" s="3">
        <v>6.1303867229799127E-3</v>
      </c>
      <c r="CW49" s="11">
        <v>0</v>
      </c>
      <c r="CX49" s="11"/>
      <c r="DA49" s="7">
        <v>5.5</v>
      </c>
      <c r="DB49" s="7">
        <v>4.75</v>
      </c>
      <c r="DC49" s="11">
        <v>3.4816666666666947E-4</v>
      </c>
      <c r="DD49" s="11">
        <v>-6.0990416666667161E-3</v>
      </c>
      <c r="DE49" s="11">
        <v>3.5315697916666944E-2</v>
      </c>
      <c r="DF49" s="1">
        <v>-3.9569611979167169E-2</v>
      </c>
      <c r="DG49" s="3">
        <f t="shared" si="107"/>
        <v>2.809694531250001E-2</v>
      </c>
      <c r="DH49" s="11">
        <f t="shared" si="116"/>
        <v>0.87150432212022988</v>
      </c>
      <c r="DI49" s="3">
        <v>6.12531819808691E-3</v>
      </c>
      <c r="DJ49" s="11">
        <v>0</v>
      </c>
      <c r="DK49" s="11"/>
    </row>
    <row r="50" spans="1:115" x14ac:dyDescent="0.25">
      <c r="A50" s="7">
        <v>5.75</v>
      </c>
      <c r="B50" s="7">
        <v>4.75</v>
      </c>
      <c r="C50" s="11">
        <v>3.4400000000000283E-4</v>
      </c>
      <c r="D50" s="11">
        <v>-6.0313333333333833E-3</v>
      </c>
      <c r="E50" s="11">
        <v>3.4954500000000284E-2</v>
      </c>
      <c r="F50" s="1">
        <v>-3.8935041666667197E-2</v>
      </c>
      <c r="G50" s="3">
        <f t="shared" si="99"/>
        <v>2.8039999999999982E-2</v>
      </c>
      <c r="H50" s="11">
        <f t="shared" si="108"/>
        <v>0.86542430675364779</v>
      </c>
      <c r="I50" s="3">
        <v>6.0795787104347887E-3</v>
      </c>
      <c r="J50" s="11">
        <v>0</v>
      </c>
      <c r="K50" s="11"/>
      <c r="N50" s="7">
        <v>5.75</v>
      </c>
      <c r="O50" s="7">
        <v>4.75</v>
      </c>
      <c r="P50" s="11">
        <v>3.4400000000000283E-4</v>
      </c>
      <c r="Q50" s="11">
        <v>-6.0313333333333833E-3</v>
      </c>
      <c r="R50" s="11">
        <v>3.4954500000000284E-2</v>
      </c>
      <c r="S50" s="1">
        <v>-3.8935041666667197E-2</v>
      </c>
      <c r="T50" s="3">
        <f t="shared" si="100"/>
        <v>2.8039999999999982E-2</v>
      </c>
      <c r="U50" s="11">
        <f t="shared" si="109"/>
        <v>0.86538130038815841</v>
      </c>
      <c r="V50" s="3">
        <v>6.079276592061175E-3</v>
      </c>
      <c r="W50" s="11">
        <v>0</v>
      </c>
      <c r="AA50" s="7">
        <v>5.75</v>
      </c>
      <c r="AB50" s="7">
        <v>4.75</v>
      </c>
      <c r="AC50" s="11">
        <v>3.4400000000000283E-4</v>
      </c>
      <c r="AD50" s="11">
        <v>-6.0313333333333833E-3</v>
      </c>
      <c r="AE50" s="11">
        <v>3.4954500000000284E-2</v>
      </c>
      <c r="AF50" s="1">
        <v>-3.8935041666667197E-2</v>
      </c>
      <c r="AG50" s="3">
        <f t="shared" si="101"/>
        <v>2.8039999999999982E-2</v>
      </c>
      <c r="AH50" s="11">
        <f t="shared" si="110"/>
        <v>0.86534899514822827</v>
      </c>
      <c r="AI50" s="3">
        <v>6.0790496487602048E-3</v>
      </c>
      <c r="AJ50" s="11">
        <v>0</v>
      </c>
      <c r="AK50" s="11"/>
      <c r="AN50" s="7">
        <v>5.75</v>
      </c>
      <c r="AO50" s="7">
        <v>4.75</v>
      </c>
      <c r="AP50" s="11">
        <v>3.4400000000000283E-4</v>
      </c>
      <c r="AQ50" s="11">
        <v>-6.0313333333333833E-3</v>
      </c>
      <c r="AR50" s="11">
        <v>3.4954500000000284E-2</v>
      </c>
      <c r="AS50" s="1">
        <v>-3.8935041666667197E-2</v>
      </c>
      <c r="AT50" s="3">
        <f t="shared" si="102"/>
        <v>2.8039999999999982E-2</v>
      </c>
      <c r="AU50" s="11">
        <f t="shared" si="111"/>
        <v>0.86533827320145407</v>
      </c>
      <c r="AV50" s="3">
        <v>6.0789743274191768E-3</v>
      </c>
      <c r="AW50" s="11">
        <v>0</v>
      </c>
      <c r="AX50" s="11"/>
      <c r="BA50" s="7">
        <v>5.75</v>
      </c>
      <c r="BB50" s="7">
        <v>4.75</v>
      </c>
      <c r="BC50" s="11">
        <v>3.4400000000000283E-4</v>
      </c>
      <c r="BD50" s="11">
        <v>-6.0313333333333833E-3</v>
      </c>
      <c r="BE50" s="11">
        <v>3.4954500000000284E-2</v>
      </c>
      <c r="BF50" s="1">
        <v>-3.8935041666667197E-2</v>
      </c>
      <c r="BG50" s="3">
        <f t="shared" si="103"/>
        <v>2.8039999999999982E-2</v>
      </c>
      <c r="BH50" s="11">
        <f t="shared" si="112"/>
        <v>0.86533832229903962</v>
      </c>
      <c r="BI50" s="3">
        <v>6.078974672328181E-3</v>
      </c>
      <c r="BJ50" s="11">
        <v>0</v>
      </c>
      <c r="BK50" s="11"/>
      <c r="BN50" s="7">
        <v>5.75</v>
      </c>
      <c r="BO50" s="7">
        <v>4.75</v>
      </c>
      <c r="BP50" s="11">
        <v>3.3150000000000291E-4</v>
      </c>
      <c r="BQ50" s="11">
        <v>-5.8032083333333841E-3</v>
      </c>
      <c r="BR50" s="11">
        <v>3.3583406250000294E-2</v>
      </c>
      <c r="BS50" s="1">
        <v>-3.6229768229167236E-2</v>
      </c>
      <c r="BT50" s="3">
        <f t="shared" si="104"/>
        <v>2.8027499999999983E-2</v>
      </c>
      <c r="BU50" s="11">
        <f t="shared" si="113"/>
        <v>0.86534320164199618</v>
      </c>
      <c r="BV50" s="3">
        <v>6.0758399681086457E-3</v>
      </c>
      <c r="BW50" s="11">
        <v>0</v>
      </c>
      <c r="BX50" s="11"/>
      <c r="CA50" s="7">
        <v>5.75</v>
      </c>
      <c r="CB50" s="7">
        <v>4.75</v>
      </c>
      <c r="CC50" s="11">
        <v>3.6900000000000268E-4</v>
      </c>
      <c r="CD50" s="11">
        <v>-6.4750833333333804E-3</v>
      </c>
      <c r="CE50" s="11">
        <v>3.750293750000027E-2</v>
      </c>
      <c r="CF50" s="1">
        <v>-4.3607307291667174E-2</v>
      </c>
      <c r="CG50" s="3">
        <f t="shared" si="105"/>
        <v>2.8102499999999975E-2</v>
      </c>
      <c r="CH50" s="11">
        <f t="shared" si="114"/>
        <v>0.86531319178431443</v>
      </c>
      <c r="CI50" s="3">
        <v>6.0961212957315325E-3</v>
      </c>
      <c r="CJ50" s="11">
        <v>0</v>
      </c>
      <c r="CK50" s="11"/>
      <c r="CN50" s="7">
        <v>5.75</v>
      </c>
      <c r="CO50" s="7">
        <v>4.75</v>
      </c>
      <c r="CP50" s="11">
        <v>3.2733333333333627E-4</v>
      </c>
      <c r="CQ50" s="11">
        <v>-5.7480000000000517E-3</v>
      </c>
      <c r="CR50" s="11">
        <v>3.3415958333333627E-2</v>
      </c>
      <c r="CS50" s="1">
        <v>-3.6233479166667193E-2</v>
      </c>
      <c r="CT50" s="3">
        <f t="shared" si="106"/>
        <v>2.809416666666667E-2</v>
      </c>
      <c r="CU50" s="11">
        <f t="shared" si="115"/>
        <v>0.86541132697461431</v>
      </c>
      <c r="CV50" s="3">
        <v>6.0876007590830892E-3</v>
      </c>
      <c r="CW50" s="11">
        <v>0</v>
      </c>
      <c r="CX50" s="11"/>
      <c r="DA50" s="7">
        <v>5.75</v>
      </c>
      <c r="DB50" s="7">
        <v>4.75</v>
      </c>
      <c r="DC50" s="11">
        <v>3.4816666666666947E-4</v>
      </c>
      <c r="DD50" s="11">
        <v>-6.0990416666667161E-3</v>
      </c>
      <c r="DE50" s="11">
        <v>3.5315697916666944E-2</v>
      </c>
      <c r="DF50" s="1">
        <v>-3.9569611979167169E-2</v>
      </c>
      <c r="DG50" s="3">
        <f t="shared" si="107"/>
        <v>2.8035833333333343E-2</v>
      </c>
      <c r="DH50" s="11">
        <f t="shared" si="116"/>
        <v>0.86542536979841089</v>
      </c>
      <c r="DI50" s="3">
        <v>6.0789523218190119E-3</v>
      </c>
      <c r="DJ50" s="11">
        <v>0</v>
      </c>
      <c r="DK50" s="11"/>
    </row>
    <row r="51" spans="1:115" x14ac:dyDescent="0.25">
      <c r="A51" s="7">
        <v>6</v>
      </c>
      <c r="B51" s="7">
        <v>4.75</v>
      </c>
      <c r="C51" s="11">
        <v>3.4400000000000283E-4</v>
      </c>
      <c r="D51" s="11">
        <v>-6.0313333333333833E-3</v>
      </c>
      <c r="E51" s="11">
        <v>3.4954500000000284E-2</v>
      </c>
      <c r="F51" s="1">
        <v>-3.8935041666667197E-2</v>
      </c>
      <c r="G51" s="3">
        <f t="shared" si="99"/>
        <v>2.7967958333333348E-2</v>
      </c>
      <c r="H51" s="11">
        <f t="shared" si="108"/>
        <v>0.85939991336098731</v>
      </c>
      <c r="I51" s="3">
        <v>6.0243933926605172E-3</v>
      </c>
      <c r="J51" s="11">
        <v>0.85939991336098731</v>
      </c>
      <c r="K51" s="11"/>
      <c r="N51" s="7">
        <v>6</v>
      </c>
      <c r="O51" s="7">
        <v>4.75</v>
      </c>
      <c r="P51" s="11">
        <v>3.4400000000000283E-4</v>
      </c>
      <c r="Q51" s="11">
        <v>-6.0313333333333833E-3</v>
      </c>
      <c r="R51" s="11">
        <v>3.4954500000000284E-2</v>
      </c>
      <c r="S51" s="1">
        <v>-3.8935041666667197E-2</v>
      </c>
      <c r="T51" s="3">
        <f t="shared" si="100"/>
        <v>2.7967958333333348E-2</v>
      </c>
      <c r="U51" s="11">
        <f t="shared" si="109"/>
        <v>0.85935720637149426</v>
      </c>
      <c r="V51" s="3">
        <v>6.0240940166641707E-3</v>
      </c>
      <c r="W51" s="11">
        <v>0.85935720637149426</v>
      </c>
      <c r="AA51" s="7">
        <v>6</v>
      </c>
      <c r="AB51" s="7">
        <v>4.75</v>
      </c>
      <c r="AC51" s="11">
        <v>3.4400000000000283E-4</v>
      </c>
      <c r="AD51" s="11">
        <v>-6.0313333333333833E-3</v>
      </c>
      <c r="AE51" s="11">
        <v>3.4954500000000284E-2</v>
      </c>
      <c r="AF51" s="1">
        <v>-3.8935041666667197E-2</v>
      </c>
      <c r="AG51" s="3">
        <f t="shared" si="101"/>
        <v>2.7967958333333348E-2</v>
      </c>
      <c r="AH51" s="11">
        <f t="shared" si="110"/>
        <v>0.8593251260148641</v>
      </c>
      <c r="AI51" s="3">
        <v>6.0238691333641932E-3</v>
      </c>
      <c r="AJ51" s="11">
        <v>0.8593251260148641</v>
      </c>
      <c r="AK51" s="11"/>
      <c r="AN51" s="7">
        <v>6</v>
      </c>
      <c r="AO51" s="7">
        <v>4.75</v>
      </c>
      <c r="AP51" s="11">
        <v>3.4400000000000283E-4</v>
      </c>
      <c r="AQ51" s="11">
        <v>-6.0313333333333833E-3</v>
      </c>
      <c r="AR51" s="11">
        <v>3.4954500000000284E-2</v>
      </c>
      <c r="AS51" s="1">
        <v>-3.8935041666667197E-2</v>
      </c>
      <c r="AT51" s="3">
        <f t="shared" si="102"/>
        <v>2.7967958333333348E-2</v>
      </c>
      <c r="AU51" s="11">
        <f t="shared" si="111"/>
        <v>0.85931447870572697</v>
      </c>
      <c r="AV51" s="3">
        <v>6.0237944957271423E-3</v>
      </c>
      <c r="AW51" s="11">
        <v>0.85931447870572697</v>
      </c>
      <c r="AX51" s="11"/>
      <c r="BA51" s="7">
        <v>6</v>
      </c>
      <c r="BB51" s="7">
        <v>4.75</v>
      </c>
      <c r="BC51" s="11">
        <v>3.4400000000000283E-4</v>
      </c>
      <c r="BD51" s="11">
        <v>-6.0313333333333833E-3</v>
      </c>
      <c r="BE51" s="11">
        <v>3.4954500000000284E-2</v>
      </c>
      <c r="BF51" s="1">
        <v>-3.8935041666667197E-2</v>
      </c>
      <c r="BG51" s="3">
        <f t="shared" si="103"/>
        <v>2.7967958333333348E-2</v>
      </c>
      <c r="BH51" s="11">
        <f t="shared" si="112"/>
        <v>0.85931452746153425</v>
      </c>
      <c r="BI51" s="3">
        <v>6.0237948375053514E-3</v>
      </c>
      <c r="BJ51" s="11">
        <v>0.85931452746153425</v>
      </c>
      <c r="BK51" s="11"/>
      <c r="BN51" s="7">
        <v>6</v>
      </c>
      <c r="BO51" s="7">
        <v>4.75</v>
      </c>
      <c r="BP51" s="11">
        <v>3.3150000000000291E-4</v>
      </c>
      <c r="BQ51" s="11">
        <v>-5.8032083333333841E-3</v>
      </c>
      <c r="BR51" s="11">
        <v>3.3583406250000294E-2</v>
      </c>
      <c r="BS51" s="1">
        <v>-3.6229768229167236E-2</v>
      </c>
      <c r="BT51" s="3">
        <f t="shared" si="104"/>
        <v>2.7959169270833334E-2</v>
      </c>
      <c r="BU51" s="11">
        <f t="shared" si="113"/>
        <v>0.85932203952629038</v>
      </c>
      <c r="BV51" s="3">
        <v>6.0211621157057723E-3</v>
      </c>
      <c r="BW51" s="11">
        <v>0.85932203952629038</v>
      </c>
      <c r="BX51" s="11"/>
      <c r="CA51" s="7">
        <v>6</v>
      </c>
      <c r="CB51" s="7">
        <v>4.75</v>
      </c>
      <c r="CC51" s="11">
        <v>3.6900000000000268E-4</v>
      </c>
      <c r="CD51" s="11">
        <v>-6.4750833333333804E-3</v>
      </c>
      <c r="CE51" s="11">
        <v>3.750293750000027E-2</v>
      </c>
      <c r="CF51" s="1">
        <v>-4.3607307291667174E-2</v>
      </c>
      <c r="CG51" s="3">
        <f t="shared" si="105"/>
        <v>2.8011317708333316E-2</v>
      </c>
      <c r="CH51" s="11">
        <f t="shared" si="114"/>
        <v>0.8592762391565899</v>
      </c>
      <c r="CI51" s="3">
        <v>6.0369526277245112E-3</v>
      </c>
      <c r="CJ51" s="11">
        <v>0.8592762391565899</v>
      </c>
      <c r="CK51" s="11"/>
      <c r="CN51" s="7">
        <v>6</v>
      </c>
      <c r="CO51" s="7">
        <v>4.75</v>
      </c>
      <c r="CP51" s="11">
        <v>3.2733333333333627E-4</v>
      </c>
      <c r="CQ51" s="11">
        <v>-5.7480000000000517E-3</v>
      </c>
      <c r="CR51" s="11">
        <v>3.3415958333333627E-2</v>
      </c>
      <c r="CS51" s="1">
        <v>-3.6233479166667193E-2</v>
      </c>
      <c r="CT51" s="3">
        <f t="shared" si="106"/>
        <v>2.8038270833333323E-2</v>
      </c>
      <c r="CU51" s="11">
        <f t="shared" si="115"/>
        <v>0.85937546757081951</v>
      </c>
      <c r="CV51" s="3">
        <v>6.0358594037948007E-3</v>
      </c>
      <c r="CW51" s="11">
        <v>0.85937546757081951</v>
      </c>
      <c r="CX51" s="11"/>
      <c r="DA51" s="7">
        <v>6</v>
      </c>
      <c r="DB51" s="7">
        <v>4.75</v>
      </c>
      <c r="DC51" s="11">
        <v>3.4816666666666947E-4</v>
      </c>
      <c r="DD51" s="11">
        <v>-6.0990416666667161E-3</v>
      </c>
      <c r="DE51" s="11">
        <v>3.5315697916666944E-2</v>
      </c>
      <c r="DF51" s="1">
        <v>-3.9569611979167169E-2</v>
      </c>
      <c r="DG51" s="3">
        <f t="shared" si="107"/>
        <v>2.7963075520833325E-2</v>
      </c>
      <c r="DH51" s="11">
        <f t="shared" si="116"/>
        <v>0.85940185798421043</v>
      </c>
      <c r="DI51" s="3">
        <v>6.0235118142005833E-3</v>
      </c>
      <c r="DJ51" s="11">
        <v>0.85940185798421043</v>
      </c>
      <c r="DK51" s="11"/>
    </row>
    <row r="52" spans="1:115" x14ac:dyDescent="0.25">
      <c r="A52" s="7">
        <v>6.25</v>
      </c>
      <c r="B52" s="7">
        <v>4.75</v>
      </c>
      <c r="C52" s="11">
        <v>3.4400000000000283E-4</v>
      </c>
      <c r="D52" s="11">
        <v>-6.0313333333333833E-3</v>
      </c>
      <c r="E52" s="11">
        <v>3.4954500000000284E-2</v>
      </c>
      <c r="F52" s="1">
        <v>-3.8935041666667197E-2</v>
      </c>
      <c r="G52" s="3">
        <f t="shared" si="99"/>
        <v>2.7915999999999996E-2</v>
      </c>
      <c r="H52" s="11">
        <f t="shared" si="108"/>
        <v>0.85343272066800091</v>
      </c>
      <c r="I52" s="3">
        <v>5.9671926929864916E-3</v>
      </c>
      <c r="J52" s="11">
        <v>0</v>
      </c>
      <c r="K52" s="11"/>
      <c r="N52" s="7">
        <v>6.25</v>
      </c>
      <c r="O52" s="7">
        <v>4.75</v>
      </c>
      <c r="P52" s="11">
        <v>3.4400000000000283E-4</v>
      </c>
      <c r="Q52" s="11">
        <v>-6.0313333333333833E-3</v>
      </c>
      <c r="R52" s="11">
        <v>3.4954500000000284E-2</v>
      </c>
      <c r="S52" s="1">
        <v>-3.8935041666667197E-2</v>
      </c>
      <c r="T52" s="3">
        <f t="shared" si="100"/>
        <v>2.7915999999999996E-2</v>
      </c>
      <c r="U52" s="11">
        <f t="shared" si="109"/>
        <v>0.85339031021197465</v>
      </c>
      <c r="V52" s="3">
        <v>5.9668961595197318E-3</v>
      </c>
      <c r="W52" s="11">
        <v>0</v>
      </c>
      <c r="AA52" s="7">
        <v>6.25</v>
      </c>
      <c r="AB52" s="7">
        <v>4.75</v>
      </c>
      <c r="AC52" s="11">
        <v>3.4400000000000283E-4</v>
      </c>
      <c r="AD52" s="11">
        <v>-6.0313333333333833E-3</v>
      </c>
      <c r="AE52" s="11">
        <v>3.4954500000000284E-2</v>
      </c>
      <c r="AF52" s="1">
        <v>-3.8935041666667197E-2</v>
      </c>
      <c r="AG52" s="3">
        <f t="shared" si="101"/>
        <v>2.7915999999999996E-2</v>
      </c>
      <c r="AH52" s="11">
        <f t="shared" si="110"/>
        <v>0.8533584526034117</v>
      </c>
      <c r="AI52" s="3">
        <v>5.9666734114525097E-3</v>
      </c>
      <c r="AJ52" s="11">
        <v>0</v>
      </c>
      <c r="AK52" s="11"/>
      <c r="AN52" s="7">
        <v>6.25</v>
      </c>
      <c r="AO52" s="7">
        <v>4.75</v>
      </c>
      <c r="AP52" s="11">
        <v>3.4400000000000283E-4</v>
      </c>
      <c r="AQ52" s="11">
        <v>-6.0313333333333833E-3</v>
      </c>
      <c r="AR52" s="11">
        <v>3.4954500000000284E-2</v>
      </c>
      <c r="AS52" s="1">
        <v>-3.8935041666667197E-2</v>
      </c>
      <c r="AT52" s="3">
        <f t="shared" si="102"/>
        <v>2.7915999999999996E-2</v>
      </c>
      <c r="AU52" s="11">
        <f t="shared" si="111"/>
        <v>0.85334787922323851</v>
      </c>
      <c r="AV52" s="3">
        <v>5.9665994824884784E-3</v>
      </c>
      <c r="AW52" s="11">
        <v>0</v>
      </c>
      <c r="AX52" s="11"/>
      <c r="BA52" s="7">
        <v>6.25</v>
      </c>
      <c r="BB52" s="7">
        <v>4.75</v>
      </c>
      <c r="BC52" s="11">
        <v>3.4400000000000283E-4</v>
      </c>
      <c r="BD52" s="11">
        <v>-6.0313333333333833E-3</v>
      </c>
      <c r="BE52" s="11">
        <v>3.4954500000000284E-2</v>
      </c>
      <c r="BF52" s="1">
        <v>-3.8935041666667197E-2</v>
      </c>
      <c r="BG52" s="3">
        <f t="shared" si="103"/>
        <v>2.7915999999999996E-2</v>
      </c>
      <c r="BH52" s="11">
        <f t="shared" si="112"/>
        <v>0.85334792764051282</v>
      </c>
      <c r="BI52" s="3">
        <v>5.9665998210215558E-3</v>
      </c>
      <c r="BJ52" s="11">
        <v>0</v>
      </c>
      <c r="BK52" s="11"/>
      <c r="BN52" s="7">
        <v>6.25</v>
      </c>
      <c r="BO52" s="7">
        <v>4.75</v>
      </c>
      <c r="BP52" s="11">
        <v>3.3150000000000291E-4</v>
      </c>
      <c r="BQ52" s="11">
        <v>-5.8032083333333841E-3</v>
      </c>
      <c r="BR52" s="11">
        <v>3.3583406250000294E-2</v>
      </c>
      <c r="BS52" s="1">
        <v>-3.6229768229167236E-2</v>
      </c>
      <c r="BT52" s="3">
        <f t="shared" si="104"/>
        <v>2.7911312500000007E-2</v>
      </c>
      <c r="BU52" s="11">
        <f t="shared" si="113"/>
        <v>0.85335724957892301</v>
      </c>
      <c r="BV52" s="3">
        <v>5.9647899473674691E-3</v>
      </c>
      <c r="BW52" s="11">
        <v>0</v>
      </c>
      <c r="BX52" s="11"/>
      <c r="CA52" s="7">
        <v>6.25</v>
      </c>
      <c r="CB52" s="7">
        <v>4.75</v>
      </c>
      <c r="CC52" s="11">
        <v>3.6900000000000268E-4</v>
      </c>
      <c r="CD52" s="11">
        <v>-6.4750833333333804E-3</v>
      </c>
      <c r="CE52" s="11">
        <v>3.750293750000027E-2</v>
      </c>
      <c r="CF52" s="1">
        <v>-4.3607307291667174E-2</v>
      </c>
      <c r="CG52" s="3">
        <f t="shared" si="105"/>
        <v>2.7941000000000021E-2</v>
      </c>
      <c r="CH52" s="11">
        <f t="shared" si="114"/>
        <v>0.8533007197660607</v>
      </c>
      <c r="CI52" s="3">
        <v>5.9755193905291553E-3</v>
      </c>
      <c r="CJ52" s="11">
        <v>0</v>
      </c>
      <c r="CK52" s="11"/>
      <c r="CN52" s="7">
        <v>6.25</v>
      </c>
      <c r="CO52" s="7">
        <v>4.75</v>
      </c>
      <c r="CP52" s="11">
        <v>3.2733333333333627E-4</v>
      </c>
      <c r="CQ52" s="11">
        <v>-5.7480000000000517E-3</v>
      </c>
      <c r="CR52" s="11">
        <v>3.3415958333333627E-2</v>
      </c>
      <c r="CS52" s="1">
        <v>-3.6233479166667193E-2</v>
      </c>
      <c r="CT52" s="3">
        <f t="shared" si="106"/>
        <v>2.8000374999999994E-2</v>
      </c>
      <c r="CU52" s="11">
        <f t="shared" si="115"/>
        <v>0.85339354771624776</v>
      </c>
      <c r="CV52" s="3">
        <v>5.9819198545718296E-3</v>
      </c>
      <c r="CW52" s="11">
        <v>0</v>
      </c>
      <c r="CX52" s="11"/>
      <c r="DA52" s="7">
        <v>6.25</v>
      </c>
      <c r="DB52" s="7">
        <v>4.75</v>
      </c>
      <c r="DC52" s="11">
        <v>3.4816666666666947E-4</v>
      </c>
      <c r="DD52" s="11">
        <v>-6.0990416666667161E-3</v>
      </c>
      <c r="DE52" s="11">
        <v>3.5315697916666944E-2</v>
      </c>
      <c r="DF52" s="1">
        <v>-3.9569611979167169E-2</v>
      </c>
      <c r="DG52" s="3">
        <f t="shared" si="107"/>
        <v>2.791131249999998E-2</v>
      </c>
      <c r="DH52" s="11">
        <f t="shared" si="116"/>
        <v>0.85343568634683764</v>
      </c>
      <c r="DI52" s="3">
        <v>5.9661716373727112E-3</v>
      </c>
      <c r="DJ52" s="11">
        <v>0</v>
      </c>
      <c r="DK52" s="11"/>
    </row>
    <row r="53" spans="1:115" x14ac:dyDescent="0.25">
      <c r="A53" s="7">
        <v>6.5</v>
      </c>
      <c r="B53" s="7">
        <v>4.75</v>
      </c>
      <c r="C53" s="11">
        <v>3.4400000000000283E-4</v>
      </c>
      <c r="D53" s="11">
        <v>-6.0313333333333833E-3</v>
      </c>
      <c r="E53" s="11">
        <v>3.4954500000000284E-2</v>
      </c>
      <c r="F53" s="1">
        <v>-3.8935041666667197E-2</v>
      </c>
      <c r="G53" s="3">
        <f t="shared" si="99"/>
        <v>2.7916374999999966E-2</v>
      </c>
      <c r="H53" s="11">
        <f t="shared" si="108"/>
        <v>0.84751789329072491</v>
      </c>
      <c r="I53" s="3">
        <v>5.9148273772759684E-3</v>
      </c>
      <c r="J53" s="11">
        <v>0</v>
      </c>
      <c r="K53" s="11"/>
      <c r="N53" s="7">
        <v>6.5</v>
      </c>
      <c r="O53" s="7">
        <v>4.75</v>
      </c>
      <c r="P53" s="11">
        <v>3.4400000000000283E-4</v>
      </c>
      <c r="Q53" s="11">
        <v>-6.0313333333333833E-3</v>
      </c>
      <c r="R53" s="11">
        <v>3.4954500000000284E-2</v>
      </c>
      <c r="S53" s="1">
        <v>-3.8935041666667197E-2</v>
      </c>
      <c r="T53" s="3">
        <f t="shared" si="100"/>
        <v>2.7916374999999966E-2</v>
      </c>
      <c r="U53" s="11">
        <f t="shared" si="109"/>
        <v>0.84747577676592523</v>
      </c>
      <c r="V53" s="3">
        <v>5.9145334460493915E-3</v>
      </c>
      <c r="W53" s="11">
        <v>0</v>
      </c>
      <c r="AA53" s="7">
        <v>6.5</v>
      </c>
      <c r="AB53" s="7">
        <v>4.75</v>
      </c>
      <c r="AC53" s="11">
        <v>3.4400000000000283E-4</v>
      </c>
      <c r="AD53" s="11">
        <v>-6.0313333333333833E-3</v>
      </c>
      <c r="AE53" s="11">
        <v>3.4954500000000284E-2</v>
      </c>
      <c r="AF53" s="1">
        <v>-3.8935041666667197E-2</v>
      </c>
      <c r="AG53" s="3">
        <f t="shared" si="101"/>
        <v>2.7916374999999966E-2</v>
      </c>
      <c r="AH53" s="11">
        <f t="shared" si="110"/>
        <v>0.84744413995069579</v>
      </c>
      <c r="AI53" s="3">
        <v>5.9143126527159053E-3</v>
      </c>
      <c r="AJ53" s="11">
        <v>0</v>
      </c>
      <c r="AK53" s="11"/>
      <c r="AN53" s="7">
        <v>6.5</v>
      </c>
      <c r="AO53" s="7">
        <v>4.75</v>
      </c>
      <c r="AP53" s="11">
        <v>3.4400000000000283E-4</v>
      </c>
      <c r="AQ53" s="11">
        <v>-6.0313333333333833E-3</v>
      </c>
      <c r="AR53" s="11">
        <v>3.4954500000000284E-2</v>
      </c>
      <c r="AS53" s="1">
        <v>-3.8935041666667197E-2</v>
      </c>
      <c r="AT53" s="3">
        <f t="shared" si="102"/>
        <v>2.7916374999999966E-2</v>
      </c>
      <c r="AU53" s="11">
        <f t="shared" si="111"/>
        <v>0.84743363985072029</v>
      </c>
      <c r="AV53" s="3">
        <v>5.914239372518176E-3</v>
      </c>
      <c r="AW53" s="11">
        <v>0</v>
      </c>
      <c r="AX53" s="11"/>
      <c r="BA53" s="7">
        <v>6.5</v>
      </c>
      <c r="BB53" s="7">
        <v>4.75</v>
      </c>
      <c r="BC53" s="11">
        <v>3.4400000000000283E-4</v>
      </c>
      <c r="BD53" s="11">
        <v>-6.0313333333333833E-3</v>
      </c>
      <c r="BE53" s="11">
        <v>3.4954500000000284E-2</v>
      </c>
      <c r="BF53" s="1">
        <v>-3.8935041666667197E-2</v>
      </c>
      <c r="BG53" s="3">
        <f t="shared" si="103"/>
        <v>2.7916374999999966E-2</v>
      </c>
      <c r="BH53" s="11">
        <f t="shared" si="112"/>
        <v>0.84743368793243234</v>
      </c>
      <c r="BI53" s="3">
        <v>5.9142397080804449E-3</v>
      </c>
      <c r="BJ53" s="11">
        <v>0</v>
      </c>
      <c r="BK53" s="11"/>
      <c r="BN53" s="7">
        <v>6.5</v>
      </c>
      <c r="BO53" s="7">
        <v>4.75</v>
      </c>
      <c r="BP53" s="11">
        <v>3.3150000000000291E-4</v>
      </c>
      <c r="BQ53" s="11">
        <v>-5.8032083333333841E-3</v>
      </c>
      <c r="BR53" s="11">
        <v>3.3583406250000294E-2</v>
      </c>
      <c r="BS53" s="1">
        <v>-3.6229768229167236E-2</v>
      </c>
      <c r="BT53" s="3">
        <f t="shared" si="104"/>
        <v>2.7915007812500003E-2</v>
      </c>
      <c r="BU53" s="11">
        <f t="shared" si="113"/>
        <v>0.84744393147948494</v>
      </c>
      <c r="BV53" s="3">
        <v>5.9133180994381243E-3</v>
      </c>
      <c r="BW53" s="11">
        <v>0</v>
      </c>
      <c r="BX53" s="11"/>
      <c r="CA53" s="7">
        <v>6.5</v>
      </c>
      <c r="CB53" s="7">
        <v>4.75</v>
      </c>
      <c r="CC53" s="11">
        <v>3.6900000000000268E-4</v>
      </c>
      <c r="CD53" s="11">
        <v>-6.4750833333333804E-3</v>
      </c>
      <c r="CE53" s="11">
        <v>3.750293750000027E-2</v>
      </c>
      <c r="CF53" s="1">
        <v>-4.3607307291667174E-2</v>
      </c>
      <c r="CG53" s="3">
        <f t="shared" si="105"/>
        <v>2.7926140625000012E-2</v>
      </c>
      <c r="CH53" s="11">
        <f t="shared" si="114"/>
        <v>0.84738154780922625</v>
      </c>
      <c r="CI53" s="3">
        <v>5.9191719568344025E-3</v>
      </c>
      <c r="CJ53" s="11">
        <v>0</v>
      </c>
      <c r="CK53" s="11"/>
      <c r="CN53" s="7">
        <v>6.5</v>
      </c>
      <c r="CO53" s="7">
        <v>4.75</v>
      </c>
      <c r="CP53" s="11">
        <v>3.2733333333333627E-4</v>
      </c>
      <c r="CQ53" s="11">
        <v>-5.7480000000000517E-3</v>
      </c>
      <c r="CR53" s="11">
        <v>3.3415958333333627E-2</v>
      </c>
      <c r="CS53" s="1">
        <v>-3.6233479166667193E-2</v>
      </c>
      <c r="CT53" s="3">
        <f t="shared" si="106"/>
        <v>2.8011166666666698E-2</v>
      </c>
      <c r="CU53" s="11">
        <f t="shared" si="115"/>
        <v>0.84746123958962905</v>
      </c>
      <c r="CV53" s="3">
        <v>5.9323081266186139E-3</v>
      </c>
      <c r="CW53" s="11">
        <v>0</v>
      </c>
      <c r="CX53" s="11"/>
      <c r="DA53" s="7">
        <v>6.5</v>
      </c>
      <c r="DB53" s="7">
        <v>4.75</v>
      </c>
      <c r="DC53" s="11">
        <v>3.4816666666666947E-4</v>
      </c>
      <c r="DD53" s="11">
        <v>-6.0990416666667161E-3</v>
      </c>
      <c r="DE53" s="11">
        <v>3.5315697916666944E-2</v>
      </c>
      <c r="DF53" s="1">
        <v>-3.9569611979167169E-2</v>
      </c>
      <c r="DG53" s="3">
        <f t="shared" si="107"/>
        <v>2.7913184895833332E-2</v>
      </c>
      <c r="DH53" s="11">
        <f t="shared" si="116"/>
        <v>0.84752182472174298</v>
      </c>
      <c r="DI53" s="3">
        <v>5.9138616250946942E-3</v>
      </c>
      <c r="DJ53" s="11">
        <v>0</v>
      </c>
      <c r="DK53" s="11"/>
    </row>
    <row r="54" spans="1:115" x14ac:dyDescent="0.25">
      <c r="A54" s="7">
        <v>6.75</v>
      </c>
      <c r="B54" s="7">
        <v>6.75</v>
      </c>
      <c r="C54" s="11">
        <v>-1.1288888888888944E-4</v>
      </c>
      <c r="D54" s="11">
        <v>2.7891111111111254E-3</v>
      </c>
      <c r="E54" s="11">
        <v>-2.167050000000012E-2</v>
      </c>
      <c r="F54" s="1">
        <v>8.1916958333333664E-2</v>
      </c>
      <c r="G54" s="3">
        <f t="shared" si="99"/>
        <v>2.8001333333333336E-2</v>
      </c>
      <c r="H54" s="11">
        <f t="shared" si="108"/>
        <v>0.84164398104290317</v>
      </c>
      <c r="I54" s="3">
        <v>5.8739122478216367E-3</v>
      </c>
      <c r="J54" s="11">
        <v>0</v>
      </c>
      <c r="K54" s="11"/>
      <c r="N54" s="7">
        <v>6.75</v>
      </c>
      <c r="O54" s="7">
        <v>6.75</v>
      </c>
      <c r="P54" s="11">
        <v>-1.1288888888888944E-4</v>
      </c>
      <c r="Q54" s="11">
        <v>2.7891111111111254E-3</v>
      </c>
      <c r="R54" s="11">
        <v>-2.167050000000012E-2</v>
      </c>
      <c r="S54" s="1">
        <v>8.1916958333333664E-2</v>
      </c>
      <c r="T54" s="3">
        <f t="shared" si="100"/>
        <v>2.8001333333333336E-2</v>
      </c>
      <c r="U54" s="11">
        <f t="shared" si="109"/>
        <v>0.84160215641609504</v>
      </c>
      <c r="V54" s="3">
        <v>5.8736203498300837E-3</v>
      </c>
      <c r="W54" s="11">
        <v>0</v>
      </c>
      <c r="AA54" s="7">
        <v>6.75</v>
      </c>
      <c r="AB54" s="7">
        <v>6.75</v>
      </c>
      <c r="AC54" s="11">
        <v>-1.1288888888888944E-4</v>
      </c>
      <c r="AD54" s="11">
        <v>2.7891111111111254E-3</v>
      </c>
      <c r="AE54" s="11">
        <v>-2.167050000000012E-2</v>
      </c>
      <c r="AF54" s="1">
        <v>8.1916958333333664E-2</v>
      </c>
      <c r="AG54" s="3">
        <f t="shared" si="101"/>
        <v>2.8001333333333336E-2</v>
      </c>
      <c r="AH54" s="11">
        <f t="shared" si="110"/>
        <v>0.84157073886688694</v>
      </c>
      <c r="AI54" s="3">
        <v>5.8734010838087658E-3</v>
      </c>
      <c r="AJ54" s="11">
        <v>0</v>
      </c>
      <c r="AK54" s="11"/>
      <c r="AN54" s="7">
        <v>6.75</v>
      </c>
      <c r="AO54" s="7">
        <v>6.75</v>
      </c>
      <c r="AP54" s="11">
        <v>-1.1288888888888944E-4</v>
      </c>
      <c r="AQ54" s="11">
        <v>2.7891111111111254E-3</v>
      </c>
      <c r="AR54" s="11">
        <v>-2.167050000000012E-2</v>
      </c>
      <c r="AS54" s="1">
        <v>8.1916958333333664E-2</v>
      </c>
      <c r="AT54" s="3">
        <f t="shared" si="102"/>
        <v>2.8001333333333336E-2</v>
      </c>
      <c r="AU54" s="11">
        <f t="shared" si="111"/>
        <v>0.84156031154020194</v>
      </c>
      <c r="AV54" s="3">
        <v>5.8733283105182688E-3</v>
      </c>
      <c r="AW54" s="11">
        <v>0</v>
      </c>
      <c r="AX54" s="11"/>
      <c r="BA54" s="7">
        <v>6.75</v>
      </c>
      <c r="BB54" s="7">
        <v>6.75</v>
      </c>
      <c r="BC54" s="11">
        <v>-1.1288888888888944E-4</v>
      </c>
      <c r="BD54" s="11">
        <v>2.7891111111111254E-3</v>
      </c>
      <c r="BE54" s="11">
        <v>-2.167050000000012E-2</v>
      </c>
      <c r="BF54" s="1">
        <v>8.1916958333333664E-2</v>
      </c>
      <c r="BG54" s="3">
        <f t="shared" si="103"/>
        <v>2.8001333333333336E-2</v>
      </c>
      <c r="BH54" s="11">
        <f t="shared" si="112"/>
        <v>0.84156035928867301</v>
      </c>
      <c r="BI54" s="3">
        <v>5.8733286437593251E-3</v>
      </c>
      <c r="BJ54" s="11">
        <v>0</v>
      </c>
      <c r="BK54" s="11"/>
      <c r="BN54" s="7">
        <v>6.75</v>
      </c>
      <c r="BO54" s="7">
        <v>6.75</v>
      </c>
      <c r="BP54" s="11">
        <v>-1.1288888888888944E-4</v>
      </c>
      <c r="BQ54" s="11">
        <v>2.7891111111111254E-3</v>
      </c>
      <c r="BR54" s="11">
        <v>-2.167050000000012E-2</v>
      </c>
      <c r="BS54" s="1">
        <v>8.1916958333333664E-2</v>
      </c>
      <c r="BT54" s="3">
        <f t="shared" si="104"/>
        <v>2.8001333333333336E-2</v>
      </c>
      <c r="BU54" s="11">
        <f t="shared" si="113"/>
        <v>0.84157081749321117</v>
      </c>
      <c r="BV54" s="3">
        <v>5.8731139862737512E-3</v>
      </c>
      <c r="BW54" s="11">
        <v>0</v>
      </c>
      <c r="BX54" s="11"/>
      <c r="CA54" s="7">
        <v>6.75</v>
      </c>
      <c r="CB54" s="7">
        <v>6.75</v>
      </c>
      <c r="CC54" s="11">
        <v>-1.156666666666672E-4</v>
      </c>
      <c r="CD54" s="11">
        <v>2.862027777777791E-3</v>
      </c>
      <c r="CE54" s="11">
        <v>-2.230018750000011E-2</v>
      </c>
      <c r="CF54" s="1">
        <v>8.3699380208333632E-2</v>
      </c>
      <c r="CG54" s="3">
        <f t="shared" si="105"/>
        <v>2.8001333333333336E-2</v>
      </c>
      <c r="CH54" s="11">
        <f t="shared" si="114"/>
        <v>0.841506540313811</v>
      </c>
      <c r="CI54" s="3">
        <v>5.8750074954151818E-3</v>
      </c>
      <c r="CJ54" s="11">
        <v>0</v>
      </c>
      <c r="CK54" s="11"/>
      <c r="CN54" s="7">
        <v>6.75</v>
      </c>
      <c r="CO54" s="7">
        <v>6.75</v>
      </c>
      <c r="CP54" s="11">
        <v>-1.0640740740740799E-4</v>
      </c>
      <c r="CQ54" s="11">
        <v>2.6245277777777929E-3</v>
      </c>
      <c r="CR54" s="11">
        <v>-2.0326229166666786E-2</v>
      </c>
      <c r="CS54" s="1">
        <v>7.8448598958333643E-2</v>
      </c>
      <c r="CT54" s="3">
        <f t="shared" si="106"/>
        <v>2.8101333333333339E-2</v>
      </c>
      <c r="CU54" s="11">
        <f t="shared" si="115"/>
        <v>0.8415679148088715</v>
      </c>
      <c r="CV54" s="3">
        <v>5.8933247807576149E-3</v>
      </c>
      <c r="CW54" s="11">
        <v>0</v>
      </c>
      <c r="CX54" s="11"/>
      <c r="DA54" s="7">
        <v>6.75</v>
      </c>
      <c r="DB54" s="7">
        <v>6.75</v>
      </c>
      <c r="DC54" s="11">
        <v>-1.1659259259259312E-4</v>
      </c>
      <c r="DD54" s="11">
        <v>2.8807777777777911E-3</v>
      </c>
      <c r="DE54" s="11">
        <v>-2.2385083333333441E-2</v>
      </c>
      <c r="DF54" s="1">
        <v>8.370289583333361E-2</v>
      </c>
      <c r="DG54" s="3">
        <f t="shared" si="107"/>
        <v>2.8001333333333336E-2</v>
      </c>
      <c r="DH54" s="11">
        <f t="shared" si="116"/>
        <v>0.84164855181074205</v>
      </c>
      <c r="DI54" s="3">
        <v>5.8732729110009003E-3</v>
      </c>
      <c r="DJ54" s="11">
        <v>0</v>
      </c>
      <c r="DK54" s="11"/>
    </row>
    <row r="55" spans="1:115" x14ac:dyDescent="0.25">
      <c r="A55" s="7">
        <v>7</v>
      </c>
      <c r="B55" s="7">
        <v>6.75</v>
      </c>
      <c r="C55" s="11">
        <v>-1.1288888888888944E-4</v>
      </c>
      <c r="D55" s="11">
        <v>2.7891111111111254E-3</v>
      </c>
      <c r="E55" s="11">
        <v>-2.167050000000012E-2</v>
      </c>
      <c r="F55" s="1">
        <v>8.1916958333333664E-2</v>
      </c>
      <c r="G55" s="3">
        <f t="shared" si="99"/>
        <v>2.8169013888888886E-2</v>
      </c>
      <c r="H55" s="11">
        <f t="shared" si="108"/>
        <v>0.83579315039243929</v>
      </c>
      <c r="I55" s="3">
        <v>5.8508306504638733E-3</v>
      </c>
      <c r="J55" s="11">
        <v>0.83579315039243929</v>
      </c>
      <c r="K55" s="11"/>
      <c r="N55" s="7">
        <v>7</v>
      </c>
      <c r="O55" s="7">
        <v>6.75</v>
      </c>
      <c r="P55" s="11">
        <v>-1.1288888888888944E-4</v>
      </c>
      <c r="Q55" s="11">
        <v>2.7891111111111254E-3</v>
      </c>
      <c r="R55" s="11">
        <v>-2.167050000000012E-2</v>
      </c>
      <c r="S55" s="1">
        <v>8.1916958333333664E-2</v>
      </c>
      <c r="T55" s="3">
        <f t="shared" si="100"/>
        <v>2.8169013888888886E-2</v>
      </c>
      <c r="U55" s="11">
        <f t="shared" si="109"/>
        <v>0.83575161651660668</v>
      </c>
      <c r="V55" s="3">
        <v>5.8505398994884196E-3</v>
      </c>
      <c r="W55" s="11">
        <v>0.83575161651660668</v>
      </c>
      <c r="AA55" s="7">
        <v>7</v>
      </c>
      <c r="AB55" s="7">
        <v>6.75</v>
      </c>
      <c r="AC55" s="11">
        <v>-1.1288888888888944E-4</v>
      </c>
      <c r="AD55" s="11">
        <v>2.7891111111111254E-3</v>
      </c>
      <c r="AE55" s="11">
        <v>-2.167050000000012E-2</v>
      </c>
      <c r="AF55" s="1">
        <v>8.1916958333333664E-2</v>
      </c>
      <c r="AG55" s="3">
        <f t="shared" si="101"/>
        <v>2.8169013888888886E-2</v>
      </c>
      <c r="AH55" s="11">
        <f t="shared" si="110"/>
        <v>0.8357204173718118</v>
      </c>
      <c r="AI55" s="3">
        <v>5.8503214950751401E-3</v>
      </c>
      <c r="AJ55" s="11">
        <v>0.8357204173718118</v>
      </c>
      <c r="AK55" s="11"/>
      <c r="AN55" s="7">
        <v>7</v>
      </c>
      <c r="AO55" s="7">
        <v>6.75</v>
      </c>
      <c r="AP55" s="11">
        <v>-1.1288888888888944E-4</v>
      </c>
      <c r="AQ55" s="11">
        <v>2.7891111111111254E-3</v>
      </c>
      <c r="AR55" s="11">
        <v>-2.167050000000012E-2</v>
      </c>
      <c r="AS55" s="1">
        <v>8.1916958333333664E-2</v>
      </c>
      <c r="AT55" s="3">
        <f t="shared" si="102"/>
        <v>2.8169013888888886E-2</v>
      </c>
      <c r="AU55" s="11">
        <f t="shared" si="111"/>
        <v>0.83571006253245395</v>
      </c>
      <c r="AV55" s="3">
        <v>5.8502490077480228E-3</v>
      </c>
      <c r="AW55" s="11">
        <v>0.83571006253245395</v>
      </c>
      <c r="AX55" s="11"/>
      <c r="BA55" s="7">
        <v>7</v>
      </c>
      <c r="BB55" s="7">
        <v>6.75</v>
      </c>
      <c r="BC55" s="11">
        <v>-1.1288888888888944E-4</v>
      </c>
      <c r="BD55" s="11">
        <v>2.7891111111111254E-3</v>
      </c>
      <c r="BE55" s="11">
        <v>-2.167050000000012E-2</v>
      </c>
      <c r="BF55" s="1">
        <v>8.1916958333333664E-2</v>
      </c>
      <c r="BG55" s="3">
        <f t="shared" si="103"/>
        <v>2.8169013888888886E-2</v>
      </c>
      <c r="BH55" s="11">
        <f t="shared" si="112"/>
        <v>0.83571010994899342</v>
      </c>
      <c r="BI55" s="3">
        <v>5.850249339679604E-3</v>
      </c>
      <c r="BJ55" s="11">
        <v>0.83571010994899342</v>
      </c>
      <c r="BK55" s="11"/>
      <c r="BN55" s="7">
        <v>7</v>
      </c>
      <c r="BO55" s="7">
        <v>6.75</v>
      </c>
      <c r="BP55" s="11">
        <v>-1.1288888888888944E-4</v>
      </c>
      <c r="BQ55" s="11">
        <v>2.7891111111111254E-3</v>
      </c>
      <c r="BR55" s="11">
        <v>-2.167050000000012E-2</v>
      </c>
      <c r="BS55" s="1">
        <v>8.1916958333333664E-2</v>
      </c>
      <c r="BT55" s="3">
        <f t="shared" si="104"/>
        <v>2.8169013888888886E-2</v>
      </c>
      <c r="BU55" s="11">
        <f t="shared" si="113"/>
        <v>0.83572049545155191</v>
      </c>
      <c r="BV55" s="3">
        <v>5.8503220416593477E-3</v>
      </c>
      <c r="BW55" s="11">
        <v>0.83572049545155191</v>
      </c>
      <c r="BX55" s="11"/>
      <c r="CA55" s="7">
        <v>7</v>
      </c>
      <c r="CB55" s="7">
        <v>6.75</v>
      </c>
      <c r="CC55" s="11">
        <v>-1.156666666666672E-4</v>
      </c>
      <c r="CD55" s="11">
        <v>2.862027777777791E-3</v>
      </c>
      <c r="CE55" s="11">
        <v>-2.230018750000011E-2</v>
      </c>
      <c r="CF55" s="1">
        <v>8.3699380208333632E-2</v>
      </c>
      <c r="CG55" s="3">
        <f t="shared" si="105"/>
        <v>2.8163762152777785E-2</v>
      </c>
      <c r="CH55" s="11">
        <f t="shared" si="114"/>
        <v>0.83565666510584846</v>
      </c>
      <c r="CI55" s="3">
        <v>5.8498752079626419E-3</v>
      </c>
      <c r="CJ55" s="11">
        <v>0.83565666510584846</v>
      </c>
      <c r="CK55" s="11"/>
      <c r="CN55" s="7">
        <v>7</v>
      </c>
      <c r="CO55" s="7">
        <v>6.75</v>
      </c>
      <c r="CP55" s="11">
        <v>-1.0640740740740799E-4</v>
      </c>
      <c r="CQ55" s="11">
        <v>2.6245277777777929E-3</v>
      </c>
      <c r="CR55" s="11">
        <v>-2.0326229166666786E-2</v>
      </c>
      <c r="CS55" s="1">
        <v>7.8448598958333643E-2</v>
      </c>
      <c r="CT55" s="3">
        <f t="shared" si="106"/>
        <v>2.8269115162037062E-2</v>
      </c>
      <c r="CU55" s="11">
        <f t="shared" si="115"/>
        <v>0.83569686576127655</v>
      </c>
      <c r="CV55" s="3">
        <v>5.8710490475948895E-3</v>
      </c>
      <c r="CW55" s="11">
        <v>0.83569686576127655</v>
      </c>
      <c r="CX55" s="11"/>
      <c r="DA55" s="7">
        <v>7</v>
      </c>
      <c r="DB55" s="7">
        <v>6.75</v>
      </c>
      <c r="DC55" s="11">
        <v>-1.1659259259259312E-4</v>
      </c>
      <c r="DD55" s="11">
        <v>2.8807777777777911E-3</v>
      </c>
      <c r="DE55" s="11">
        <v>-2.2385083333333441E-2</v>
      </c>
      <c r="DF55" s="1">
        <v>8.370289583333361E-2</v>
      </c>
      <c r="DG55" s="3">
        <f t="shared" si="107"/>
        <v>2.8174164351851841E-2</v>
      </c>
      <c r="DH55" s="11">
        <f t="shared" si="116"/>
        <v>0.83579768938581167</v>
      </c>
      <c r="DI55" s="3">
        <v>5.850862424930478E-3</v>
      </c>
      <c r="DJ55" s="11">
        <v>0.83579768938581167</v>
      </c>
      <c r="DK55" s="11"/>
    </row>
    <row r="56" spans="1:115" x14ac:dyDescent="0.25">
      <c r="A56" s="7">
        <v>7.25</v>
      </c>
      <c r="B56" s="7">
        <v>6.75</v>
      </c>
      <c r="C56" s="11">
        <v>-1.1288888888888944E-4</v>
      </c>
      <c r="D56" s="11">
        <v>2.7891111111111254E-3</v>
      </c>
      <c r="E56" s="11">
        <v>-2.167050000000012E-2</v>
      </c>
      <c r="F56" s="1">
        <v>8.1916958333333664E-2</v>
      </c>
      <c r="G56" s="3">
        <f t="shared" si="99"/>
        <v>2.8389000000000011E-2</v>
      </c>
      <c r="H56" s="11">
        <f t="shared" si="108"/>
        <v>0.82994844308734195</v>
      </c>
      <c r="I56" s="3">
        <v>5.8447073050972602E-3</v>
      </c>
      <c r="J56" s="11">
        <v>0</v>
      </c>
      <c r="K56" s="11"/>
      <c r="N56" s="7">
        <v>7.25</v>
      </c>
      <c r="O56" s="7">
        <v>6.75</v>
      </c>
      <c r="P56" s="11">
        <v>-1.1288888888888944E-4</v>
      </c>
      <c r="Q56" s="11">
        <v>2.7891111111111254E-3</v>
      </c>
      <c r="R56" s="11">
        <v>-2.167050000000012E-2</v>
      </c>
      <c r="S56" s="1">
        <v>8.1916958333333664E-2</v>
      </c>
      <c r="T56" s="3">
        <f t="shared" si="100"/>
        <v>2.8389000000000011E-2</v>
      </c>
      <c r="U56" s="11">
        <f t="shared" si="109"/>
        <v>0.82990719965819149</v>
      </c>
      <c r="V56" s="3">
        <v>5.8444168584151192E-3</v>
      </c>
      <c r="W56" s="11">
        <v>0</v>
      </c>
      <c r="AA56" s="7">
        <v>7.25</v>
      </c>
      <c r="AB56" s="7">
        <v>6.75</v>
      </c>
      <c r="AC56" s="11">
        <v>-1.1288888888888944E-4</v>
      </c>
      <c r="AD56" s="11">
        <v>2.7891111111111254E-3</v>
      </c>
      <c r="AE56" s="11">
        <v>-2.167050000000012E-2</v>
      </c>
      <c r="AF56" s="1">
        <v>8.1916958333333664E-2</v>
      </c>
      <c r="AG56" s="3">
        <f t="shared" si="101"/>
        <v>2.8389000000000011E-2</v>
      </c>
      <c r="AH56" s="11">
        <f t="shared" si="110"/>
        <v>0.82987621868923278</v>
      </c>
      <c r="AI56" s="3">
        <v>5.8441986825788972E-3</v>
      </c>
      <c r="AJ56" s="11">
        <v>0</v>
      </c>
      <c r="AK56" s="11"/>
      <c r="AN56" s="7">
        <v>7.25</v>
      </c>
      <c r="AO56" s="7">
        <v>6.75</v>
      </c>
      <c r="AP56" s="11">
        <v>-1.1288888888888944E-4</v>
      </c>
      <c r="AQ56" s="11">
        <v>2.7891111111111254E-3</v>
      </c>
      <c r="AR56" s="11">
        <v>-2.167050000000012E-2</v>
      </c>
      <c r="AS56" s="1">
        <v>8.1916958333333664E-2</v>
      </c>
      <c r="AT56" s="3">
        <f t="shared" si="102"/>
        <v>2.8389000000000011E-2</v>
      </c>
      <c r="AU56" s="11">
        <f t="shared" si="111"/>
        <v>0.82986593626133853</v>
      </c>
      <c r="AV56" s="3">
        <v>5.8441262711153557E-3</v>
      </c>
      <c r="AW56" s="11">
        <v>0</v>
      </c>
      <c r="AX56" s="11"/>
      <c r="BA56" s="7">
        <v>7.25</v>
      </c>
      <c r="BB56" s="7">
        <v>6.75</v>
      </c>
      <c r="BC56" s="11">
        <v>-1.1288888888888944E-4</v>
      </c>
      <c r="BD56" s="11">
        <v>2.7891111111111254E-3</v>
      </c>
      <c r="BE56" s="11">
        <v>-2.167050000000012E-2</v>
      </c>
      <c r="BF56" s="1">
        <v>8.1916958333333664E-2</v>
      </c>
      <c r="BG56" s="3">
        <f t="shared" si="103"/>
        <v>2.8389000000000011E-2</v>
      </c>
      <c r="BH56" s="11">
        <f t="shared" si="112"/>
        <v>0.8298659833462938</v>
      </c>
      <c r="BI56" s="3">
        <v>5.8441266026995455E-3</v>
      </c>
      <c r="BJ56" s="11">
        <v>0</v>
      </c>
      <c r="BK56" s="11"/>
      <c r="BN56" s="7">
        <v>7.25</v>
      </c>
      <c r="BO56" s="7">
        <v>6.75</v>
      </c>
      <c r="BP56" s="11">
        <v>-1.1288888888888944E-4</v>
      </c>
      <c r="BQ56" s="11">
        <v>2.7891111111111254E-3</v>
      </c>
      <c r="BR56" s="11">
        <v>-2.167050000000012E-2</v>
      </c>
      <c r="BS56" s="1">
        <v>8.1916958333333664E-2</v>
      </c>
      <c r="BT56" s="3">
        <f t="shared" si="104"/>
        <v>2.8389000000000011E-2</v>
      </c>
      <c r="BU56" s="11">
        <f t="shared" si="113"/>
        <v>0.82987629622296077</v>
      </c>
      <c r="BV56" s="3">
        <v>5.8441992285910623E-3</v>
      </c>
      <c r="BW56" s="11">
        <v>0</v>
      </c>
      <c r="BX56" s="11"/>
      <c r="CA56" s="7">
        <v>7.25</v>
      </c>
      <c r="CB56" s="7">
        <v>6.75</v>
      </c>
      <c r="CC56" s="11">
        <v>-1.156666666666672E-4</v>
      </c>
      <c r="CD56" s="11">
        <v>2.862027777777791E-3</v>
      </c>
      <c r="CE56" s="11">
        <v>-2.230018750000011E-2</v>
      </c>
      <c r="CF56" s="1">
        <v>8.3699380208333632E-2</v>
      </c>
      <c r="CG56" s="3">
        <f t="shared" si="105"/>
        <v>2.8380319444444441E-2</v>
      </c>
      <c r="CH56" s="11">
        <f t="shared" si="114"/>
        <v>0.82981399411551948</v>
      </c>
      <c r="CI56" s="3">
        <v>5.8426709903290092E-3</v>
      </c>
      <c r="CJ56" s="11">
        <v>0</v>
      </c>
      <c r="CK56" s="11"/>
      <c r="CN56" s="7">
        <v>7.25</v>
      </c>
      <c r="CO56" s="7">
        <v>6.75</v>
      </c>
      <c r="CP56" s="11">
        <v>-1.0640740740740799E-4</v>
      </c>
      <c r="CQ56" s="11">
        <v>2.6245277777777929E-3</v>
      </c>
      <c r="CR56" s="11">
        <v>-2.0326229166666786E-2</v>
      </c>
      <c r="CS56" s="1">
        <v>7.8448598958333643E-2</v>
      </c>
      <c r="CT56" s="3">
        <f t="shared" si="106"/>
        <v>2.8485643518518539E-2</v>
      </c>
      <c r="CU56" s="11">
        <f t="shared" si="115"/>
        <v>0.82983221018257181</v>
      </c>
      <c r="CV56" s="3">
        <v>5.8646555787047168E-3</v>
      </c>
      <c r="CW56" s="11">
        <v>0</v>
      </c>
      <c r="CX56" s="11"/>
      <c r="DA56" s="7">
        <v>7.25</v>
      </c>
      <c r="DB56" s="7">
        <v>6.75</v>
      </c>
      <c r="DC56" s="11">
        <v>-1.1659259259259312E-4</v>
      </c>
      <c r="DD56" s="11">
        <v>2.8807777777777911E-3</v>
      </c>
      <c r="DE56" s="11">
        <v>-2.2385083333333441E-2</v>
      </c>
      <c r="DF56" s="1">
        <v>8.370289583333361E-2</v>
      </c>
      <c r="DG56" s="3">
        <f t="shared" si="107"/>
        <v>2.840103703703703E-2</v>
      </c>
      <c r="DH56" s="11">
        <f t="shared" si="116"/>
        <v>0.82995188915352625</v>
      </c>
      <c r="DI56" s="3">
        <v>5.8458002322853428E-3</v>
      </c>
      <c r="DJ56" s="11">
        <v>0</v>
      </c>
      <c r="DK56" s="11"/>
    </row>
    <row r="57" spans="1:115" x14ac:dyDescent="0.25">
      <c r="A57" s="7">
        <v>7.5</v>
      </c>
      <c r="B57" s="7">
        <v>6.75</v>
      </c>
      <c r="C57" s="11">
        <v>-1.1288888888888944E-4</v>
      </c>
      <c r="D57" s="11">
        <v>2.7891111111111254E-3</v>
      </c>
      <c r="E57" s="11">
        <v>-2.167050000000012E-2</v>
      </c>
      <c r="F57" s="1">
        <v>8.1916958333333664E-2</v>
      </c>
      <c r="G57" s="3">
        <f t="shared" si="99"/>
        <v>2.8650708333333372E-2</v>
      </c>
      <c r="H57" s="11">
        <f t="shared" si="108"/>
        <v>0.82409960218572931</v>
      </c>
      <c r="I57" s="3">
        <v>5.8488409016126701E-3</v>
      </c>
      <c r="J57" s="11">
        <v>0</v>
      </c>
      <c r="K57" s="11"/>
      <c r="N57" s="7">
        <v>7.5</v>
      </c>
      <c r="O57" s="7">
        <v>6.75</v>
      </c>
      <c r="P57" s="11">
        <v>-1.1288888888888944E-4</v>
      </c>
      <c r="Q57" s="11">
        <v>2.7891111111111254E-3</v>
      </c>
      <c r="R57" s="11">
        <v>-2.167050000000012E-2</v>
      </c>
      <c r="S57" s="1">
        <v>8.1916958333333664E-2</v>
      </c>
      <c r="T57" s="3">
        <f t="shared" si="100"/>
        <v>2.8650708333333372E-2</v>
      </c>
      <c r="U57" s="11">
        <f t="shared" si="109"/>
        <v>0.82405864940867579</v>
      </c>
      <c r="V57" s="3">
        <v>5.8485502495157268E-3</v>
      </c>
      <c r="W57" s="11">
        <v>0</v>
      </c>
      <c r="AA57" s="7">
        <v>7.5</v>
      </c>
      <c r="AB57" s="7">
        <v>6.75</v>
      </c>
      <c r="AC57" s="11">
        <v>-1.1288888888888944E-4</v>
      </c>
      <c r="AD57" s="11">
        <v>2.7891111111111254E-3</v>
      </c>
      <c r="AE57" s="11">
        <v>-2.167050000000012E-2</v>
      </c>
      <c r="AF57" s="1">
        <v>8.1916958333333664E-2</v>
      </c>
      <c r="AG57" s="3">
        <f t="shared" si="101"/>
        <v>2.8650708333333372E-2</v>
      </c>
      <c r="AH57" s="11">
        <f t="shared" si="110"/>
        <v>0.8240278867698555</v>
      </c>
      <c r="AI57" s="3">
        <v>5.848331919377359E-3</v>
      </c>
      <c r="AJ57" s="11">
        <v>0</v>
      </c>
      <c r="AK57" s="11"/>
      <c r="AN57" s="7">
        <v>7.5</v>
      </c>
      <c r="AO57" s="7">
        <v>6.75</v>
      </c>
      <c r="AP57" s="11">
        <v>-1.1288888888888944E-4</v>
      </c>
      <c r="AQ57" s="11">
        <v>2.7891111111111254E-3</v>
      </c>
      <c r="AR57" s="11">
        <v>-2.167050000000012E-2</v>
      </c>
      <c r="AS57" s="1">
        <v>8.1916958333333664E-2</v>
      </c>
      <c r="AT57" s="3">
        <f t="shared" si="102"/>
        <v>2.8650708333333372E-2</v>
      </c>
      <c r="AU57" s="11">
        <f t="shared" si="111"/>
        <v>0.82401767680463689</v>
      </c>
      <c r="AV57" s="3">
        <v>5.8482594567017118E-3</v>
      </c>
      <c r="AW57" s="11">
        <v>0</v>
      </c>
      <c r="AX57" s="11"/>
      <c r="BA57" s="7">
        <v>7.5</v>
      </c>
      <c r="BB57" s="7">
        <v>6.75</v>
      </c>
      <c r="BC57" s="11">
        <v>-1.1288888888888944E-4</v>
      </c>
      <c r="BD57" s="11">
        <v>2.7891111111111254E-3</v>
      </c>
      <c r="BE57" s="11">
        <v>-2.167050000000012E-2</v>
      </c>
      <c r="BF57" s="1">
        <v>8.1916958333333664E-2</v>
      </c>
      <c r="BG57" s="3">
        <f t="shared" si="103"/>
        <v>2.8650708333333372E-2</v>
      </c>
      <c r="BH57" s="11">
        <f t="shared" si="112"/>
        <v>0.82401772355777347</v>
      </c>
      <c r="BI57" s="3">
        <v>5.8482597885204102E-3</v>
      </c>
      <c r="BJ57" s="11">
        <v>0</v>
      </c>
      <c r="BK57" s="11"/>
      <c r="BN57" s="7">
        <v>7.5</v>
      </c>
      <c r="BO57" s="7">
        <v>6.75</v>
      </c>
      <c r="BP57" s="11">
        <v>-1.1288888888888944E-4</v>
      </c>
      <c r="BQ57" s="11">
        <v>2.7891111111111254E-3</v>
      </c>
      <c r="BR57" s="11">
        <v>-2.167050000000012E-2</v>
      </c>
      <c r="BS57" s="1">
        <v>8.1916958333333664E-2</v>
      </c>
      <c r="BT57" s="3">
        <f t="shared" si="104"/>
        <v>2.8650708333333372E-2</v>
      </c>
      <c r="BU57" s="11">
        <f t="shared" si="113"/>
        <v>0.82402796375718512</v>
      </c>
      <c r="BV57" s="3">
        <v>5.8483324657756849E-3</v>
      </c>
      <c r="BW57" s="11">
        <v>0</v>
      </c>
      <c r="BX57" s="11"/>
      <c r="CA57" s="7">
        <v>7.5</v>
      </c>
      <c r="CB57" s="7">
        <v>6.75</v>
      </c>
      <c r="CC57" s="11">
        <v>-1.156666666666672E-4</v>
      </c>
      <c r="CD57" s="11">
        <v>2.862027777777791E-3</v>
      </c>
      <c r="CE57" s="11">
        <v>-2.230018750000011E-2</v>
      </c>
      <c r="CF57" s="1">
        <v>8.3699380208333632E-2</v>
      </c>
      <c r="CG57" s="3">
        <f t="shared" si="105"/>
        <v>2.8640161458333341E-2</v>
      </c>
      <c r="CH57" s="11">
        <f t="shared" si="114"/>
        <v>0.82396787623067269</v>
      </c>
      <c r="CI57" s="3">
        <v>5.8461178848467372E-3</v>
      </c>
      <c r="CJ57" s="11">
        <v>0</v>
      </c>
      <c r="CK57" s="11"/>
      <c r="CN57" s="7">
        <v>7.5</v>
      </c>
      <c r="CO57" s="7">
        <v>6.75</v>
      </c>
      <c r="CP57" s="11">
        <v>-1.0640740740740799E-4</v>
      </c>
      <c r="CQ57" s="11">
        <v>2.6245277777777929E-3</v>
      </c>
      <c r="CR57" s="11">
        <v>-2.0326229166666786E-2</v>
      </c>
      <c r="CS57" s="1">
        <v>7.8448598958333643E-2</v>
      </c>
      <c r="CT57" s="3">
        <f t="shared" si="106"/>
        <v>2.8740942708333356E-2</v>
      </c>
      <c r="CU57" s="11">
        <f t="shared" si="115"/>
        <v>0.82396442099050238</v>
      </c>
      <c r="CV57" s="3">
        <v>5.8677891920694957E-3</v>
      </c>
      <c r="CW57" s="11">
        <v>0</v>
      </c>
      <c r="CX57" s="11"/>
      <c r="DA57" s="7">
        <v>7.5</v>
      </c>
      <c r="DB57" s="7">
        <v>6.75</v>
      </c>
      <c r="DC57" s="11">
        <v>-1.1659259259259312E-4</v>
      </c>
      <c r="DD57" s="11">
        <v>2.8807777777777911E-3</v>
      </c>
      <c r="DE57" s="11">
        <v>-2.2385083333333441E-2</v>
      </c>
      <c r="DF57" s="1">
        <v>8.370289583333361E-2</v>
      </c>
      <c r="DG57" s="3">
        <f t="shared" si="107"/>
        <v>2.8671020833333352E-2</v>
      </c>
      <c r="DH57" s="11">
        <f t="shared" si="116"/>
        <v>0.82410056151109634</v>
      </c>
      <c r="DI57" s="3">
        <v>5.8513276424299147E-3</v>
      </c>
      <c r="DJ57" s="11">
        <v>0</v>
      </c>
      <c r="DK57" s="11"/>
    </row>
    <row r="58" spans="1:115" x14ac:dyDescent="0.25">
      <c r="A58" s="7">
        <v>7.75</v>
      </c>
      <c r="B58" s="7">
        <v>6.75</v>
      </c>
      <c r="C58" s="11">
        <v>-1.1288888888888944E-4</v>
      </c>
      <c r="D58" s="11">
        <v>2.7891111111111254E-3</v>
      </c>
      <c r="E58" s="11">
        <v>-2.167050000000012E-2</v>
      </c>
      <c r="F58" s="1">
        <v>8.1916958333333664E-2</v>
      </c>
      <c r="G58" s="3">
        <f t="shared" si="99"/>
        <v>2.894355555555557E-2</v>
      </c>
      <c r="H58" s="11">
        <f t="shared" si="108"/>
        <v>0.81823882172863993</v>
      </c>
      <c r="I58" s="3">
        <v>5.8607804570894057E-3</v>
      </c>
      <c r="J58" s="11">
        <v>0</v>
      </c>
      <c r="K58" s="11"/>
      <c r="N58" s="7">
        <v>7.75</v>
      </c>
      <c r="O58" s="7">
        <v>6.75</v>
      </c>
      <c r="P58" s="11">
        <v>-1.1288888888888944E-4</v>
      </c>
      <c r="Q58" s="11">
        <v>2.7891111111111254E-3</v>
      </c>
      <c r="R58" s="11">
        <v>-2.167050000000012E-2</v>
      </c>
      <c r="S58" s="1">
        <v>8.1916958333333664E-2</v>
      </c>
      <c r="T58" s="3">
        <f t="shared" si="100"/>
        <v>2.894355555555557E-2</v>
      </c>
      <c r="U58" s="11">
        <f t="shared" si="109"/>
        <v>0.8181981601970072</v>
      </c>
      <c r="V58" s="3">
        <v>5.8604892116686071E-3</v>
      </c>
      <c r="W58" s="11">
        <v>0</v>
      </c>
      <c r="AA58" s="7">
        <v>7.75</v>
      </c>
      <c r="AB58" s="7">
        <v>6.75</v>
      </c>
      <c r="AC58" s="11">
        <v>-1.1288888888888944E-4</v>
      </c>
      <c r="AD58" s="11">
        <v>2.7891111111111254E-3</v>
      </c>
      <c r="AE58" s="11">
        <v>-2.167050000000012E-2</v>
      </c>
      <c r="AF58" s="1">
        <v>8.1916958333333664E-2</v>
      </c>
      <c r="AG58" s="3">
        <f t="shared" si="101"/>
        <v>2.894355555555557E-2</v>
      </c>
      <c r="AH58" s="11">
        <f t="shared" si="110"/>
        <v>0.81816761633401447</v>
      </c>
      <c r="AI58" s="3">
        <v>5.8602704358411122E-3</v>
      </c>
      <c r="AJ58" s="11">
        <v>0</v>
      </c>
      <c r="AK58" s="11"/>
      <c r="AN58" s="7">
        <v>7.75</v>
      </c>
      <c r="AO58" s="7">
        <v>6.75</v>
      </c>
      <c r="AP58" s="11">
        <v>-1.1288888888888944E-4</v>
      </c>
      <c r="AQ58" s="11">
        <v>2.7891111111111254E-3</v>
      </c>
      <c r="AR58" s="11">
        <v>-2.167050000000012E-2</v>
      </c>
      <c r="AS58" s="1">
        <v>8.1916958333333664E-2</v>
      </c>
      <c r="AT58" s="3">
        <f t="shared" si="102"/>
        <v>2.894355555555557E-2</v>
      </c>
      <c r="AU58" s="11">
        <f t="shared" si="111"/>
        <v>0.8181574789793935</v>
      </c>
      <c r="AV58" s="3">
        <v>5.8601978252434831E-3</v>
      </c>
      <c r="AW58" s="11">
        <v>0</v>
      </c>
      <c r="AX58" s="11"/>
      <c r="BA58" s="7">
        <v>7.75</v>
      </c>
      <c r="BB58" s="7">
        <v>6.75</v>
      </c>
      <c r="BC58" s="11">
        <v>-1.1288888888888944E-4</v>
      </c>
      <c r="BD58" s="11">
        <v>2.7891111111111254E-3</v>
      </c>
      <c r="BE58" s="11">
        <v>-2.167050000000012E-2</v>
      </c>
      <c r="BF58" s="1">
        <v>8.1916958333333664E-2</v>
      </c>
      <c r="BG58" s="3">
        <f t="shared" si="103"/>
        <v>2.894355555555557E-2</v>
      </c>
      <c r="BH58" s="11">
        <f t="shared" si="112"/>
        <v>0.81815752540003395</v>
      </c>
      <c r="BI58" s="3">
        <v>5.8601981577395407E-3</v>
      </c>
      <c r="BJ58" s="11">
        <v>0</v>
      </c>
      <c r="BK58" s="11"/>
      <c r="BN58" s="7">
        <v>7.75</v>
      </c>
      <c r="BO58" s="7">
        <v>6.75</v>
      </c>
      <c r="BP58" s="11">
        <v>-1.1288888888888944E-4</v>
      </c>
      <c r="BQ58" s="11">
        <v>2.7891111111111254E-3</v>
      </c>
      <c r="BR58" s="11">
        <v>-2.167050000000012E-2</v>
      </c>
      <c r="BS58" s="1">
        <v>8.1916958333333664E-2</v>
      </c>
      <c r="BT58" s="3">
        <f t="shared" si="104"/>
        <v>2.894355555555557E-2</v>
      </c>
      <c r="BU58" s="11">
        <f t="shared" si="113"/>
        <v>0.81816769277383039</v>
      </c>
      <c r="BV58" s="3">
        <v>5.8602709833548297E-3</v>
      </c>
      <c r="BW58" s="11">
        <v>0</v>
      </c>
      <c r="BX58" s="11"/>
      <c r="CA58" s="7">
        <v>7.75</v>
      </c>
      <c r="CB58" s="7">
        <v>6.75</v>
      </c>
      <c r="CC58" s="11">
        <v>-1.156666666666672E-4</v>
      </c>
      <c r="CD58" s="11">
        <v>2.862027777777791E-3</v>
      </c>
      <c r="CE58" s="11">
        <v>-2.230018750000011E-2</v>
      </c>
      <c r="CF58" s="1">
        <v>8.3699380208333632E-2</v>
      </c>
      <c r="CG58" s="3">
        <f t="shared" si="105"/>
        <v>2.8932444444444441E-2</v>
      </c>
      <c r="CH58" s="11">
        <f t="shared" si="114"/>
        <v>0.81811017435958178</v>
      </c>
      <c r="CI58" s="3">
        <v>5.8577018710909154E-3</v>
      </c>
      <c r="CJ58" s="11">
        <v>0</v>
      </c>
      <c r="CK58" s="11"/>
      <c r="CN58" s="7">
        <v>7.75</v>
      </c>
      <c r="CO58" s="7">
        <v>6.75</v>
      </c>
      <c r="CP58" s="11">
        <v>-1.0640740740740799E-4</v>
      </c>
      <c r="CQ58" s="11">
        <v>2.6245277777777929E-3</v>
      </c>
      <c r="CR58" s="11">
        <v>-2.0326229166666786E-2</v>
      </c>
      <c r="CS58" s="1">
        <v>7.8448598958333643E-2</v>
      </c>
      <c r="CT58" s="3">
        <f t="shared" si="106"/>
        <v>2.9025037037037071E-2</v>
      </c>
      <c r="CU58" s="11">
        <f t="shared" si="115"/>
        <v>0.81808627827689484</v>
      </c>
      <c r="CV58" s="3">
        <v>5.8781427136074737E-3</v>
      </c>
      <c r="CW58" s="11">
        <v>0</v>
      </c>
      <c r="CX58" s="11"/>
      <c r="DA58" s="7">
        <v>7.75</v>
      </c>
      <c r="DB58" s="7">
        <v>6.75</v>
      </c>
      <c r="DC58" s="11">
        <v>-1.1659259259259312E-4</v>
      </c>
      <c r="DD58" s="11">
        <v>2.8807777777777911E-3</v>
      </c>
      <c r="DE58" s="11">
        <v>-2.2385083333333441E-2</v>
      </c>
      <c r="DF58" s="1">
        <v>8.370289583333361E-2</v>
      </c>
      <c r="DG58" s="3">
        <f t="shared" si="107"/>
        <v>2.8973185185185185E-2</v>
      </c>
      <c r="DH58" s="11">
        <f t="shared" si="116"/>
        <v>0.81823564867863607</v>
      </c>
      <c r="DI58" s="3">
        <v>5.8649128324603011E-3</v>
      </c>
      <c r="DJ58" s="11">
        <v>0</v>
      </c>
      <c r="DK58" s="11"/>
    </row>
    <row r="59" spans="1:115" x14ac:dyDescent="0.25">
      <c r="A59" s="7">
        <v>8</v>
      </c>
      <c r="B59" s="7">
        <v>6.75</v>
      </c>
      <c r="C59" s="11">
        <v>-1.1288888888888944E-4</v>
      </c>
      <c r="D59" s="11">
        <v>2.7891111111111254E-3</v>
      </c>
      <c r="E59" s="11">
        <v>-2.167050000000012E-2</v>
      </c>
      <c r="F59" s="1">
        <v>8.1916958333333664E-2</v>
      </c>
      <c r="G59" s="3">
        <f t="shared" si="99"/>
        <v>2.9256958333333347E-2</v>
      </c>
      <c r="H59" s="11">
        <f t="shared" si="108"/>
        <v>0.81236067018150326</v>
      </c>
      <c r="I59" s="3">
        <v>5.8781515471366735E-3</v>
      </c>
      <c r="J59" s="11">
        <v>0.81236067018150326</v>
      </c>
      <c r="K59" s="11"/>
      <c r="N59" s="7">
        <v>8</v>
      </c>
      <c r="O59" s="7">
        <v>6.75</v>
      </c>
      <c r="P59" s="11">
        <v>-1.1288888888888944E-4</v>
      </c>
      <c r="Q59" s="11">
        <v>2.7891111111111254E-3</v>
      </c>
      <c r="R59" s="11">
        <v>-2.167050000000012E-2</v>
      </c>
      <c r="S59" s="1">
        <v>8.1916958333333664E-2</v>
      </c>
      <c r="T59" s="3">
        <f t="shared" si="100"/>
        <v>2.9256958333333347E-2</v>
      </c>
      <c r="U59" s="11">
        <f t="shared" si="109"/>
        <v>0.81232030075852968</v>
      </c>
      <c r="V59" s="3">
        <v>5.8778594384775286E-3</v>
      </c>
      <c r="W59" s="11">
        <v>0.81232030075852968</v>
      </c>
      <c r="AA59" s="7">
        <v>8</v>
      </c>
      <c r="AB59" s="7">
        <v>6.75</v>
      </c>
      <c r="AC59" s="11">
        <v>-1.1288888888888944E-4</v>
      </c>
      <c r="AD59" s="11">
        <v>2.7891111111111254E-3</v>
      </c>
      <c r="AE59" s="11">
        <v>-2.167050000000012E-2</v>
      </c>
      <c r="AF59" s="1">
        <v>8.1916958333333664E-2</v>
      </c>
      <c r="AG59" s="3">
        <f t="shared" si="101"/>
        <v>2.9256958333333347E-2</v>
      </c>
      <c r="AH59" s="11">
        <f t="shared" si="110"/>
        <v>0.81228997631980626</v>
      </c>
      <c r="AI59" s="3">
        <v>5.8776400142083072E-3</v>
      </c>
      <c r="AJ59" s="11">
        <v>0.81228997631980626</v>
      </c>
      <c r="AK59" s="11"/>
      <c r="AN59" s="7">
        <v>8</v>
      </c>
      <c r="AO59" s="7">
        <v>6.75</v>
      </c>
      <c r="AP59" s="11">
        <v>-1.1288888888888944E-4</v>
      </c>
      <c r="AQ59" s="11">
        <v>2.7891111111111254E-3</v>
      </c>
      <c r="AR59" s="11">
        <v>-2.167050000000012E-2</v>
      </c>
      <c r="AS59" s="1">
        <v>8.1916958333333664E-2</v>
      </c>
      <c r="AT59" s="3">
        <f t="shared" si="102"/>
        <v>2.9256958333333347E-2</v>
      </c>
      <c r="AU59" s="11">
        <f t="shared" si="111"/>
        <v>0.81227991179099746</v>
      </c>
      <c r="AV59" s="3">
        <v>5.8775671883961279E-3</v>
      </c>
      <c r="AW59" s="11">
        <v>0.81227991179099746</v>
      </c>
      <c r="AX59" s="11"/>
      <c r="BA59" s="7">
        <v>8</v>
      </c>
      <c r="BB59" s="7">
        <v>6.75</v>
      </c>
      <c r="BC59" s="11">
        <v>-1.1288888888888944E-4</v>
      </c>
      <c r="BD59" s="11">
        <v>2.7891111111111254E-3</v>
      </c>
      <c r="BE59" s="11">
        <v>-2.167050000000012E-2</v>
      </c>
      <c r="BF59" s="1">
        <v>8.1916958333333664E-2</v>
      </c>
      <c r="BG59" s="3">
        <f t="shared" si="103"/>
        <v>2.9256958333333347E-2</v>
      </c>
      <c r="BH59" s="11">
        <f t="shared" si="112"/>
        <v>0.81227995787815632</v>
      </c>
      <c r="BI59" s="3">
        <v>5.8775675218776888E-3</v>
      </c>
      <c r="BJ59" s="11">
        <v>0.81227995787815632</v>
      </c>
      <c r="BK59" s="11"/>
      <c r="BN59" s="7">
        <v>8</v>
      </c>
      <c r="BO59" s="7">
        <v>6.75</v>
      </c>
      <c r="BP59" s="11">
        <v>-1.1288888888888944E-4</v>
      </c>
      <c r="BQ59" s="11">
        <v>2.7891111111111254E-3</v>
      </c>
      <c r="BR59" s="11">
        <v>-2.167050000000012E-2</v>
      </c>
      <c r="BS59" s="1">
        <v>8.1916958333333664E-2</v>
      </c>
      <c r="BT59" s="3">
        <f t="shared" si="104"/>
        <v>2.9256958333333347E-2</v>
      </c>
      <c r="BU59" s="11">
        <f t="shared" si="113"/>
        <v>0.81229005221048567</v>
      </c>
      <c r="BV59" s="3">
        <v>5.8776405633448317E-3</v>
      </c>
      <c r="BW59" s="11">
        <v>0.81229005221048567</v>
      </c>
      <c r="BX59" s="11"/>
      <c r="CA59" s="7">
        <v>8</v>
      </c>
      <c r="CB59" s="7">
        <v>6.75</v>
      </c>
      <c r="CC59" s="11">
        <v>-1.156666666666672E-4</v>
      </c>
      <c r="CD59" s="11">
        <v>2.862027777777791E-3</v>
      </c>
      <c r="CE59" s="11">
        <v>-2.230018750000011E-2</v>
      </c>
      <c r="CF59" s="1">
        <v>8.3699380208333632E-2</v>
      </c>
      <c r="CG59" s="3">
        <f t="shared" si="105"/>
        <v>2.924632465277778E-2</v>
      </c>
      <c r="CH59" s="11">
        <f t="shared" si="114"/>
        <v>0.81223518700363051</v>
      </c>
      <c r="CI59" s="3">
        <v>5.8749873559513707E-3</v>
      </c>
      <c r="CJ59" s="11">
        <v>0.81223518700363051</v>
      </c>
      <c r="CK59" s="11"/>
      <c r="CN59" s="7">
        <v>8</v>
      </c>
      <c r="CO59" s="7">
        <v>6.75</v>
      </c>
      <c r="CP59" s="11">
        <v>-1.0640740740740799E-4</v>
      </c>
      <c r="CQ59" s="11">
        <v>2.6245277777777929E-3</v>
      </c>
      <c r="CR59" s="11">
        <v>-2.0326229166666786E-2</v>
      </c>
      <c r="CS59" s="1">
        <v>7.8448598958333643E-2</v>
      </c>
      <c r="CT59" s="3">
        <f t="shared" si="106"/>
        <v>2.9327950810185216E-2</v>
      </c>
      <c r="CU59" s="11">
        <f t="shared" si="115"/>
        <v>0.81219279677499256</v>
      </c>
      <c r="CV59" s="3">
        <v>5.8934815019022202E-3</v>
      </c>
      <c r="CW59" s="11">
        <v>0.81219279677499256</v>
      </c>
      <c r="CX59" s="11"/>
      <c r="DA59" s="7">
        <v>8</v>
      </c>
      <c r="DB59" s="7">
        <v>6.75</v>
      </c>
      <c r="DC59" s="11">
        <v>-1.1659259259259312E-4</v>
      </c>
      <c r="DD59" s="11">
        <v>2.8807777777777911E-3</v>
      </c>
      <c r="DE59" s="11">
        <v>-2.2385083333333441E-2</v>
      </c>
      <c r="DF59" s="1">
        <v>8.370289583333361E-2</v>
      </c>
      <c r="DG59" s="3">
        <f t="shared" si="107"/>
        <v>2.9296599537037046E-2</v>
      </c>
      <c r="DH59" s="11">
        <f t="shared" si="116"/>
        <v>0.81235154573611512</v>
      </c>
      <c r="DI59" s="3">
        <v>5.884102942520974E-3</v>
      </c>
      <c r="DJ59" s="11">
        <v>0.81235154573611512</v>
      </c>
      <c r="DK59" s="11"/>
    </row>
    <row r="60" spans="1:115" x14ac:dyDescent="0.25">
      <c r="A60" s="7">
        <v>8.25</v>
      </c>
      <c r="B60" s="7">
        <v>6.75</v>
      </c>
      <c r="C60" s="11">
        <v>-1.1288888888888944E-4</v>
      </c>
      <c r="D60" s="11">
        <v>2.7891111111111254E-3</v>
      </c>
      <c r="E60" s="11">
        <v>-2.167050000000012E-2</v>
      </c>
      <c r="F60" s="1">
        <v>8.1916958333333664E-2</v>
      </c>
      <c r="G60" s="3">
        <f t="shared" si="99"/>
        <v>2.9580333333333361E-2</v>
      </c>
      <c r="H60" s="11">
        <f t="shared" si="108"/>
        <v>0.80646201379772908</v>
      </c>
      <c r="I60" s="3">
        <v>5.8986563837740659E-3</v>
      </c>
      <c r="J60" s="11">
        <v>0</v>
      </c>
      <c r="K60" s="11"/>
      <c r="N60" s="7">
        <v>8.25</v>
      </c>
      <c r="O60" s="7">
        <v>6.75</v>
      </c>
      <c r="P60" s="11">
        <v>-1.1288888888888944E-4</v>
      </c>
      <c r="Q60" s="11">
        <v>2.7891111111111254E-3</v>
      </c>
      <c r="R60" s="11">
        <v>-2.167050000000012E-2</v>
      </c>
      <c r="S60" s="1">
        <v>8.1916958333333664E-2</v>
      </c>
      <c r="T60" s="3">
        <f t="shared" si="100"/>
        <v>2.9580333333333361E-2</v>
      </c>
      <c r="U60" s="11">
        <f t="shared" si="109"/>
        <v>0.80642193750238134</v>
      </c>
      <c r="V60" s="3">
        <v>5.8983632561482799E-3</v>
      </c>
      <c r="W60" s="11">
        <v>0</v>
      </c>
      <c r="AA60" s="7">
        <v>8.25</v>
      </c>
      <c r="AB60" s="7">
        <v>6.75</v>
      </c>
      <c r="AC60" s="11">
        <v>-1.1288888888888944E-4</v>
      </c>
      <c r="AD60" s="11">
        <v>2.7891111111111254E-3</v>
      </c>
      <c r="AE60" s="11">
        <v>-2.167050000000012E-2</v>
      </c>
      <c r="AF60" s="1">
        <v>8.1916958333333664E-2</v>
      </c>
      <c r="AG60" s="3">
        <f t="shared" si="101"/>
        <v>2.9580333333333361E-2</v>
      </c>
      <c r="AH60" s="11">
        <f t="shared" si="110"/>
        <v>0.80639183325334785</v>
      </c>
      <c r="AI60" s="3">
        <v>5.8981430664583724E-3</v>
      </c>
      <c r="AJ60" s="11">
        <v>0</v>
      </c>
      <c r="AK60" s="11"/>
      <c r="AN60" s="7">
        <v>8.25</v>
      </c>
      <c r="AO60" s="7">
        <v>6.75</v>
      </c>
      <c r="AP60" s="11">
        <v>-1.1288888888888944E-4</v>
      </c>
      <c r="AQ60" s="11">
        <v>2.7891111111111254E-3</v>
      </c>
      <c r="AR60" s="11">
        <v>-2.167050000000012E-2</v>
      </c>
      <c r="AS60" s="1">
        <v>8.1916958333333664E-2</v>
      </c>
      <c r="AT60" s="3">
        <f t="shared" si="102"/>
        <v>2.9580333333333361E-2</v>
      </c>
      <c r="AU60" s="11">
        <f t="shared" si="111"/>
        <v>0.80638184180439043</v>
      </c>
      <c r="AV60" s="3">
        <v>5.8980699866069131E-3</v>
      </c>
      <c r="AW60" s="11">
        <v>0</v>
      </c>
      <c r="AX60" s="11"/>
      <c r="BA60" s="7">
        <v>8.25</v>
      </c>
      <c r="BB60" s="7">
        <v>6.75</v>
      </c>
      <c r="BC60" s="11">
        <v>-1.1288888888888944E-4</v>
      </c>
      <c r="BD60" s="11">
        <v>2.7891111111111254E-3</v>
      </c>
      <c r="BE60" s="11">
        <v>-2.167050000000012E-2</v>
      </c>
      <c r="BF60" s="1">
        <v>8.1916958333333664E-2</v>
      </c>
      <c r="BG60" s="3">
        <f t="shared" si="103"/>
        <v>2.9580333333333361E-2</v>
      </c>
      <c r="BH60" s="11">
        <f t="shared" si="112"/>
        <v>0.80638188755690443</v>
      </c>
      <c r="BI60" s="3">
        <v>5.8980703212517622E-3</v>
      </c>
      <c r="BJ60" s="11">
        <v>0</v>
      </c>
      <c r="BK60" s="11"/>
      <c r="BN60" s="7">
        <v>8.25</v>
      </c>
      <c r="BO60" s="7">
        <v>6.75</v>
      </c>
      <c r="BP60" s="11">
        <v>-1.1288888888888944E-4</v>
      </c>
      <c r="BQ60" s="11">
        <v>2.7891111111111254E-3</v>
      </c>
      <c r="BR60" s="11">
        <v>-2.167050000000012E-2</v>
      </c>
      <c r="BS60" s="1">
        <v>8.1916958333333664E-2</v>
      </c>
      <c r="BT60" s="3">
        <f t="shared" si="104"/>
        <v>2.9580333333333361E-2</v>
      </c>
      <c r="BU60" s="11">
        <f t="shared" si="113"/>
        <v>0.80639190859297516</v>
      </c>
      <c r="BV60" s="3">
        <v>5.8981436175104566E-3</v>
      </c>
      <c r="BW60" s="11">
        <v>0</v>
      </c>
      <c r="BX60" s="11"/>
      <c r="CA60" s="7">
        <v>8.25</v>
      </c>
      <c r="CB60" s="7">
        <v>6.75</v>
      </c>
      <c r="CC60" s="11">
        <v>-1.156666666666672E-4</v>
      </c>
      <c r="CD60" s="11">
        <v>2.862027777777791E-3</v>
      </c>
      <c r="CE60" s="11">
        <v>-2.230018750000011E-2</v>
      </c>
      <c r="CF60" s="1">
        <v>8.3699380208333632E-2</v>
      </c>
      <c r="CG60" s="3">
        <f t="shared" si="105"/>
        <v>2.9570958333333328E-2</v>
      </c>
      <c r="CH60" s="11">
        <f t="shared" si="114"/>
        <v>0.80633956979398647</v>
      </c>
      <c r="CI60" s="3">
        <v>5.8956172096440241E-3</v>
      </c>
      <c r="CJ60" s="11">
        <v>0</v>
      </c>
      <c r="CK60" s="11"/>
      <c r="CN60" s="7">
        <v>8.25</v>
      </c>
      <c r="CO60" s="7">
        <v>6.75</v>
      </c>
      <c r="CP60" s="11">
        <v>-1.0640740740740799E-4</v>
      </c>
      <c r="CQ60" s="11">
        <v>2.6245277777777929E-3</v>
      </c>
      <c r="CR60" s="11">
        <v>-2.0326229166666786E-2</v>
      </c>
      <c r="CS60" s="1">
        <v>7.8448598958333643E-2</v>
      </c>
      <c r="CT60" s="3">
        <f t="shared" si="106"/>
        <v>2.9639708333333348E-2</v>
      </c>
      <c r="CU60" s="11">
        <f t="shared" si="115"/>
        <v>0.80628115327438976</v>
      </c>
      <c r="CV60" s="3">
        <v>5.9116435006026776E-3</v>
      </c>
      <c r="CW60" s="11">
        <v>0</v>
      </c>
      <c r="CX60" s="11"/>
      <c r="DA60" s="7">
        <v>8.25</v>
      </c>
      <c r="DB60" s="7">
        <v>6.75</v>
      </c>
      <c r="DC60" s="11">
        <v>-1.1659259259259312E-4</v>
      </c>
      <c r="DD60" s="11">
        <v>2.8807777777777911E-3</v>
      </c>
      <c r="DE60" s="11">
        <v>-2.2385083333333441E-2</v>
      </c>
      <c r="DF60" s="1">
        <v>8.370289583333361E-2</v>
      </c>
      <c r="DG60" s="3">
        <f t="shared" si="107"/>
        <v>2.9630333333333328E-2</v>
      </c>
      <c r="DH60" s="11">
        <f t="shared" si="116"/>
        <v>0.80644502152505093</v>
      </c>
      <c r="DI60" s="3">
        <v>5.9065242110641599E-3</v>
      </c>
      <c r="DJ60" s="11">
        <v>0</v>
      </c>
      <c r="DK60" s="11"/>
    </row>
    <row r="61" spans="1:115" x14ac:dyDescent="0.25">
      <c r="A61" s="7">
        <v>8.5</v>
      </c>
      <c r="B61" s="7">
        <v>6.75</v>
      </c>
      <c r="C61" s="11">
        <v>-1.1288888888888944E-4</v>
      </c>
      <c r="D61" s="11">
        <v>2.7891111111111254E-3</v>
      </c>
      <c r="E61" s="11">
        <v>-2.167050000000012E-2</v>
      </c>
      <c r="F61" s="1">
        <v>8.1916958333333664E-2</v>
      </c>
      <c r="G61" s="3">
        <f t="shared" si="99"/>
        <v>2.9903097222222216E-2</v>
      </c>
      <c r="H61" s="11">
        <f t="shared" si="108"/>
        <v>0.80054193944371443</v>
      </c>
      <c r="I61" s="3">
        <v>5.9200743540145607E-3</v>
      </c>
      <c r="J61" s="11">
        <v>0</v>
      </c>
      <c r="K61" s="11"/>
      <c r="N61" s="7">
        <v>8.5</v>
      </c>
      <c r="O61" s="7">
        <v>6.75</v>
      </c>
      <c r="P61" s="11">
        <v>-1.1288888888888944E-4</v>
      </c>
      <c r="Q61" s="11">
        <v>2.7891111111111254E-3</v>
      </c>
      <c r="R61" s="11">
        <v>-2.167050000000012E-2</v>
      </c>
      <c r="S61" s="1">
        <v>8.1916958333333664E-2</v>
      </c>
      <c r="T61" s="3">
        <f t="shared" si="100"/>
        <v>2.9903097222222216E-2</v>
      </c>
      <c r="U61" s="11">
        <f t="shared" si="109"/>
        <v>0.80050215734033636</v>
      </c>
      <c r="V61" s="3">
        <v>5.9197801620449048E-3</v>
      </c>
      <c r="W61" s="11">
        <v>0</v>
      </c>
      <c r="AA61" s="7">
        <v>8.5</v>
      </c>
      <c r="AB61" s="7">
        <v>6.75</v>
      </c>
      <c r="AC61" s="11">
        <v>-1.1288888888888944E-4</v>
      </c>
      <c r="AD61" s="11">
        <v>2.7891111111111254E-3</v>
      </c>
      <c r="AE61" s="11">
        <v>-2.167050000000012E-2</v>
      </c>
      <c r="AF61" s="1">
        <v>8.1916958333333664E-2</v>
      </c>
      <c r="AG61" s="3">
        <f t="shared" si="101"/>
        <v>2.9903097222222216E-2</v>
      </c>
      <c r="AH61" s="11">
        <f t="shared" si="110"/>
        <v>0.8004722740804997</v>
      </c>
      <c r="AI61" s="3">
        <v>5.9195591728481408E-3</v>
      </c>
      <c r="AJ61" s="11">
        <v>0</v>
      </c>
      <c r="AK61" s="11"/>
      <c r="AN61" s="7">
        <v>8.5</v>
      </c>
      <c r="AO61" s="7">
        <v>6.75</v>
      </c>
      <c r="AP61" s="11">
        <v>-1.1288888888888944E-4</v>
      </c>
      <c r="AQ61" s="11">
        <v>2.7891111111111254E-3</v>
      </c>
      <c r="AR61" s="11">
        <v>-2.167050000000012E-2</v>
      </c>
      <c r="AS61" s="1">
        <v>8.1916958333333664E-2</v>
      </c>
      <c r="AT61" s="3">
        <f t="shared" si="102"/>
        <v>2.9903097222222216E-2</v>
      </c>
      <c r="AU61" s="11">
        <f t="shared" si="111"/>
        <v>0.80046235597674598</v>
      </c>
      <c r="AV61" s="3">
        <v>5.9194858276443735E-3</v>
      </c>
      <c r="AW61" s="11">
        <v>0</v>
      </c>
      <c r="AX61" s="11"/>
      <c r="BA61" s="7">
        <v>8.5</v>
      </c>
      <c r="BB61" s="7">
        <v>6.75</v>
      </c>
      <c r="BC61" s="11">
        <v>-1.1288888888888944E-4</v>
      </c>
      <c r="BD61" s="11">
        <v>2.7891111111111254E-3</v>
      </c>
      <c r="BE61" s="11">
        <v>-2.167050000000012E-2</v>
      </c>
      <c r="BF61" s="1">
        <v>8.1916958333333664E-2</v>
      </c>
      <c r="BG61" s="3">
        <f t="shared" si="103"/>
        <v>2.9903097222222216E-2</v>
      </c>
      <c r="BH61" s="11">
        <f t="shared" si="112"/>
        <v>0.80046240139340008</v>
      </c>
      <c r="BI61" s="3">
        <v>5.919486163504315E-3</v>
      </c>
      <c r="BJ61" s="11">
        <v>0</v>
      </c>
      <c r="BK61" s="11"/>
      <c r="BN61" s="7">
        <v>8.5</v>
      </c>
      <c r="BO61" s="7">
        <v>6.75</v>
      </c>
      <c r="BP61" s="11">
        <v>-1.1288888888888944E-4</v>
      </c>
      <c r="BQ61" s="11">
        <v>2.7891111111111254E-3</v>
      </c>
      <c r="BR61" s="11">
        <v>-2.167050000000012E-2</v>
      </c>
      <c r="BS61" s="1">
        <v>8.1916958333333664E-2</v>
      </c>
      <c r="BT61" s="3">
        <f t="shared" si="104"/>
        <v>2.9903097222222216E-2</v>
      </c>
      <c r="BU61" s="11">
        <f t="shared" si="113"/>
        <v>0.80047234886707408</v>
      </c>
      <c r="BV61" s="3">
        <v>5.9195597259010906E-3</v>
      </c>
      <c r="BW61" s="11">
        <v>0</v>
      </c>
      <c r="BX61" s="11"/>
      <c r="CA61" s="7">
        <v>8.5</v>
      </c>
      <c r="CB61" s="7">
        <v>6.75</v>
      </c>
      <c r="CC61" s="11">
        <v>-1.156666666666672E-4</v>
      </c>
      <c r="CD61" s="11">
        <v>2.862027777777791E-3</v>
      </c>
      <c r="CE61" s="11">
        <v>-2.230018750000011E-2</v>
      </c>
      <c r="CF61" s="1">
        <v>8.3699380208333632E-2</v>
      </c>
      <c r="CG61" s="3">
        <f t="shared" si="105"/>
        <v>2.9895501736111094E-2</v>
      </c>
      <c r="CH61" s="11">
        <f t="shared" si="114"/>
        <v>0.80042225649501475</v>
      </c>
      <c r="CI61" s="3">
        <v>5.9173132989716803E-3</v>
      </c>
      <c r="CJ61" s="11">
        <v>0</v>
      </c>
      <c r="CK61" s="11"/>
      <c r="CN61" s="7">
        <v>8.5</v>
      </c>
      <c r="CO61" s="7">
        <v>6.75</v>
      </c>
      <c r="CP61" s="11">
        <v>-1.0640740740740799E-4</v>
      </c>
      <c r="CQ61" s="11">
        <v>2.6245277777777929E-3</v>
      </c>
      <c r="CR61" s="11">
        <v>-2.0326229166666786E-2</v>
      </c>
      <c r="CS61" s="1">
        <v>7.8448598958333643E-2</v>
      </c>
      <c r="CT61" s="3">
        <f t="shared" si="106"/>
        <v>2.9950333912037094E-2</v>
      </c>
      <c r="CU61" s="11">
        <f t="shared" si="115"/>
        <v>0.80035061358661175</v>
      </c>
      <c r="CV61" s="3">
        <v>5.9305396877778888E-3</v>
      </c>
      <c r="CW61" s="11">
        <v>0</v>
      </c>
      <c r="CX61" s="11"/>
      <c r="DA61" s="7">
        <v>8.5</v>
      </c>
      <c r="DB61" s="7">
        <v>6.75</v>
      </c>
      <c r="DC61" s="11">
        <v>-1.1659259259259312E-4</v>
      </c>
      <c r="DD61" s="11">
        <v>2.8807777777777911E-3</v>
      </c>
      <c r="DE61" s="11">
        <v>-2.2385083333333441E-2</v>
      </c>
      <c r="DF61" s="1">
        <v>8.370289583333361E-2</v>
      </c>
      <c r="DG61" s="3">
        <f t="shared" si="107"/>
        <v>2.9963456018518533E-2</v>
      </c>
      <c r="DH61" s="11">
        <f t="shared" si="116"/>
        <v>0.80051513892387738</v>
      </c>
      <c r="DI61" s="3">
        <v>5.9298826011735311E-3</v>
      </c>
      <c r="DJ61" s="11">
        <v>0</v>
      </c>
      <c r="DK61" s="11"/>
    </row>
    <row r="62" spans="1:115" x14ac:dyDescent="0.25">
      <c r="A62" s="7">
        <v>8.75</v>
      </c>
      <c r="B62" s="7">
        <v>6.75</v>
      </c>
      <c r="C62" s="11">
        <v>-1.1288888888888944E-4</v>
      </c>
      <c r="D62" s="11">
        <v>2.7891111111111254E-3</v>
      </c>
      <c r="E62" s="11">
        <v>-2.167050000000012E-2</v>
      </c>
      <c r="F62" s="1">
        <v>8.1916958333333664E-2</v>
      </c>
      <c r="G62" s="3">
        <f t="shared" si="99"/>
        <v>3.0214666666666681E-2</v>
      </c>
      <c r="H62" s="11">
        <f t="shared" si="108"/>
        <v>0.79460167664629067</v>
      </c>
      <c r="I62" s="3">
        <v>5.9402627974237026E-3</v>
      </c>
      <c r="J62" s="11">
        <v>0</v>
      </c>
      <c r="K62" s="11"/>
      <c r="N62" s="7">
        <v>8.75</v>
      </c>
      <c r="O62" s="7">
        <v>6.75</v>
      </c>
      <c r="P62" s="11">
        <v>-1.1288888888888944E-4</v>
      </c>
      <c r="Q62" s="11">
        <v>2.7891111111111254E-3</v>
      </c>
      <c r="R62" s="11">
        <v>-2.167050000000012E-2</v>
      </c>
      <c r="S62" s="1">
        <v>8.1916958333333664E-2</v>
      </c>
      <c r="T62" s="3">
        <f t="shared" si="100"/>
        <v>3.0214666666666681E-2</v>
      </c>
      <c r="U62" s="11">
        <f t="shared" si="109"/>
        <v>0.79456218973812609</v>
      </c>
      <c r="V62" s="3">
        <v>5.93996760221024E-3</v>
      </c>
      <c r="W62" s="11">
        <v>0</v>
      </c>
      <c r="AA62" s="7">
        <v>8.75</v>
      </c>
      <c r="AB62" s="7">
        <v>6.75</v>
      </c>
      <c r="AC62" s="11">
        <v>-1.1288888888888944E-4</v>
      </c>
      <c r="AD62" s="11">
        <v>2.7891111111111254E-3</v>
      </c>
      <c r="AE62" s="11">
        <v>-2.167050000000012E-2</v>
      </c>
      <c r="AF62" s="1">
        <v>8.1916958333333664E-2</v>
      </c>
      <c r="AG62" s="3">
        <f t="shared" si="101"/>
        <v>3.0214666666666681E-2</v>
      </c>
      <c r="AH62" s="11">
        <f t="shared" si="110"/>
        <v>0.79453252822109632</v>
      </c>
      <c r="AI62" s="3">
        <v>5.9397458594033651E-3</v>
      </c>
      <c r="AJ62" s="11">
        <v>0</v>
      </c>
      <c r="AK62" s="11"/>
      <c r="AN62" s="7">
        <v>8.75</v>
      </c>
      <c r="AO62" s="7">
        <v>6.75</v>
      </c>
      <c r="AP62" s="11">
        <v>-1.1288888888888944E-4</v>
      </c>
      <c r="AQ62" s="11">
        <v>2.7891111111111254E-3</v>
      </c>
      <c r="AR62" s="11">
        <v>-2.167050000000012E-2</v>
      </c>
      <c r="AS62" s="1">
        <v>8.1916958333333664E-2</v>
      </c>
      <c r="AT62" s="3">
        <f t="shared" si="102"/>
        <v>3.0214666666666681E-2</v>
      </c>
      <c r="AU62" s="11">
        <f t="shared" si="111"/>
        <v>0.79452268371266577</v>
      </c>
      <c r="AV62" s="3">
        <v>5.9396722640801891E-3</v>
      </c>
      <c r="AW62" s="11">
        <v>0</v>
      </c>
      <c r="AX62" s="11"/>
      <c r="BA62" s="7">
        <v>8.75</v>
      </c>
      <c r="BB62" s="7">
        <v>6.75</v>
      </c>
      <c r="BC62" s="11">
        <v>-1.1288888888888944E-4</v>
      </c>
      <c r="BD62" s="11">
        <v>2.7891111111111254E-3</v>
      </c>
      <c r="BE62" s="11">
        <v>-2.167050000000012E-2</v>
      </c>
      <c r="BF62" s="1">
        <v>8.1916958333333664E-2</v>
      </c>
      <c r="BG62" s="3">
        <f t="shared" si="103"/>
        <v>3.0214666666666681E-2</v>
      </c>
      <c r="BH62" s="11">
        <f t="shared" si="112"/>
        <v>0.79452272879231456</v>
      </c>
      <c r="BI62" s="3">
        <v>5.9396726010854696E-3</v>
      </c>
      <c r="BJ62" s="11">
        <v>0</v>
      </c>
      <c r="BK62" s="11"/>
      <c r="BN62" s="7">
        <v>8.75</v>
      </c>
      <c r="BO62" s="7">
        <v>6.75</v>
      </c>
      <c r="BP62" s="11">
        <v>-1.1288888888888944E-4</v>
      </c>
      <c r="BQ62" s="11">
        <v>2.7891111111111254E-3</v>
      </c>
      <c r="BR62" s="11">
        <v>-2.167050000000012E-2</v>
      </c>
      <c r="BS62" s="1">
        <v>8.1916958333333664E-2</v>
      </c>
      <c r="BT62" s="3">
        <f t="shared" si="104"/>
        <v>3.0214666666666681E-2</v>
      </c>
      <c r="BU62" s="11">
        <f t="shared" si="113"/>
        <v>0.79453260245273172</v>
      </c>
      <c r="BV62" s="3">
        <v>5.9397464143423175E-3</v>
      </c>
      <c r="BW62" s="11">
        <v>0</v>
      </c>
      <c r="BX62" s="11"/>
      <c r="CA62" s="7">
        <v>8.75</v>
      </c>
      <c r="CB62" s="7">
        <v>6.75</v>
      </c>
      <c r="CC62" s="11">
        <v>-1.156666666666672E-4</v>
      </c>
      <c r="CD62" s="11">
        <v>2.862027777777791E-3</v>
      </c>
      <c r="CE62" s="11">
        <v>-2.230018750000011E-2</v>
      </c>
      <c r="CF62" s="1">
        <v>8.3699380208333632E-2</v>
      </c>
      <c r="CG62" s="3">
        <f t="shared" si="105"/>
        <v>3.0209111111111117E-2</v>
      </c>
      <c r="CH62" s="11">
        <f t="shared" si="114"/>
        <v>0.79448437921051451</v>
      </c>
      <c r="CI62" s="3">
        <v>5.93787728450027E-3</v>
      </c>
      <c r="CJ62" s="11">
        <v>0</v>
      </c>
      <c r="CK62" s="11"/>
      <c r="CN62" s="7">
        <v>8.75</v>
      </c>
      <c r="CO62" s="7">
        <v>6.75</v>
      </c>
      <c r="CP62" s="11">
        <v>-1.0640740740740799E-4</v>
      </c>
      <c r="CQ62" s="11">
        <v>2.6245277777777929E-3</v>
      </c>
      <c r="CR62" s="11">
        <v>-2.0326229166666786E-2</v>
      </c>
      <c r="CS62" s="1">
        <v>7.8448598958333643E-2</v>
      </c>
      <c r="CT62" s="3">
        <f t="shared" si="106"/>
        <v>3.0249851851851861E-2</v>
      </c>
      <c r="CU62" s="11">
        <f t="shared" si="115"/>
        <v>0.794402458860756</v>
      </c>
      <c r="CV62" s="3">
        <v>5.9481547258557381E-3</v>
      </c>
      <c r="CW62" s="11">
        <v>0</v>
      </c>
      <c r="CX62" s="11"/>
      <c r="DA62" s="7">
        <v>8.75</v>
      </c>
      <c r="DB62" s="7">
        <v>6.75</v>
      </c>
      <c r="DC62" s="11">
        <v>-1.1659259259259312E-4</v>
      </c>
      <c r="DD62" s="11">
        <v>2.8807777777777911E-3</v>
      </c>
      <c r="DE62" s="11">
        <v>-2.2385083333333441E-2</v>
      </c>
      <c r="DF62" s="1">
        <v>8.370289583333361E-2</v>
      </c>
      <c r="DG62" s="3">
        <f t="shared" si="107"/>
        <v>3.0285037037037041E-2</v>
      </c>
      <c r="DH62" s="11">
        <f t="shared" si="116"/>
        <v>0.79456317424253964</v>
      </c>
      <c r="DI62" s="3">
        <v>5.9519646813377038E-3</v>
      </c>
      <c r="DJ62" s="11">
        <v>0</v>
      </c>
      <c r="DK62" s="11"/>
    </row>
    <row r="63" spans="1:115" x14ac:dyDescent="0.25">
      <c r="A63" s="7">
        <v>9</v>
      </c>
      <c r="B63" s="7">
        <v>6.75</v>
      </c>
      <c r="C63" s="11">
        <v>-1.1288888888888944E-4</v>
      </c>
      <c r="D63" s="11">
        <v>2.7891111111111254E-3</v>
      </c>
      <c r="E63" s="11">
        <v>-2.167050000000012E-2</v>
      </c>
      <c r="F63" s="1">
        <v>8.1916958333333664E-2</v>
      </c>
      <c r="G63" s="3">
        <f t="shared" si="99"/>
        <v>3.0504458333333359E-2</v>
      </c>
      <c r="H63" s="11">
        <f t="shared" si="108"/>
        <v>0.78864451883253595</v>
      </c>
      <c r="I63" s="3">
        <v>5.9571578137547019E-3</v>
      </c>
      <c r="J63" s="11">
        <v>0.78864451883253595</v>
      </c>
      <c r="K63" s="11"/>
      <c r="N63" s="7">
        <v>9</v>
      </c>
      <c r="O63" s="7">
        <v>6.75</v>
      </c>
      <c r="P63" s="11">
        <v>-1.1288888888888944E-4</v>
      </c>
      <c r="Q63" s="11">
        <v>2.7891111111111254E-3</v>
      </c>
      <c r="R63" s="11">
        <v>-2.167050000000012E-2</v>
      </c>
      <c r="S63" s="1">
        <v>8.1916958333333664E-2</v>
      </c>
      <c r="T63" s="3">
        <f t="shared" si="100"/>
        <v>3.0504458333333359E-2</v>
      </c>
      <c r="U63" s="11">
        <f t="shared" si="109"/>
        <v>0.78860532795916516</v>
      </c>
      <c r="V63" s="3">
        <v>5.9568617789608836E-3</v>
      </c>
      <c r="W63" s="11">
        <v>0.78860532795916516</v>
      </c>
      <c r="AA63" s="7">
        <v>9</v>
      </c>
      <c r="AB63" s="7">
        <v>6.75</v>
      </c>
      <c r="AC63" s="11">
        <v>-1.1288888888888944E-4</v>
      </c>
      <c r="AD63" s="11">
        <v>2.7891111111111254E-3</v>
      </c>
      <c r="AE63" s="11">
        <v>-2.167050000000012E-2</v>
      </c>
      <c r="AF63" s="1">
        <v>8.1916958333333664E-2</v>
      </c>
      <c r="AG63" s="3">
        <f t="shared" si="101"/>
        <v>3.0504458333333359E-2</v>
      </c>
      <c r="AH63" s="11">
        <f t="shared" si="110"/>
        <v>0.7885758888156128</v>
      </c>
      <c r="AI63" s="3">
        <v>5.9566394054835371E-3</v>
      </c>
      <c r="AJ63" s="11">
        <v>0.7885758888156128</v>
      </c>
      <c r="AK63" s="11"/>
      <c r="AN63" s="7">
        <v>9</v>
      </c>
      <c r="AO63" s="7">
        <v>6.75</v>
      </c>
      <c r="AP63" s="11">
        <v>-1.1288888888888944E-4</v>
      </c>
      <c r="AQ63" s="11">
        <v>2.7891111111111254E-3</v>
      </c>
      <c r="AR63" s="11">
        <v>-2.167050000000012E-2</v>
      </c>
      <c r="AS63" s="1">
        <v>8.1916958333333664E-2</v>
      </c>
      <c r="AT63" s="3">
        <f t="shared" si="102"/>
        <v>3.0504458333333359E-2</v>
      </c>
      <c r="AU63" s="11">
        <f t="shared" si="111"/>
        <v>0.78856611811182176</v>
      </c>
      <c r="AV63" s="3">
        <v>5.9565656008440009E-3</v>
      </c>
      <c r="AW63" s="11">
        <v>0.78856611811182176</v>
      </c>
      <c r="AX63" s="11"/>
      <c r="BA63" s="7">
        <v>9</v>
      </c>
      <c r="BB63" s="7">
        <v>6.75</v>
      </c>
      <c r="BC63" s="11">
        <v>-1.1288888888888944E-4</v>
      </c>
      <c r="BD63" s="11">
        <v>2.7891111111111254E-3</v>
      </c>
      <c r="BE63" s="11">
        <v>-2.167050000000012E-2</v>
      </c>
      <c r="BF63" s="1">
        <v>8.1916958333333664E-2</v>
      </c>
      <c r="BG63" s="3">
        <f t="shared" si="103"/>
        <v>3.0504458333333359E-2</v>
      </c>
      <c r="BH63" s="11">
        <f t="shared" si="112"/>
        <v>0.78856616285350678</v>
      </c>
      <c r="BI63" s="3">
        <v>5.956565938807775E-3</v>
      </c>
      <c r="BJ63" s="11">
        <v>0.78856616285350678</v>
      </c>
      <c r="BK63" s="11"/>
      <c r="BN63" s="7">
        <v>9</v>
      </c>
      <c r="BO63" s="7">
        <v>6.75</v>
      </c>
      <c r="BP63" s="11">
        <v>-1.1288888888888944E-4</v>
      </c>
      <c r="BQ63" s="11">
        <v>2.7891111111111254E-3</v>
      </c>
      <c r="BR63" s="11">
        <v>-2.167050000000012E-2</v>
      </c>
      <c r="BS63" s="1">
        <v>8.1916958333333664E-2</v>
      </c>
      <c r="BT63" s="3">
        <f t="shared" si="104"/>
        <v>3.0504458333333359E-2</v>
      </c>
      <c r="BU63" s="11">
        <f t="shared" si="113"/>
        <v>0.78857596249073092</v>
      </c>
      <c r="BV63" s="3">
        <v>5.9566399620008207E-3</v>
      </c>
      <c r="BW63" s="11">
        <v>0.78857596249073092</v>
      </c>
      <c r="BX63" s="11"/>
      <c r="CA63" s="7">
        <v>9</v>
      </c>
      <c r="CB63" s="7">
        <v>6.75</v>
      </c>
      <c r="CC63" s="11">
        <v>-1.156666666666672E-4</v>
      </c>
      <c r="CD63" s="11">
        <v>2.862027777777791E-3</v>
      </c>
      <c r="CE63" s="11">
        <v>-2.230018750000011E-2</v>
      </c>
      <c r="CF63" s="1">
        <v>8.3699380208333632E-2</v>
      </c>
      <c r="CG63" s="3">
        <f t="shared" si="105"/>
        <v>3.0500942708333326E-2</v>
      </c>
      <c r="CH63" s="11">
        <f t="shared" si="114"/>
        <v>0.78852918774875058</v>
      </c>
      <c r="CI63" s="3">
        <v>5.9551914617640509E-3</v>
      </c>
      <c r="CJ63" s="11">
        <v>0.78852918774875058</v>
      </c>
      <c r="CK63" s="11"/>
      <c r="CN63" s="7">
        <v>9</v>
      </c>
      <c r="CO63" s="7">
        <v>6.75</v>
      </c>
      <c r="CP63" s="11">
        <v>-1.0640740740740799E-4</v>
      </c>
      <c r="CQ63" s="11">
        <v>2.6245277777777929E-3</v>
      </c>
      <c r="CR63" s="11">
        <v>-2.0326229166666786E-2</v>
      </c>
      <c r="CS63" s="1">
        <v>7.8448598958333643E-2</v>
      </c>
      <c r="CT63" s="3">
        <f t="shared" si="106"/>
        <v>3.0528286458333331E-2</v>
      </c>
      <c r="CU63" s="11">
        <f t="shared" si="115"/>
        <v>0.78843991123353063</v>
      </c>
      <c r="CV63" s="3">
        <v>5.9625476272253831E-3</v>
      </c>
      <c r="CW63" s="11">
        <v>0.78843991123353063</v>
      </c>
      <c r="CX63" s="11"/>
      <c r="DA63" s="7">
        <v>9</v>
      </c>
      <c r="DB63" s="7">
        <v>6.75</v>
      </c>
      <c r="DC63" s="11">
        <v>-1.1659259259259312E-4</v>
      </c>
      <c r="DD63" s="11">
        <v>2.8807777777777911E-3</v>
      </c>
      <c r="DE63" s="11">
        <v>-2.2385083333333441E-2</v>
      </c>
      <c r="DF63" s="1">
        <v>8.370289583333361E-2</v>
      </c>
      <c r="DG63" s="3">
        <f t="shared" si="107"/>
        <v>3.058414583333334E-2</v>
      </c>
      <c r="DH63" s="11">
        <f t="shared" si="116"/>
        <v>0.78859253570480203</v>
      </c>
      <c r="DI63" s="3">
        <v>5.970638537737721E-3</v>
      </c>
      <c r="DJ63" s="11">
        <v>0.78859253570480203</v>
      </c>
      <c r="DK63" s="11"/>
    </row>
    <row r="64" spans="1:115" x14ac:dyDescent="0.25">
      <c r="A64" s="7">
        <v>9.25</v>
      </c>
      <c r="B64" s="7">
        <v>6.75</v>
      </c>
      <c r="C64" s="11">
        <v>-1.1288888888888944E-4</v>
      </c>
      <c r="D64" s="11">
        <v>2.7891111111111254E-3</v>
      </c>
      <c r="E64" s="11">
        <v>-2.167050000000012E-2</v>
      </c>
      <c r="F64" s="1">
        <v>8.1916958333333664E-2</v>
      </c>
      <c r="G64" s="3">
        <f t="shared" si="99"/>
        <v>3.076188888888888E-2</v>
      </c>
      <c r="H64" s="11">
        <f t="shared" si="108"/>
        <v>0.78267574392774719</v>
      </c>
      <c r="I64" s="3">
        <v>5.9687749047886637E-3</v>
      </c>
      <c r="J64" s="11">
        <v>0</v>
      </c>
      <c r="K64" s="11"/>
      <c r="N64" s="7">
        <v>9.25</v>
      </c>
      <c r="O64" s="7">
        <v>6.75</v>
      </c>
      <c r="P64" s="11">
        <v>-1.1288888888888944E-4</v>
      </c>
      <c r="Q64" s="11">
        <v>2.7891111111111254E-3</v>
      </c>
      <c r="R64" s="11">
        <v>-2.167050000000012E-2</v>
      </c>
      <c r="S64" s="1">
        <v>8.1916958333333664E-2</v>
      </c>
      <c r="T64" s="3">
        <f t="shared" si="100"/>
        <v>3.076188888888888E-2</v>
      </c>
      <c r="U64" s="11">
        <f t="shared" si="109"/>
        <v>0.78263684966646963</v>
      </c>
      <c r="V64" s="3">
        <v>5.9684782926955268E-3</v>
      </c>
      <c r="W64" s="11">
        <v>0</v>
      </c>
      <c r="AA64" s="7">
        <v>9.25</v>
      </c>
      <c r="AB64" s="7">
        <v>6.75</v>
      </c>
      <c r="AC64" s="11">
        <v>-1.1288888888888944E-4</v>
      </c>
      <c r="AD64" s="11">
        <v>2.7891111111111254E-3</v>
      </c>
      <c r="AE64" s="11">
        <v>-2.167050000000012E-2</v>
      </c>
      <c r="AF64" s="1">
        <v>8.1916958333333664E-2</v>
      </c>
      <c r="AG64" s="3">
        <f t="shared" si="101"/>
        <v>3.076188888888888E-2</v>
      </c>
      <c r="AH64" s="11">
        <f t="shared" si="110"/>
        <v>0.78260763333004646</v>
      </c>
      <c r="AI64" s="3">
        <v>5.9682554855662586E-3</v>
      </c>
      <c r="AJ64" s="11">
        <v>0</v>
      </c>
      <c r="AK64" s="11"/>
      <c r="AN64" s="7">
        <v>9.25</v>
      </c>
      <c r="AO64" s="7">
        <v>6.75</v>
      </c>
      <c r="AP64" s="11">
        <v>-1.1288888888888944E-4</v>
      </c>
      <c r="AQ64" s="11">
        <v>2.7891111111111254E-3</v>
      </c>
      <c r="AR64" s="11">
        <v>-2.167050000000012E-2</v>
      </c>
      <c r="AS64" s="1">
        <v>8.1916958333333664E-2</v>
      </c>
      <c r="AT64" s="3">
        <f t="shared" si="102"/>
        <v>3.076188888888888E-2</v>
      </c>
      <c r="AU64" s="11">
        <f t="shared" si="111"/>
        <v>0.78259793657482191</v>
      </c>
      <c r="AV64" s="3">
        <v>5.9681815369998295E-3</v>
      </c>
      <c r="AW64" s="11">
        <v>0</v>
      </c>
      <c r="AX64" s="11"/>
      <c r="BA64" s="7">
        <v>9.25</v>
      </c>
      <c r="BB64" s="7">
        <v>6.75</v>
      </c>
      <c r="BC64" s="11">
        <v>-1.1288888888888944E-4</v>
      </c>
      <c r="BD64" s="11">
        <v>2.7891111111111254E-3</v>
      </c>
      <c r="BE64" s="11">
        <v>-2.167050000000012E-2</v>
      </c>
      <c r="BF64" s="1">
        <v>8.1916958333333664E-2</v>
      </c>
      <c r="BG64" s="3">
        <f t="shared" si="103"/>
        <v>3.076188888888888E-2</v>
      </c>
      <c r="BH64" s="11">
        <f t="shared" si="112"/>
        <v>0.78259798097788402</v>
      </c>
      <c r="BI64" s="3">
        <v>5.9681818756226693E-3</v>
      </c>
      <c r="BJ64" s="11">
        <v>0</v>
      </c>
      <c r="BK64" s="11"/>
      <c r="BN64" s="7">
        <v>9.25</v>
      </c>
      <c r="BO64" s="7">
        <v>6.75</v>
      </c>
      <c r="BP64" s="11">
        <v>-1.1288888888888944E-4</v>
      </c>
      <c r="BQ64" s="11">
        <v>2.7891111111111254E-3</v>
      </c>
      <c r="BR64" s="11">
        <v>-2.167050000000012E-2</v>
      </c>
      <c r="BS64" s="1">
        <v>8.1916958333333664E-2</v>
      </c>
      <c r="BT64" s="3">
        <f t="shared" si="104"/>
        <v>3.076188888888888E-2</v>
      </c>
      <c r="BU64" s="11">
        <f t="shared" si="113"/>
        <v>0.78260770644756206</v>
      </c>
      <c r="BV64" s="3">
        <v>5.9682560431688104E-3</v>
      </c>
      <c r="BW64" s="11">
        <v>0</v>
      </c>
      <c r="BX64" s="11"/>
      <c r="CA64" s="7">
        <v>9.25</v>
      </c>
      <c r="CB64" s="7">
        <v>6.75</v>
      </c>
      <c r="CC64" s="11">
        <v>-1.156666666666672E-4</v>
      </c>
      <c r="CD64" s="11">
        <v>2.862027777777791E-3</v>
      </c>
      <c r="CE64" s="11">
        <v>-2.230018750000011E-2</v>
      </c>
      <c r="CF64" s="1">
        <v>8.3699380208333632E-2</v>
      </c>
      <c r="CG64" s="3">
        <f t="shared" si="105"/>
        <v>3.0760152777777758E-2</v>
      </c>
      <c r="CH64" s="11">
        <f t="shared" si="114"/>
        <v>0.78256196830847613</v>
      </c>
      <c r="CI64" s="3">
        <v>5.9672194402743475E-3</v>
      </c>
      <c r="CJ64" s="11">
        <v>0</v>
      </c>
      <c r="CK64" s="11"/>
      <c r="CN64" s="7">
        <v>9.25</v>
      </c>
      <c r="CO64" s="7">
        <v>6.75</v>
      </c>
      <c r="CP64" s="11">
        <v>-1.0640740740740799E-4</v>
      </c>
      <c r="CQ64" s="11">
        <v>2.6245277777777929E-3</v>
      </c>
      <c r="CR64" s="11">
        <v>-2.0326229166666786E-2</v>
      </c>
      <c r="CS64" s="1">
        <v>7.8448598958333643E-2</v>
      </c>
      <c r="CT64" s="3">
        <f t="shared" si="106"/>
        <v>3.0775662037037077E-2</v>
      </c>
      <c r="CU64" s="11">
        <f t="shared" si="115"/>
        <v>0.78246805897133742</v>
      </c>
      <c r="CV64" s="3">
        <v>5.9718522621932616E-3</v>
      </c>
      <c r="CW64" s="11">
        <v>0</v>
      </c>
      <c r="CX64" s="11"/>
      <c r="DA64" s="7">
        <v>9.25</v>
      </c>
      <c r="DB64" s="7">
        <v>6.75</v>
      </c>
      <c r="DC64" s="11">
        <v>-1.1659259259259312E-4</v>
      </c>
      <c r="DD64" s="11">
        <v>2.8807777777777911E-3</v>
      </c>
      <c r="DE64" s="11">
        <v>-2.2385083333333441E-2</v>
      </c>
      <c r="DF64" s="1">
        <v>8.370289583333361E-2</v>
      </c>
      <c r="DG64" s="3">
        <f t="shared" si="107"/>
        <v>3.0849851851851864E-2</v>
      </c>
      <c r="DH64" s="11">
        <f t="shared" si="116"/>
        <v>0.78260868119577109</v>
      </c>
      <c r="DI64" s="3">
        <v>5.9838545090310355E-3</v>
      </c>
      <c r="DJ64" s="11">
        <v>0</v>
      </c>
      <c r="DK64" s="11"/>
    </row>
    <row r="65" spans="1:115" x14ac:dyDescent="0.25">
      <c r="A65" s="7">
        <v>9.5</v>
      </c>
      <c r="B65" s="7">
        <v>6.75</v>
      </c>
      <c r="C65" s="11">
        <v>-1.1288888888888944E-4</v>
      </c>
      <c r="D65" s="11">
        <v>2.7891111111111254E-3</v>
      </c>
      <c r="E65" s="11">
        <v>-2.167050000000012E-2</v>
      </c>
      <c r="F65" s="1">
        <v>8.1916958333333664E-2</v>
      </c>
      <c r="G65" s="3">
        <f t="shared" si="99"/>
        <v>3.0976375000000042E-2</v>
      </c>
      <c r="H65" s="11">
        <f t="shared" si="108"/>
        <v>0.77670253466001482</v>
      </c>
      <c r="I65" s="3">
        <v>5.9732092677324353E-3</v>
      </c>
      <c r="J65" s="11">
        <v>0</v>
      </c>
      <c r="K65" s="11"/>
      <c r="N65" s="7">
        <v>9.5</v>
      </c>
      <c r="O65" s="7">
        <v>6.75</v>
      </c>
      <c r="P65" s="11">
        <v>-1.1288888888888944E-4</v>
      </c>
      <c r="Q65" s="11">
        <v>2.7891111111111254E-3</v>
      </c>
      <c r="R65" s="11">
        <v>-2.167050000000012E-2</v>
      </c>
      <c r="S65" s="1">
        <v>8.1916958333333664E-2</v>
      </c>
      <c r="T65" s="3">
        <f t="shared" si="100"/>
        <v>3.0976375000000042E-2</v>
      </c>
      <c r="U65" s="11">
        <f t="shared" si="109"/>
        <v>0.77666393723119143</v>
      </c>
      <c r="V65" s="3">
        <v>5.9729124352782192E-3</v>
      </c>
      <c r="W65" s="11">
        <v>0</v>
      </c>
      <c r="AA65" s="7">
        <v>9.5</v>
      </c>
      <c r="AB65" s="7">
        <v>6.75</v>
      </c>
      <c r="AC65" s="11">
        <v>-1.1288888888888944E-4</v>
      </c>
      <c r="AD65" s="11">
        <v>2.7891111111111254E-3</v>
      </c>
      <c r="AE65" s="11">
        <v>-2.167050000000012E-2</v>
      </c>
      <c r="AF65" s="1">
        <v>8.1916958333333664E-2</v>
      </c>
      <c r="AG65" s="3">
        <f t="shared" si="101"/>
        <v>3.0976375000000042E-2</v>
      </c>
      <c r="AH65" s="11">
        <f t="shared" si="110"/>
        <v>0.77663494386742693</v>
      </c>
      <c r="AI65" s="3">
        <v>5.9726894626195596E-3</v>
      </c>
      <c r="AJ65" s="11">
        <v>0</v>
      </c>
      <c r="AK65" s="11"/>
      <c r="AN65" s="7">
        <v>9.5</v>
      </c>
      <c r="AO65" s="7">
        <v>6.75</v>
      </c>
      <c r="AP65" s="11">
        <v>-1.1288888888888944E-4</v>
      </c>
      <c r="AQ65" s="11">
        <v>2.7891111111111254E-3</v>
      </c>
      <c r="AR65" s="11">
        <v>-2.167050000000012E-2</v>
      </c>
      <c r="AS65" s="1">
        <v>8.1916958333333664E-2</v>
      </c>
      <c r="AT65" s="3">
        <f t="shared" si="102"/>
        <v>3.0976375000000042E-2</v>
      </c>
      <c r="AU65" s="11">
        <f t="shared" si="111"/>
        <v>0.77662532111570715</v>
      </c>
      <c r="AV65" s="3">
        <v>5.9726154591147572E-3</v>
      </c>
      <c r="AW65" s="11">
        <v>0</v>
      </c>
      <c r="AX65" s="11"/>
      <c r="BA65" s="7">
        <v>9.5</v>
      </c>
      <c r="BB65" s="7">
        <v>6.75</v>
      </c>
      <c r="BC65" s="11">
        <v>-1.1288888888888944E-4</v>
      </c>
      <c r="BD65" s="11">
        <v>2.7891111111111254E-3</v>
      </c>
      <c r="BE65" s="11">
        <v>-2.167050000000012E-2</v>
      </c>
      <c r="BF65" s="1">
        <v>8.1916958333333664E-2</v>
      </c>
      <c r="BG65" s="3">
        <f t="shared" si="103"/>
        <v>3.0976375000000042E-2</v>
      </c>
      <c r="BH65" s="11">
        <f t="shared" si="112"/>
        <v>0.77662536517989489</v>
      </c>
      <c r="BI65" s="3">
        <v>5.9726157979891692E-3</v>
      </c>
      <c r="BJ65" s="11">
        <v>0</v>
      </c>
      <c r="BK65" s="11"/>
      <c r="BN65" s="7">
        <v>9.5</v>
      </c>
      <c r="BO65" s="7">
        <v>6.75</v>
      </c>
      <c r="BP65" s="11">
        <v>-1.1288888888888944E-4</v>
      </c>
      <c r="BQ65" s="11">
        <v>2.7891111111111254E-3</v>
      </c>
      <c r="BR65" s="11">
        <v>-2.167050000000012E-2</v>
      </c>
      <c r="BS65" s="1">
        <v>8.1916958333333664E-2</v>
      </c>
      <c r="BT65" s="3">
        <f t="shared" si="104"/>
        <v>3.0976375000000042E-2</v>
      </c>
      <c r="BU65" s="11">
        <f t="shared" si="113"/>
        <v>0.77663501642692567</v>
      </c>
      <c r="BV65" s="3">
        <v>5.9726900206363695E-3</v>
      </c>
      <c r="BW65" s="11">
        <v>0</v>
      </c>
      <c r="BX65" s="11"/>
      <c r="CA65" s="7">
        <v>9.5</v>
      </c>
      <c r="CB65" s="7">
        <v>6.75</v>
      </c>
      <c r="CC65" s="11">
        <v>-1.156666666666672E-4</v>
      </c>
      <c r="CD65" s="11">
        <v>2.862027777777791E-3</v>
      </c>
      <c r="CE65" s="11">
        <v>-2.230018750000011E-2</v>
      </c>
      <c r="CF65" s="1">
        <v>8.3699380208333632E-2</v>
      </c>
      <c r="CG65" s="3">
        <f t="shared" si="105"/>
        <v>3.097589756944448E-2</v>
      </c>
      <c r="CH65" s="11">
        <f t="shared" si="114"/>
        <v>0.77658996184050055</v>
      </c>
      <c r="CI65" s="3">
        <v>5.9720064679755994E-3</v>
      </c>
      <c r="CJ65" s="11">
        <v>0</v>
      </c>
      <c r="CK65" s="11"/>
      <c r="CN65" s="7">
        <v>9.5</v>
      </c>
      <c r="CO65" s="7">
        <v>6.75</v>
      </c>
      <c r="CP65" s="11">
        <v>-1.0640740740740799E-4</v>
      </c>
      <c r="CQ65" s="11">
        <v>2.6245277777777929E-3</v>
      </c>
      <c r="CR65" s="11">
        <v>-2.0326229166666786E-2</v>
      </c>
      <c r="CS65" s="1">
        <v>7.8448598958333643E-2</v>
      </c>
      <c r="CT65" s="3">
        <f t="shared" si="106"/>
        <v>3.0982002893518573E-2</v>
      </c>
      <c r="CU65" s="11">
        <f t="shared" si="115"/>
        <v>0.77649378142359904</v>
      </c>
      <c r="CV65" s="3">
        <v>5.9742775477384059E-3</v>
      </c>
      <c r="CW65" s="11">
        <v>0</v>
      </c>
      <c r="CX65" s="11"/>
      <c r="DA65" s="7">
        <v>9.5</v>
      </c>
      <c r="DB65" s="7">
        <v>6.75</v>
      </c>
      <c r="DC65" s="11">
        <v>-1.1659259259259312E-4</v>
      </c>
      <c r="DD65" s="11">
        <v>2.8807777777777911E-3</v>
      </c>
      <c r="DE65" s="11">
        <v>-2.2385083333333441E-2</v>
      </c>
      <c r="DF65" s="1">
        <v>8.370289583333361E-2</v>
      </c>
      <c r="DG65" s="3">
        <f t="shared" si="107"/>
        <v>3.1071224537037048E-2</v>
      </c>
      <c r="DH65" s="11">
        <f t="shared" si="116"/>
        <v>0.77661903564701151</v>
      </c>
      <c r="DI65" s="3">
        <v>5.9896455487595916E-3</v>
      </c>
      <c r="DJ65" s="11">
        <v>0</v>
      </c>
      <c r="DK65" s="11"/>
    </row>
    <row r="66" spans="1:115" x14ac:dyDescent="0.25">
      <c r="A66" s="7">
        <v>9.75</v>
      </c>
      <c r="B66" s="7">
        <v>9.75</v>
      </c>
      <c r="C66" s="11">
        <v>6.416975519422575E-8</v>
      </c>
      <c r="D66" s="11">
        <v>-1.345960615198885E-5</v>
      </c>
      <c r="E66" s="11">
        <v>7.6682857457099766E-4</v>
      </c>
      <c r="F66" s="1">
        <v>2.4880782201896337E-2</v>
      </c>
      <c r="G66" s="3">
        <f t="shared" si="99"/>
        <v>3.1137333333333347E-2</v>
      </c>
      <c r="H66" s="11">
        <f t="shared" si="108"/>
        <v>0.77073389908916534</v>
      </c>
      <c r="I66" s="3">
        <v>5.9686355708495438E-3</v>
      </c>
      <c r="J66" s="11">
        <v>0</v>
      </c>
      <c r="K66" s="11"/>
      <c r="N66" s="7">
        <v>9.75</v>
      </c>
      <c r="O66" s="7">
        <v>9.75</v>
      </c>
      <c r="P66" s="11">
        <v>6.416975519422575E-8</v>
      </c>
      <c r="Q66" s="11">
        <v>-1.345960615198885E-5</v>
      </c>
      <c r="R66" s="11">
        <v>7.6682857457099766E-4</v>
      </c>
      <c r="S66" s="1">
        <v>2.4880782201896337E-2</v>
      </c>
      <c r="T66" s="3">
        <f t="shared" si="100"/>
        <v>3.1137333333333347E-2</v>
      </c>
      <c r="U66" s="11">
        <f t="shared" si="109"/>
        <v>0.77069559826551104</v>
      </c>
      <c r="V66" s="3">
        <v>5.9683389656804628E-3</v>
      </c>
      <c r="W66" s="11">
        <v>0</v>
      </c>
      <c r="AA66" s="7">
        <v>9.75</v>
      </c>
      <c r="AB66" s="7">
        <v>9.75</v>
      </c>
      <c r="AC66" s="11">
        <v>6.416975519422575E-8</v>
      </c>
      <c r="AD66" s="11">
        <v>-1.345960615198885E-5</v>
      </c>
      <c r="AE66" s="11">
        <v>7.6682857457099766E-4</v>
      </c>
      <c r="AF66" s="1">
        <v>2.4880782201896337E-2</v>
      </c>
      <c r="AG66" s="3">
        <f t="shared" si="101"/>
        <v>3.1137333333333347E-2</v>
      </c>
      <c r="AH66" s="11">
        <f t="shared" si="110"/>
        <v>0.77066682770367456</v>
      </c>
      <c r="AI66" s="3">
        <v>5.9681161637523614E-3</v>
      </c>
      <c r="AJ66" s="11">
        <v>0</v>
      </c>
      <c r="AK66" s="11"/>
      <c r="AN66" s="7">
        <v>9.75</v>
      </c>
      <c r="AO66" s="7">
        <v>9.75</v>
      </c>
      <c r="AP66" s="11">
        <v>6.416975519422575E-8</v>
      </c>
      <c r="AQ66" s="11">
        <v>-1.345960615198885E-5</v>
      </c>
      <c r="AR66" s="11">
        <v>7.6682857457099766E-4</v>
      </c>
      <c r="AS66" s="1">
        <v>2.4880782201896337E-2</v>
      </c>
      <c r="AT66" s="3">
        <f t="shared" si="102"/>
        <v>3.1137333333333347E-2</v>
      </c>
      <c r="AU66" s="11">
        <f t="shared" si="111"/>
        <v>0.77065727889879498</v>
      </c>
      <c r="AV66" s="3">
        <v>5.9680422169121729E-3</v>
      </c>
      <c r="AW66" s="11">
        <v>0</v>
      </c>
      <c r="AX66" s="11"/>
      <c r="BA66" s="7">
        <v>9.75</v>
      </c>
      <c r="BB66" s="7">
        <v>9.75</v>
      </c>
      <c r="BC66" s="11">
        <v>6.416975519422575E-8</v>
      </c>
      <c r="BD66" s="11">
        <v>-1.345960615198885E-5</v>
      </c>
      <c r="BE66" s="11">
        <v>7.6682857457099766E-4</v>
      </c>
      <c r="BF66" s="1">
        <v>2.4880782201896337E-2</v>
      </c>
      <c r="BG66" s="3">
        <f t="shared" si="103"/>
        <v>3.1137333333333347E-2</v>
      </c>
      <c r="BH66" s="11">
        <f t="shared" si="112"/>
        <v>0.77065732262436781</v>
      </c>
      <c r="BI66" s="3">
        <v>5.9680425555271085E-3</v>
      </c>
      <c r="BJ66" s="11">
        <v>0</v>
      </c>
      <c r="BK66" s="11"/>
      <c r="BN66" s="7">
        <v>9.75</v>
      </c>
      <c r="BO66" s="7">
        <v>9.75</v>
      </c>
      <c r="BP66" s="11">
        <v>6.416975519422575E-8</v>
      </c>
      <c r="BQ66" s="11">
        <v>-1.345960615198885E-5</v>
      </c>
      <c r="BR66" s="11">
        <v>7.6682857457099766E-4</v>
      </c>
      <c r="BS66" s="1">
        <v>2.4880782201896337E-2</v>
      </c>
      <c r="BT66" s="3">
        <f t="shared" si="104"/>
        <v>3.1137333333333347E-2</v>
      </c>
      <c r="BU66" s="11">
        <f t="shared" si="113"/>
        <v>0.77066689970558377</v>
      </c>
      <c r="BV66" s="3">
        <v>5.9681167213418967E-3</v>
      </c>
      <c r="BW66" s="11">
        <v>0</v>
      </c>
      <c r="BX66" s="11"/>
      <c r="CA66" s="7">
        <v>9.75</v>
      </c>
      <c r="CB66" s="7">
        <v>9.75</v>
      </c>
      <c r="CC66" s="11">
        <v>6.416975519422575E-8</v>
      </c>
      <c r="CD66" s="11">
        <v>-1.345960615198885E-5</v>
      </c>
      <c r="CE66" s="11">
        <v>7.6682857457099766E-4</v>
      </c>
      <c r="CF66" s="1">
        <v>2.4880782201896337E-2</v>
      </c>
      <c r="CG66" s="3">
        <f t="shared" si="105"/>
        <v>3.1137333333333347E-2</v>
      </c>
      <c r="CH66" s="11">
        <f t="shared" si="114"/>
        <v>0.77062228261772603</v>
      </c>
      <c r="CI66" s="3">
        <v>5.9676792227745445E-3</v>
      </c>
      <c r="CJ66" s="11">
        <v>0</v>
      </c>
      <c r="CK66" s="11"/>
      <c r="CN66" s="7">
        <v>9.75</v>
      </c>
      <c r="CO66" s="7">
        <v>9.75</v>
      </c>
      <c r="CP66" s="11">
        <v>6.2123525755634378E-8</v>
      </c>
      <c r="CQ66" s="11">
        <v>-1.3030409527244312E-5</v>
      </c>
      <c r="CR66" s="11">
        <v>7.4237613277983085E-4</v>
      </c>
      <c r="CS66" s="1">
        <v>2.5080289572158986E-2</v>
      </c>
      <c r="CT66" s="3">
        <f t="shared" si="106"/>
        <v>3.1137333333333336E-2</v>
      </c>
      <c r="CU66" s="11">
        <f t="shared" si="115"/>
        <v>0.77052567425626461</v>
      </c>
      <c r="CV66" s="3">
        <v>5.9681071673344851E-3</v>
      </c>
      <c r="CW66" s="11">
        <v>0</v>
      </c>
      <c r="CX66" s="11"/>
      <c r="DA66" s="7">
        <v>9.75</v>
      </c>
      <c r="DB66" s="7">
        <v>9.75</v>
      </c>
      <c r="DC66" s="11">
        <v>6.6215984632817108E-8</v>
      </c>
      <c r="DD66" s="11">
        <v>-1.3888802776733389E-5</v>
      </c>
      <c r="DE66" s="11">
        <v>7.9128101636216446E-4</v>
      </c>
      <c r="DF66" s="1">
        <v>2.4781274831633678E-2</v>
      </c>
      <c r="DG66" s="3">
        <f t="shared" si="107"/>
        <v>3.1237333333333346E-2</v>
      </c>
      <c r="DH66" s="11">
        <f t="shared" si="116"/>
        <v>0.77063290861223144</v>
      </c>
      <c r="DI66" s="3">
        <v>5.9861270347801483E-3</v>
      </c>
      <c r="DJ66" s="11">
        <v>0</v>
      </c>
      <c r="DK66" s="11"/>
    </row>
    <row r="67" spans="1:115" x14ac:dyDescent="0.25">
      <c r="A67" s="7">
        <v>10</v>
      </c>
      <c r="B67" s="7">
        <v>9.75</v>
      </c>
      <c r="C67" s="11">
        <v>6.416975519422575E-8</v>
      </c>
      <c r="D67" s="11">
        <v>-1.345960615198885E-5</v>
      </c>
      <c r="E67" s="11">
        <v>7.6682857457099766E-4</v>
      </c>
      <c r="F67" s="1">
        <v>2.4880782201896337E-2</v>
      </c>
      <c r="H67" s="11">
        <f t="shared" si="108"/>
        <v>0.76478059203390936</v>
      </c>
      <c r="I67" s="3">
        <v>5.9533070552559644E-3</v>
      </c>
      <c r="J67" s="11">
        <v>0.76478059203390936</v>
      </c>
      <c r="K67" s="11"/>
      <c r="N67" s="7">
        <v>10</v>
      </c>
      <c r="O67" s="7">
        <v>9.75</v>
      </c>
      <c r="P67" s="11">
        <v>6.416975519422575E-8</v>
      </c>
      <c r="Q67" s="11">
        <v>-1.345960615198885E-5</v>
      </c>
      <c r="R67" s="11">
        <v>7.6682857457099766E-4</v>
      </c>
      <c r="S67" s="1">
        <v>2.4880782201896337E-2</v>
      </c>
      <c r="U67" s="11">
        <f t="shared" si="109"/>
        <v>0.76474258705368936</v>
      </c>
      <c r="V67" s="3">
        <v>5.9530112118216048E-3</v>
      </c>
      <c r="W67" s="11">
        <v>0.76474258705368936</v>
      </c>
      <c r="AA67" s="7">
        <v>10</v>
      </c>
      <c r="AB67" s="7">
        <v>9.75</v>
      </c>
      <c r="AC67" s="11">
        <v>6.416975519422575E-8</v>
      </c>
      <c r="AD67" s="11">
        <v>-1.345960615198885E-5</v>
      </c>
      <c r="AE67" s="11">
        <v>7.6682857457099766E-4</v>
      </c>
      <c r="AF67" s="1">
        <v>2.4880782201896337E-2</v>
      </c>
      <c r="AH67" s="11">
        <f t="shared" si="110"/>
        <v>0.76471403872158616</v>
      </c>
      <c r="AI67" s="3">
        <v>5.9527889820884033E-3</v>
      </c>
      <c r="AJ67" s="11">
        <v>0.76471403872158616</v>
      </c>
      <c r="AK67" s="11"/>
      <c r="AN67" s="7">
        <v>10</v>
      </c>
      <c r="AO67" s="7">
        <v>9.75</v>
      </c>
      <c r="AP67" s="11">
        <v>6.416975519422575E-8</v>
      </c>
      <c r="AQ67" s="11">
        <v>-1.345960615198885E-5</v>
      </c>
      <c r="AR67" s="11">
        <v>7.6682857457099766E-4</v>
      </c>
      <c r="AS67" s="1">
        <v>2.4880782201896337E-2</v>
      </c>
      <c r="AU67" s="11">
        <f t="shared" si="111"/>
        <v>0.76470456367363815</v>
      </c>
      <c r="AV67" s="3">
        <v>5.9527152251568263E-3</v>
      </c>
      <c r="AW67" s="11">
        <v>0.76470456367363815</v>
      </c>
      <c r="AX67" s="11"/>
      <c r="BA67" s="7">
        <v>10</v>
      </c>
      <c r="BB67" s="7">
        <v>9.75</v>
      </c>
      <c r="BC67" s="11">
        <v>6.416975519422575E-8</v>
      </c>
      <c r="BD67" s="11">
        <v>-1.345960615198885E-5</v>
      </c>
      <c r="BE67" s="11">
        <v>7.6682857457099766E-4</v>
      </c>
      <c r="BF67" s="1">
        <v>2.4880782201896337E-2</v>
      </c>
      <c r="BH67" s="11">
        <f t="shared" si="112"/>
        <v>0.76470460706146559</v>
      </c>
      <c r="BI67" s="3">
        <v>5.952715562902138E-3</v>
      </c>
      <c r="BJ67" s="11">
        <v>0.76470460706146559</v>
      </c>
      <c r="BK67" s="11"/>
      <c r="BN67" s="7">
        <v>10</v>
      </c>
      <c r="BO67" s="7">
        <v>9.75</v>
      </c>
      <c r="BP67" s="11">
        <v>6.416975519422575E-8</v>
      </c>
      <c r="BQ67" s="11">
        <v>-1.345960615198885E-5</v>
      </c>
      <c r="BR67" s="11">
        <v>7.6682857457099766E-4</v>
      </c>
      <c r="BS67" s="1">
        <v>2.4880782201896337E-2</v>
      </c>
      <c r="BU67" s="11">
        <f t="shared" si="113"/>
        <v>0.76471411016733781</v>
      </c>
      <c r="BV67" s="3">
        <v>5.9527895382459495E-3</v>
      </c>
      <c r="BW67" s="11">
        <v>0.76471411016733781</v>
      </c>
      <c r="BX67" s="11"/>
      <c r="CA67" s="7">
        <v>10</v>
      </c>
      <c r="CB67" s="7">
        <v>9.75</v>
      </c>
      <c r="CC67" s="11">
        <v>6.416975519422575E-8</v>
      </c>
      <c r="CD67" s="11">
        <v>-1.345960615198885E-5</v>
      </c>
      <c r="CE67" s="11">
        <v>7.6682857457099766E-4</v>
      </c>
      <c r="CF67" s="1">
        <v>2.4880782201896337E-2</v>
      </c>
      <c r="CH67" s="11">
        <f t="shared" si="114"/>
        <v>0.76466983771103736</v>
      </c>
      <c r="CI67" s="3">
        <v>5.9524449066886212E-3</v>
      </c>
      <c r="CJ67" s="11">
        <v>0.76466983771103736</v>
      </c>
      <c r="CK67" s="11"/>
      <c r="CN67" s="7">
        <v>10</v>
      </c>
      <c r="CO67" s="7">
        <v>9.75</v>
      </c>
      <c r="CP67" s="11">
        <v>6.2123525755634378E-8</v>
      </c>
      <c r="CQ67" s="11">
        <v>-1.3030409527244312E-5</v>
      </c>
      <c r="CR67" s="11">
        <v>7.4237613277983085E-4</v>
      </c>
      <c r="CS67" s="1">
        <v>2.5080289572158986E-2</v>
      </c>
      <c r="CU67" s="11">
        <f t="shared" si="115"/>
        <v>0.76457397557241702</v>
      </c>
      <c r="CV67" s="3">
        <v>5.9516986838475524E-3</v>
      </c>
      <c r="CW67" s="11">
        <v>0.76457397557241702</v>
      </c>
      <c r="CX67" s="11"/>
      <c r="DA67" s="7">
        <v>10</v>
      </c>
      <c r="DB67" s="7">
        <v>9.75</v>
      </c>
      <c r="DC67" s="11">
        <v>6.6215984632817108E-8</v>
      </c>
      <c r="DD67" s="11">
        <v>-1.3888802776733389E-5</v>
      </c>
      <c r="DE67" s="11">
        <v>7.9128101636216446E-4</v>
      </c>
      <c r="DF67" s="1">
        <v>2.4781274831633678E-2</v>
      </c>
      <c r="DH67" s="11">
        <f t="shared" si="116"/>
        <v>0.76466141275290644</v>
      </c>
      <c r="DI67" s="3">
        <v>5.9714958593250333E-3</v>
      </c>
      <c r="DJ67" s="11">
        <v>0.76466141275290644</v>
      </c>
      <c r="DK67" s="11"/>
    </row>
    <row r="68" spans="1:115" x14ac:dyDescent="0.25">
      <c r="A68" s="7"/>
      <c r="B68" s="7"/>
      <c r="C68" s="11"/>
      <c r="D68" s="11"/>
      <c r="E68" s="11"/>
      <c r="F68" s="1"/>
      <c r="H68" s="11"/>
      <c r="I68" s="3"/>
      <c r="J68" s="11"/>
    </row>
    <row r="69" spans="1:115" x14ac:dyDescent="0.25">
      <c r="A69" s="23" t="s">
        <v>76</v>
      </c>
      <c r="B69" s="23"/>
      <c r="C69" s="24"/>
      <c r="D69" s="24"/>
      <c r="E69" s="24"/>
      <c r="F69" s="25"/>
      <c r="G69" s="5"/>
      <c r="H69" s="24"/>
      <c r="I69" s="26"/>
      <c r="J69" s="2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spans="1:115" s="22" customFormat="1" x14ac:dyDescent="0.25">
      <c r="F70" s="22" t="s">
        <v>4</v>
      </c>
    </row>
    <row r="71" spans="1:115" x14ac:dyDescent="0.25">
      <c r="A71" s="29" t="s">
        <v>56</v>
      </c>
      <c r="B71" s="29"/>
      <c r="C71" s="29"/>
      <c r="D71" s="29"/>
      <c r="F71" s="3">
        <f>M13</f>
        <v>1E-4</v>
      </c>
      <c r="G71" s="3">
        <f>Z13</f>
        <v>1E-4</v>
      </c>
      <c r="H71" s="3">
        <f>AM13</f>
        <v>1E-4</v>
      </c>
      <c r="I71" s="3">
        <f>AZ13</f>
        <v>1E-4</v>
      </c>
      <c r="J71" s="3">
        <f>BM13</f>
        <v>1E-4</v>
      </c>
      <c r="K71" s="3">
        <f>BZ13</f>
        <v>1E-4</v>
      </c>
      <c r="L71" s="3">
        <f>CM13</f>
        <v>1E-4</v>
      </c>
      <c r="M71" s="3">
        <f>CZ13</f>
        <v>1E-4</v>
      </c>
      <c r="AG71" t="s">
        <v>59</v>
      </c>
    </row>
    <row r="72" spans="1:115" x14ac:dyDescent="0.25">
      <c r="A72" t="s">
        <v>9</v>
      </c>
      <c r="B72" t="s">
        <v>10</v>
      </c>
      <c r="C72" t="s">
        <v>57</v>
      </c>
      <c r="D72" t="s">
        <v>30</v>
      </c>
      <c r="F72" t="s">
        <v>58</v>
      </c>
      <c r="O72" t="s">
        <v>45</v>
      </c>
      <c r="X72" t="s">
        <v>47</v>
      </c>
      <c r="AG72" t="s">
        <v>9</v>
      </c>
      <c r="AH72" t="s">
        <v>10</v>
      </c>
    </row>
    <row r="73" spans="1:115" x14ac:dyDescent="0.25">
      <c r="A73" s="7">
        <f>A14</f>
        <v>0</v>
      </c>
      <c r="B73" s="9">
        <f>B14</f>
        <v>2.53E-2</v>
      </c>
      <c r="C73" t="str">
        <f t="shared" ref="C73:C80" si="117">A2</f>
        <v>3M Fixing</v>
      </c>
      <c r="D73" s="9">
        <f t="array" ref="D73:D80">TRANSPOSE(A24:H24)</f>
        <v>2.53E-2</v>
      </c>
      <c r="F73" s="9">
        <f t="array" ref="F73:F80">TRANSPOSE(N24:U24)</f>
        <v>2.5399999999999999E-2</v>
      </c>
      <c r="G73" s="9">
        <f t="array" ref="G73:G80">TRANSPOSE(AA24:AH24)</f>
        <v>2.53E-2</v>
      </c>
      <c r="H73" s="9">
        <f t="array" ref="H73:H80">TRANSPOSE(AN24:AU24)</f>
        <v>2.53E-2</v>
      </c>
      <c r="I73" s="9">
        <f t="array" ref="I73:I80">TRANSPOSE(BA24:BH24)</f>
        <v>2.53E-2</v>
      </c>
      <c r="J73" s="9">
        <f t="array" ref="J73:J80">TRANSPOSE(BN24:BU24)</f>
        <v>2.53E-2</v>
      </c>
      <c r="K73" s="9">
        <f t="array" ref="K73:K80">TRANSPOSE(CA24:CH24)</f>
        <v>2.53E-2</v>
      </c>
      <c r="L73" s="9">
        <f t="array" ref="L73:L80">TRANSPOSE(CN24:CU24)</f>
        <v>2.53E-2</v>
      </c>
      <c r="M73" s="9">
        <f t="array" ref="M73:M80">TRANSPOSE(DA24:DH24)</f>
        <v>2.53E-2</v>
      </c>
      <c r="O73" s="11">
        <f t="array" ref="O73:O80">(F73:F80-$D73:$D80)/F71</f>
        <v>0.99999999999999389</v>
      </c>
      <c r="P73" s="11">
        <f t="array" ref="P73:P80">(G73:G80-$D73:$D80)/G71</f>
        <v>0</v>
      </c>
      <c r="Q73" s="11">
        <f t="array" ref="Q73:Q80">(H73:H80-$D73:$D80)/H71</f>
        <v>0</v>
      </c>
      <c r="R73" s="11">
        <f t="array" ref="R73:R80">(I73:I80-$D73:$D80)/I71</f>
        <v>0</v>
      </c>
      <c r="S73" s="11">
        <f t="array" ref="S73:S80">(J73:J80-$D73:$D80)/J71</f>
        <v>0</v>
      </c>
      <c r="T73" s="11">
        <f t="array" ref="T73:T80">(K73:K80-$D73:$D80)/K71</f>
        <v>0</v>
      </c>
      <c r="U73" s="11">
        <f t="array" ref="U73:U80">(L73:L80-$D73:$D80)/L71</f>
        <v>0</v>
      </c>
      <c r="V73" s="11">
        <f t="array" ref="V73:V80">(M73:M80-$D73:$D80)/M71</f>
        <v>0</v>
      </c>
      <c r="X73" s="20">
        <f t="array" ref="X73:AE80">MINVERSE(O73:V80)</f>
        <v>1.0000000000000062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G73" s="7">
        <f t="shared" ref="AG73:AG80" si="118">A73</f>
        <v>0</v>
      </c>
      <c r="AH73" s="9">
        <f t="array" ref="AH73:AH80">B73:B80 - MMULT(X73:AE80, D73:D80-B2:B9)</f>
        <v>2.53E-2</v>
      </c>
    </row>
    <row r="74" spans="1:115" x14ac:dyDescent="0.25">
      <c r="A74" s="7">
        <f t="shared" ref="A74:A80" si="119">A15</f>
        <v>0.75</v>
      </c>
      <c r="B74" s="9">
        <f t="shared" ref="B74:B80" si="120">B15</f>
        <v>2.1099999999999994E-2</v>
      </c>
      <c r="C74" t="str">
        <f t="shared" si="117"/>
        <v>1Y Swap</v>
      </c>
      <c r="D74" s="9">
        <v>2.3402278108190143E-2</v>
      </c>
      <c r="F74" s="9">
        <v>2.3453137552916833E-2</v>
      </c>
      <c r="G74" s="9">
        <v>2.3453170265295805E-2</v>
      </c>
      <c r="H74" s="9">
        <v>2.3402278108190143E-2</v>
      </c>
      <c r="I74" s="9">
        <v>2.3402278108190143E-2</v>
      </c>
      <c r="J74" s="9">
        <v>2.3402278108190143E-2</v>
      </c>
      <c r="K74" s="9">
        <v>2.3402278108190143E-2</v>
      </c>
      <c r="L74" s="9">
        <v>2.3402278108190143E-2</v>
      </c>
      <c r="M74" s="9">
        <v>2.3402278108190143E-2</v>
      </c>
      <c r="O74" s="11">
        <v>0.50859444726689818</v>
      </c>
      <c r="P74" s="11">
        <v>0.50892157105662106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X74" s="20">
        <v>-0.99935722160677798</v>
      </c>
      <c r="Y74" s="20">
        <v>1.964939308671479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G74" s="7">
        <f t="shared" si="118"/>
        <v>0.75</v>
      </c>
      <c r="AH74" s="9">
        <v>2.0702535793933476E-2</v>
      </c>
    </row>
    <row r="75" spans="1:115" x14ac:dyDescent="0.25">
      <c r="A75" s="7">
        <f t="shared" si="119"/>
        <v>1.75</v>
      </c>
      <c r="B75" s="9">
        <f t="shared" si="120"/>
        <v>2.3500000000000007E-2</v>
      </c>
      <c r="C75" t="str">
        <f t="shared" si="117"/>
        <v>2Y Swap</v>
      </c>
      <c r="D75" s="9">
        <v>2.3006359554634447E-2</v>
      </c>
      <c r="F75" s="9">
        <v>2.3032073440578799E-2</v>
      </c>
      <c r="G75" s="9">
        <v>2.3052919699203124E-2</v>
      </c>
      <c r="H75" s="9">
        <v>2.3037791578827651E-2</v>
      </c>
      <c r="I75" s="9">
        <v>2.3004394754530134E-2</v>
      </c>
      <c r="J75" s="9">
        <v>2.3006359554634447E-2</v>
      </c>
      <c r="K75" s="9">
        <v>2.3006359554634447E-2</v>
      </c>
      <c r="L75" s="9">
        <v>2.3006359554634447E-2</v>
      </c>
      <c r="M75" s="9">
        <v>2.3006359554634447E-2</v>
      </c>
      <c r="O75" s="11">
        <v>0.25713885944352727</v>
      </c>
      <c r="P75" s="11">
        <v>0.46560144568677519</v>
      </c>
      <c r="Q75" s="11">
        <v>0.31432024193204372</v>
      </c>
      <c r="R75" s="11">
        <v>-1.9648001043127972E-2</v>
      </c>
      <c r="S75" s="11">
        <v>0</v>
      </c>
      <c r="T75" s="11">
        <v>0</v>
      </c>
      <c r="U75" s="11">
        <v>0</v>
      </c>
      <c r="V75" s="11">
        <v>0</v>
      </c>
      <c r="X75" s="20">
        <v>0.63493150222129557</v>
      </c>
      <c r="Y75" s="20">
        <v>-2.7989088564438589</v>
      </c>
      <c r="Z75" s="20">
        <v>2.8880462896128356</v>
      </c>
      <c r="AA75" s="20">
        <v>0.24943955862272182</v>
      </c>
      <c r="AB75" s="20">
        <v>1.9075917428415089E-2</v>
      </c>
      <c r="AC75" s="20">
        <v>1.496113870177381E-3</v>
      </c>
      <c r="AD75" s="20">
        <v>3.3227548299292788E-5</v>
      </c>
      <c r="AE75" s="20">
        <v>1.7327551749777852E-6</v>
      </c>
      <c r="AG75" s="7">
        <f t="shared" si="118"/>
        <v>1.75</v>
      </c>
      <c r="AH75" s="9">
        <v>2.3715537234493399E-2</v>
      </c>
    </row>
    <row r="76" spans="1:115" x14ac:dyDescent="0.25">
      <c r="A76" s="7">
        <f t="shared" si="119"/>
        <v>2.75</v>
      </c>
      <c r="B76" s="9">
        <f t="shared" si="120"/>
        <v>2.5899999999999999E-2</v>
      </c>
      <c r="C76" t="str">
        <f t="shared" si="117"/>
        <v>3Y Swap</v>
      </c>
      <c r="D76" s="9">
        <v>2.3760499494491376E-2</v>
      </c>
      <c r="F76" s="9">
        <v>2.3777847938479004E-2</v>
      </c>
      <c r="G76" s="9">
        <v>2.3790608878256108E-2</v>
      </c>
      <c r="H76" s="9">
        <v>2.3795396316650449E-2</v>
      </c>
      <c r="I76" s="9">
        <v>2.3781152085565263E-2</v>
      </c>
      <c r="J76" s="9">
        <v>2.3759206571315538E-2</v>
      </c>
      <c r="K76" s="9">
        <v>2.3760499494491376E-2</v>
      </c>
      <c r="L76" s="9">
        <v>2.3760499494491376E-2</v>
      </c>
      <c r="M76" s="9">
        <v>2.3760499494491376E-2</v>
      </c>
      <c r="O76" s="11">
        <v>0.17348443987628276</v>
      </c>
      <c r="P76" s="11">
        <v>0.30109383764732184</v>
      </c>
      <c r="Q76" s="11">
        <v>0.34896822159072999</v>
      </c>
      <c r="R76" s="11">
        <v>0.20652591073887228</v>
      </c>
      <c r="S76" s="11">
        <v>-1.2929231758378179E-2</v>
      </c>
      <c r="T76" s="11">
        <v>0</v>
      </c>
      <c r="U76" s="11">
        <v>0</v>
      </c>
      <c r="V76" s="11">
        <v>0</v>
      </c>
      <c r="X76" s="20">
        <v>-0.43727014706350242</v>
      </c>
      <c r="Y76" s="20">
        <v>1.7877072494010684</v>
      </c>
      <c r="Z76" s="20">
        <v>-4.6940445155467883</v>
      </c>
      <c r="AA76" s="20">
        <v>3.9904264175076727</v>
      </c>
      <c r="AB76" s="20">
        <v>0.3051682951366827</v>
      </c>
      <c r="AC76" s="20">
        <v>2.3934184072965398E-2</v>
      </c>
      <c r="AD76" s="20">
        <v>5.3155997891680138E-4</v>
      </c>
      <c r="AE76" s="20">
        <v>2.7719869548689285E-5</v>
      </c>
      <c r="AG76" s="7">
        <f t="shared" si="118"/>
        <v>2.75</v>
      </c>
      <c r="AH76" s="9">
        <v>2.5342557102704638E-2</v>
      </c>
    </row>
    <row r="77" spans="1:115" x14ac:dyDescent="0.25">
      <c r="A77" s="7">
        <f t="shared" si="119"/>
        <v>3.75</v>
      </c>
      <c r="B77" s="9">
        <f t="shared" si="120"/>
        <v>2.6059999999999993E-2</v>
      </c>
      <c r="C77" t="str">
        <f t="shared" si="117"/>
        <v>4Y Swap</v>
      </c>
      <c r="D77" s="9">
        <v>2.4366344876812891E-2</v>
      </c>
      <c r="F77" s="9">
        <v>2.4379517596609591E-2</v>
      </c>
      <c r="G77" s="9">
        <v>2.4389201817933935E-2</v>
      </c>
      <c r="H77" s="9">
        <v>2.4391863016753522E-2</v>
      </c>
      <c r="I77" s="9">
        <v>2.4392149577236392E-2</v>
      </c>
      <c r="J77" s="9">
        <v>2.4381631408292512E-2</v>
      </c>
      <c r="K77" s="9">
        <v>2.4365387960145812E-2</v>
      </c>
      <c r="L77" s="9">
        <v>2.4366344876812891E-2</v>
      </c>
      <c r="M77" s="9">
        <v>2.4366344876812891E-2</v>
      </c>
      <c r="O77" s="11">
        <v>0.13172719796700205</v>
      </c>
      <c r="P77" s="11">
        <v>0.22856941121043861</v>
      </c>
      <c r="Q77" s="11">
        <v>0.2551813994063068</v>
      </c>
      <c r="R77" s="11">
        <v>0.25804700423501248</v>
      </c>
      <c r="S77" s="11">
        <v>0.15286531479620502</v>
      </c>
      <c r="T77" s="11">
        <v>-9.5691666707892198E-3</v>
      </c>
      <c r="U77" s="11">
        <v>0</v>
      </c>
      <c r="V77" s="11">
        <v>0</v>
      </c>
      <c r="X77" s="20">
        <v>0.29757689512576546</v>
      </c>
      <c r="Y77" s="20">
        <v>-1.2290955345006194</v>
      </c>
      <c r="Z77" s="20">
        <v>2.969593217393506</v>
      </c>
      <c r="AA77" s="20">
        <v>-6.8702512555136481</v>
      </c>
      <c r="AB77" s="20">
        <v>5.3894964808550068</v>
      </c>
      <c r="AC77" s="20">
        <v>0.42269528941598544</v>
      </c>
      <c r="AD77" s="20">
        <v>9.3877400810995805E-3</v>
      </c>
      <c r="AE77" s="20">
        <v>4.8955327851311458E-4</v>
      </c>
      <c r="AG77" s="7">
        <f t="shared" si="118"/>
        <v>3.75</v>
      </c>
      <c r="AH77" s="9">
        <v>2.6130747801212058E-2</v>
      </c>
    </row>
    <row r="78" spans="1:115" x14ac:dyDescent="0.25">
      <c r="A78" s="7">
        <f t="shared" si="119"/>
        <v>4.75</v>
      </c>
      <c r="B78" s="9">
        <f t="shared" si="120"/>
        <v>2.7884000000000006E-2</v>
      </c>
      <c r="C78" t="str">
        <f t="shared" si="117"/>
        <v>5Y Swap</v>
      </c>
      <c r="D78" s="9">
        <v>2.4957821453815601E-2</v>
      </c>
      <c r="F78" s="9">
        <v>2.49684940250283E-2</v>
      </c>
      <c r="G78" s="9">
        <v>2.4976336078006707E-2</v>
      </c>
      <c r="H78" s="9">
        <v>2.4978480046111837E-2</v>
      </c>
      <c r="I78" s="9">
        <v>2.497794323903562E-2</v>
      </c>
      <c r="J78" s="9">
        <v>2.497818470562313E-2</v>
      </c>
      <c r="K78" s="9">
        <v>2.4969500089923366E-2</v>
      </c>
      <c r="L78" s="9">
        <v>2.4957444063915247E-2</v>
      </c>
      <c r="M78" s="9">
        <v>2.4957821453815605E-2</v>
      </c>
      <c r="O78" s="11">
        <v>0.10672571212698434</v>
      </c>
      <c r="P78" s="11">
        <v>0.18514624191105777</v>
      </c>
      <c r="Q78" s="11">
        <v>0.2065859229623615</v>
      </c>
      <c r="R78" s="11">
        <v>0.20121785220018895</v>
      </c>
      <c r="S78" s="11">
        <v>0.20363251807528626</v>
      </c>
      <c r="T78" s="11">
        <v>0.11678636107764762</v>
      </c>
      <c r="U78" s="11">
        <v>-3.7738990035438014E-3</v>
      </c>
      <c r="V78" s="11">
        <v>3.4694469519536142E-14</v>
      </c>
      <c r="X78" s="20">
        <v>-0.21105811109000067</v>
      </c>
      <c r="Y78" s="20">
        <v>0.86966469460219897</v>
      </c>
      <c r="Z78" s="20">
        <v>-2.1277327437155926</v>
      </c>
      <c r="AA78" s="20">
        <v>4.5089398979055213</v>
      </c>
      <c r="AB78" s="20">
        <v>-9.6682755554471349</v>
      </c>
      <c r="AC78" s="20">
        <v>7.4377817690867456</v>
      </c>
      <c r="AD78" s="20">
        <v>0.16518746192937542</v>
      </c>
      <c r="AE78" s="20">
        <v>8.6142205534206415E-3</v>
      </c>
      <c r="AG78" s="7">
        <f t="shared" si="118"/>
        <v>4.75</v>
      </c>
      <c r="AH78" s="9">
        <v>2.761921472812956E-2</v>
      </c>
    </row>
    <row r="79" spans="1:115" x14ac:dyDescent="0.25">
      <c r="A79" s="7">
        <f t="shared" si="119"/>
        <v>6.75</v>
      </c>
      <c r="B79" s="9">
        <f t="shared" si="120"/>
        <v>2.8001333333333333E-2</v>
      </c>
      <c r="C79" t="str">
        <f t="shared" si="117"/>
        <v>7Y Swap</v>
      </c>
      <c r="D79" s="9">
        <v>2.5852603351139487E-2</v>
      </c>
      <c r="F79" s="9">
        <v>2.5860427520614872E-2</v>
      </c>
      <c r="G79" s="9">
        <v>2.5866172022307093E-2</v>
      </c>
      <c r="H79" s="9">
        <v>2.5867730292303073E-2</v>
      </c>
      <c r="I79" s="9">
        <v>2.5867323056125255E-2</v>
      </c>
      <c r="J79" s="9">
        <v>2.5865241435120385E-2</v>
      </c>
      <c r="K79" s="9">
        <v>2.5875353462503584E-2</v>
      </c>
      <c r="L79" s="9">
        <v>2.5868247044723614E-2</v>
      </c>
      <c r="M79" s="9">
        <v>2.5851862346470442E-2</v>
      </c>
      <c r="O79" s="11">
        <v>7.8241694753851398E-2</v>
      </c>
      <c r="P79" s="11">
        <v>0.13568671167606128</v>
      </c>
      <c r="Q79" s="11">
        <v>0.15126941163585289</v>
      </c>
      <c r="R79" s="11">
        <v>0.14719704985767523</v>
      </c>
      <c r="S79" s="11">
        <v>0.12638083980897469</v>
      </c>
      <c r="T79" s="11">
        <v>0.22750111364096964</v>
      </c>
      <c r="U79" s="11">
        <v>0.15643693584126844</v>
      </c>
      <c r="V79" s="11">
        <v>-7.4100466904494788E-3</v>
      </c>
      <c r="X79" s="20">
        <v>0.21925666406990568</v>
      </c>
      <c r="Y79" s="20">
        <v>-0.90470659836723311</v>
      </c>
      <c r="Z79" s="20">
        <v>2.2045456892780959</v>
      </c>
      <c r="AA79" s="20">
        <v>-4.7558626830535164</v>
      </c>
      <c r="AB79" s="20">
        <v>8.9297950000954334</v>
      </c>
      <c r="AC79" s="20">
        <v>-10.643889865675851</v>
      </c>
      <c r="AD79" s="20">
        <v>5.6485654244485417</v>
      </c>
      <c r="AE79" s="20">
        <v>0.29456223746640525</v>
      </c>
      <c r="AG79" s="7">
        <f t="shared" si="118"/>
        <v>6.75</v>
      </c>
      <c r="AH79" s="9">
        <v>2.8021257107421101E-2</v>
      </c>
    </row>
    <row r="80" spans="1:115" x14ac:dyDescent="0.25">
      <c r="A80" s="7">
        <f t="shared" si="119"/>
        <v>9.75</v>
      </c>
      <c r="B80" s="9">
        <f t="shared" si="120"/>
        <v>3.1137333333333343E-2</v>
      </c>
      <c r="C80" t="str">
        <f t="shared" si="117"/>
        <v>10Y Swap</v>
      </c>
      <c r="D80" s="9">
        <v>2.6982617971744713E-2</v>
      </c>
      <c r="F80" s="9">
        <v>2.6988318776495532E-2</v>
      </c>
      <c r="G80" s="9">
        <v>2.6992500074964523E-2</v>
      </c>
      <c r="H80" s="9">
        <v>2.6993623003292957E-2</v>
      </c>
      <c r="I80" s="9">
        <v>2.6993313650679165E-2</v>
      </c>
      <c r="J80" s="9">
        <v>2.699179296954583E-2</v>
      </c>
      <c r="K80" s="9">
        <v>2.6997371029588546E-2</v>
      </c>
      <c r="L80" s="9">
        <v>2.700848237595271E-2</v>
      </c>
      <c r="M80" s="9">
        <v>2.6996827577799313E-2</v>
      </c>
      <c r="O80" s="11">
        <v>5.7008047508189108E-2</v>
      </c>
      <c r="P80" s="11">
        <v>9.8821032198104231E-2</v>
      </c>
      <c r="Q80" s="11">
        <v>0.11005031548244615</v>
      </c>
      <c r="R80" s="11">
        <v>0.10695678934451863</v>
      </c>
      <c r="S80" s="11">
        <v>9.1749978011167188E-2</v>
      </c>
      <c r="T80" s="11">
        <v>0.14753057843833184</v>
      </c>
      <c r="U80" s="11">
        <v>0.25864404207997377</v>
      </c>
      <c r="V80" s="11">
        <v>0.14209606054600005</v>
      </c>
      <c r="X80" s="20">
        <v>-0.24089699985453392</v>
      </c>
      <c r="Y80" s="20">
        <v>0.99299282515506704</v>
      </c>
      <c r="Z80" s="20">
        <v>-2.4245397904288457</v>
      </c>
      <c r="AA80" s="20">
        <v>5.2145030310175056</v>
      </c>
      <c r="AB80" s="20">
        <v>-9.9404395768948568</v>
      </c>
      <c r="AC80" s="20">
        <v>11.359720956526449</v>
      </c>
      <c r="AD80" s="20">
        <v>-10.459542826364929</v>
      </c>
      <c r="AE80" s="20">
        <v>6.4920469698514358</v>
      </c>
      <c r="AG80" s="7">
        <f t="shared" si="118"/>
        <v>9.75</v>
      </c>
      <c r="AH80" s="9">
        <v>3.1277955549171774E-2</v>
      </c>
    </row>
    <row r="81" spans="1:115" x14ac:dyDescent="0.25">
      <c r="A81" s="9"/>
    </row>
    <row r="82" spans="1:115" x14ac:dyDescent="0.25">
      <c r="A82" s="27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M82" s="5" t="s">
        <v>78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Z82" s="5" t="s">
        <v>79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M82" s="5" t="s">
        <v>80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Z82" s="5" t="s">
        <v>81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M82" s="5" t="s">
        <v>82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Z82" s="5" t="s">
        <v>83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M82" s="5" t="s">
        <v>84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Z82" s="5" t="s">
        <v>85</v>
      </c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</row>
    <row r="83" spans="1:115" x14ac:dyDescent="0.25">
      <c r="A83" s="21" t="s">
        <v>60</v>
      </c>
      <c r="B83" s="21"/>
      <c r="C83" s="21" t="s">
        <v>61</v>
      </c>
      <c r="D83" s="21"/>
      <c r="E83" t="s">
        <v>62</v>
      </c>
      <c r="F83" s="21" t="s">
        <v>42</v>
      </c>
      <c r="G83" s="21"/>
      <c r="H83" s="21" t="s">
        <v>41</v>
      </c>
      <c r="I83" s="21"/>
      <c r="J83" s="21"/>
      <c r="K83" s="21"/>
      <c r="L83" t="s">
        <v>72</v>
      </c>
      <c r="M83" t="s">
        <v>4</v>
      </c>
      <c r="N83" s="21" t="s">
        <v>60</v>
      </c>
      <c r="O83" s="21"/>
      <c r="P83" s="21" t="s">
        <v>61</v>
      </c>
      <c r="Q83" s="21"/>
      <c r="R83" t="s">
        <v>62</v>
      </c>
      <c r="S83" s="21" t="s">
        <v>42</v>
      </c>
      <c r="T83" s="21"/>
      <c r="U83" s="21" t="s">
        <v>41</v>
      </c>
      <c r="V83" s="21"/>
      <c r="W83" s="21"/>
      <c r="X83" s="21"/>
      <c r="Z83">
        <v>2</v>
      </c>
      <c r="AA83" s="21" t="s">
        <v>60</v>
      </c>
      <c r="AB83" s="21"/>
      <c r="AC83" s="21" t="s">
        <v>61</v>
      </c>
      <c r="AD83" s="21"/>
      <c r="AE83" t="s">
        <v>62</v>
      </c>
      <c r="AF83" s="21" t="s">
        <v>42</v>
      </c>
      <c r="AG83" s="21"/>
      <c r="AH83" s="21" t="s">
        <v>41</v>
      </c>
      <c r="AI83" s="21"/>
      <c r="AJ83" s="21"/>
      <c r="AK83" s="21"/>
      <c r="AM83" t="s">
        <v>4</v>
      </c>
      <c r="AN83" s="21" t="s">
        <v>60</v>
      </c>
      <c r="AO83" s="21"/>
      <c r="AP83" s="21" t="s">
        <v>61</v>
      </c>
      <c r="AQ83" s="21"/>
      <c r="AR83" t="s">
        <v>62</v>
      </c>
      <c r="AS83" s="21" t="s">
        <v>42</v>
      </c>
      <c r="AT83" s="21"/>
      <c r="AU83" s="21" t="s">
        <v>41</v>
      </c>
      <c r="AV83" s="21"/>
      <c r="AW83" s="21"/>
      <c r="AX83" s="21"/>
      <c r="AZ83" t="s">
        <v>4</v>
      </c>
      <c r="BA83" s="21" t="s">
        <v>60</v>
      </c>
      <c r="BB83" s="21"/>
      <c r="BC83" s="21" t="s">
        <v>61</v>
      </c>
      <c r="BD83" s="21"/>
      <c r="BE83" t="s">
        <v>62</v>
      </c>
      <c r="BF83" s="21" t="s">
        <v>42</v>
      </c>
      <c r="BG83" s="21"/>
      <c r="BH83" s="21" t="s">
        <v>41</v>
      </c>
      <c r="BI83" s="21"/>
      <c r="BJ83" s="21"/>
      <c r="BK83" s="21"/>
      <c r="BM83" t="s">
        <v>4</v>
      </c>
      <c r="BN83" s="21" t="s">
        <v>60</v>
      </c>
      <c r="BO83" s="21"/>
      <c r="BP83" s="21" t="s">
        <v>61</v>
      </c>
      <c r="BQ83" s="21"/>
      <c r="BR83" t="s">
        <v>62</v>
      </c>
      <c r="BS83" s="21" t="s">
        <v>42</v>
      </c>
      <c r="BT83" s="21"/>
      <c r="BU83" s="21" t="s">
        <v>41</v>
      </c>
      <c r="BV83" s="21"/>
      <c r="BW83" s="21"/>
      <c r="BX83" s="21"/>
      <c r="BZ83" t="s">
        <v>4</v>
      </c>
      <c r="CA83" s="21" t="s">
        <v>60</v>
      </c>
      <c r="CB83" s="21"/>
      <c r="CC83" s="21" t="s">
        <v>61</v>
      </c>
      <c r="CD83" s="21"/>
      <c r="CE83" t="s">
        <v>62</v>
      </c>
      <c r="CF83" s="21" t="s">
        <v>42</v>
      </c>
      <c r="CG83" s="21"/>
      <c r="CH83" s="21" t="s">
        <v>41</v>
      </c>
      <c r="CI83" s="21"/>
      <c r="CJ83" s="21"/>
      <c r="CK83" s="21"/>
      <c r="CM83" t="s">
        <v>4</v>
      </c>
      <c r="CN83" s="21" t="s">
        <v>60</v>
      </c>
      <c r="CO83" s="21"/>
      <c r="CP83" s="21" t="s">
        <v>61</v>
      </c>
      <c r="CQ83" s="21"/>
      <c r="CR83" t="s">
        <v>62</v>
      </c>
      <c r="CS83" s="21" t="s">
        <v>42</v>
      </c>
      <c r="CT83" s="21"/>
      <c r="CU83" s="21" t="s">
        <v>41</v>
      </c>
      <c r="CV83" s="21"/>
      <c r="CW83" s="21"/>
      <c r="CX83" s="21"/>
      <c r="CZ83" t="s">
        <v>4</v>
      </c>
      <c r="DA83" s="21" t="s">
        <v>60</v>
      </c>
      <c r="DB83" s="21"/>
      <c r="DC83" s="21" t="s">
        <v>61</v>
      </c>
      <c r="DD83" s="21"/>
      <c r="DE83" t="s">
        <v>62</v>
      </c>
      <c r="DF83" s="21" t="s">
        <v>42</v>
      </c>
      <c r="DG83" s="21"/>
      <c r="DH83" s="21" t="s">
        <v>41</v>
      </c>
      <c r="DI83" s="21"/>
      <c r="DJ83" s="21"/>
      <c r="DK83" s="21"/>
    </row>
    <row r="84" spans="1:115" x14ac:dyDescent="0.25">
      <c r="A84" t="s">
        <v>9</v>
      </c>
      <c r="B84" t="s">
        <v>10</v>
      </c>
      <c r="C84" t="s">
        <v>9</v>
      </c>
      <c r="D84" t="s">
        <v>10</v>
      </c>
      <c r="F84" t="s">
        <v>43</v>
      </c>
      <c r="G84" t="s">
        <v>44</v>
      </c>
      <c r="H84" t="s">
        <v>33</v>
      </c>
      <c r="I84" t="s">
        <v>34</v>
      </c>
      <c r="J84" t="s">
        <v>35</v>
      </c>
      <c r="K84" t="s">
        <v>36</v>
      </c>
      <c r="L84">
        <v>0.1</v>
      </c>
      <c r="M84" s="3">
        <f>$F$3*$L84</f>
        <v>1.0000000000000001E-5</v>
      </c>
      <c r="N84" t="s">
        <v>9</v>
      </c>
      <c r="O84" t="s">
        <v>10</v>
      </c>
      <c r="P84" t="s">
        <v>9</v>
      </c>
      <c r="Q84" t="s">
        <v>10</v>
      </c>
      <c r="S84" t="s">
        <v>43</v>
      </c>
      <c r="T84" t="s">
        <v>44</v>
      </c>
      <c r="U84" t="s">
        <v>33</v>
      </c>
      <c r="V84" t="s">
        <v>34</v>
      </c>
      <c r="W84" t="s">
        <v>35</v>
      </c>
      <c r="X84" t="s">
        <v>36</v>
      </c>
      <c r="Z84" s="3">
        <f>$F$3*$L84</f>
        <v>1.0000000000000001E-5</v>
      </c>
      <c r="AA84" t="s">
        <v>9</v>
      </c>
      <c r="AB84" t="s">
        <v>10</v>
      </c>
      <c r="AC84" t="s">
        <v>9</v>
      </c>
      <c r="AD84" t="s">
        <v>10</v>
      </c>
      <c r="AF84" t="s">
        <v>43</v>
      </c>
      <c r="AG84" t="s">
        <v>44</v>
      </c>
      <c r="AH84" t="s">
        <v>33</v>
      </c>
      <c r="AI84" t="s">
        <v>34</v>
      </c>
      <c r="AJ84" t="s">
        <v>35</v>
      </c>
      <c r="AK84" t="s">
        <v>36</v>
      </c>
      <c r="AM84" s="3">
        <f>$F$3*$L84</f>
        <v>1.0000000000000001E-5</v>
      </c>
      <c r="AN84" t="s">
        <v>9</v>
      </c>
      <c r="AO84" t="s">
        <v>10</v>
      </c>
      <c r="AP84" t="s">
        <v>9</v>
      </c>
      <c r="AQ84" t="s">
        <v>10</v>
      </c>
      <c r="AS84" t="s">
        <v>43</v>
      </c>
      <c r="AT84" t="s">
        <v>44</v>
      </c>
      <c r="AU84" t="s">
        <v>33</v>
      </c>
      <c r="AV84" t="s">
        <v>34</v>
      </c>
      <c r="AW84" t="s">
        <v>35</v>
      </c>
      <c r="AX84" t="s">
        <v>36</v>
      </c>
      <c r="AZ84" s="3">
        <f>$F$3*$L84</f>
        <v>1.0000000000000001E-5</v>
      </c>
      <c r="BA84" t="s">
        <v>9</v>
      </c>
      <c r="BB84" t="s">
        <v>10</v>
      </c>
      <c r="BC84" t="s">
        <v>9</v>
      </c>
      <c r="BD84" t="s">
        <v>10</v>
      </c>
      <c r="BF84" t="s">
        <v>43</v>
      </c>
      <c r="BG84" t="s">
        <v>44</v>
      </c>
      <c r="BH84" t="s">
        <v>33</v>
      </c>
      <c r="BI84" t="s">
        <v>34</v>
      </c>
      <c r="BJ84" t="s">
        <v>35</v>
      </c>
      <c r="BK84" t="s">
        <v>36</v>
      </c>
      <c r="BM84" s="3">
        <f>$F$3*$L84</f>
        <v>1.0000000000000001E-5</v>
      </c>
      <c r="BN84" t="s">
        <v>9</v>
      </c>
      <c r="BO84" t="s">
        <v>10</v>
      </c>
      <c r="BP84" t="s">
        <v>9</v>
      </c>
      <c r="BQ84" t="s">
        <v>10</v>
      </c>
      <c r="BS84" t="s">
        <v>43</v>
      </c>
      <c r="BT84" t="s">
        <v>44</v>
      </c>
      <c r="BU84" t="s">
        <v>33</v>
      </c>
      <c r="BV84" t="s">
        <v>34</v>
      </c>
      <c r="BW84" t="s">
        <v>35</v>
      </c>
      <c r="BX84" t="s">
        <v>36</v>
      </c>
      <c r="BZ84" s="3">
        <f>$F$3*$L84</f>
        <v>1.0000000000000001E-5</v>
      </c>
      <c r="CA84" t="s">
        <v>9</v>
      </c>
      <c r="CB84" t="s">
        <v>10</v>
      </c>
      <c r="CC84" t="s">
        <v>9</v>
      </c>
      <c r="CD84" t="s">
        <v>10</v>
      </c>
      <c r="CF84" t="s">
        <v>43</v>
      </c>
      <c r="CG84" t="s">
        <v>44</v>
      </c>
      <c r="CH84" t="s">
        <v>33</v>
      </c>
      <c r="CI84" t="s">
        <v>34</v>
      </c>
      <c r="CJ84" t="s">
        <v>35</v>
      </c>
      <c r="CK84" t="s">
        <v>36</v>
      </c>
      <c r="CM84" s="3">
        <f>$F$3*$L84</f>
        <v>1.0000000000000001E-5</v>
      </c>
      <c r="CN84" t="s">
        <v>9</v>
      </c>
      <c r="CO84" t="s">
        <v>10</v>
      </c>
      <c r="CP84" t="s">
        <v>9</v>
      </c>
      <c r="CQ84" t="s">
        <v>10</v>
      </c>
      <c r="CS84" t="s">
        <v>43</v>
      </c>
      <c r="CT84" t="s">
        <v>44</v>
      </c>
      <c r="CU84" t="s">
        <v>33</v>
      </c>
      <c r="CV84" t="s">
        <v>34</v>
      </c>
      <c r="CW84" t="s">
        <v>35</v>
      </c>
      <c r="CX84" t="s">
        <v>36</v>
      </c>
      <c r="CZ84" s="3">
        <f>$F$3*$L84</f>
        <v>1.0000000000000001E-5</v>
      </c>
      <c r="DA84" t="s">
        <v>9</v>
      </c>
      <c r="DB84" t="s">
        <v>10</v>
      </c>
      <c r="DC84" t="s">
        <v>9</v>
      </c>
      <c r="DD84" t="s">
        <v>10</v>
      </c>
      <c r="DF84" t="s">
        <v>43</v>
      </c>
      <c r="DG84" t="s">
        <v>44</v>
      </c>
      <c r="DH84" t="s">
        <v>33</v>
      </c>
      <c r="DI84" t="s">
        <v>34</v>
      </c>
      <c r="DJ84" t="s">
        <v>35</v>
      </c>
      <c r="DK84" t="s">
        <v>36</v>
      </c>
    </row>
    <row r="85" spans="1:115" x14ac:dyDescent="0.25">
      <c r="A85" s="7">
        <f t="shared" ref="A85:A92" si="121">A73</f>
        <v>0</v>
      </c>
      <c r="B85" s="9">
        <f t="shared" ref="B85:B92" si="122">AH73</f>
        <v>2.53E-2</v>
      </c>
      <c r="C85" s="7">
        <f>A86</f>
        <v>0.75</v>
      </c>
      <c r="D85" s="9">
        <f>B86</f>
        <v>2.0702535793933476E-2</v>
      </c>
      <c r="E85" s="11">
        <f>(D85-B85)/(C85-A85)</f>
        <v>-6.1299522747553653E-3</v>
      </c>
      <c r="F85" s="15">
        <v>0</v>
      </c>
      <c r="G85" s="11">
        <f t="shared" ref="G85:G91" si="123">IF($F$5, (E85*E86&gt;=0) * AVERAGE(E85:E86), AVERAGE(E85:E86))</f>
        <v>0</v>
      </c>
      <c r="H85" s="11">
        <f t="shared" ref="H85:H92" si="124">(F85+G85-2*(D85-B85)/(C85-A85))/(C85-A85)^2</f>
        <v>2.1795385865796855E-2</v>
      </c>
      <c r="I85" s="11">
        <f t="shared" ref="I85:I92" si="125">((D85-B85)/(C85-A85) - F85 - H85*(C85^2 + A85*C85 - 2*A85^2))/(C85-A85)</f>
        <v>-2.4519809099021461E-2</v>
      </c>
      <c r="J85" s="15">
        <f t="shared" ref="J85:J92" si="126">F85-2*I85*A85 - 3*H85*A85^2</f>
        <v>0</v>
      </c>
      <c r="K85" s="11">
        <f t="shared" ref="K85:K92" si="127">B85 -H85*A85^3 - I85*A85^2 - J85*A85</f>
        <v>2.53E-2</v>
      </c>
      <c r="N85" s="7">
        <f>$A85</f>
        <v>0</v>
      </c>
      <c r="O85" s="10">
        <f>$B85+M84</f>
        <v>2.5309999999999999E-2</v>
      </c>
      <c r="P85" s="7">
        <f>N86</f>
        <v>0.75</v>
      </c>
      <c r="Q85" s="9">
        <f>O86</f>
        <v>2.0702535793933476E-2</v>
      </c>
      <c r="R85" s="11">
        <f>(Q85-O85)/(P85-N85)</f>
        <v>-6.1432856080886984E-3</v>
      </c>
      <c r="S85" s="15">
        <v>0</v>
      </c>
      <c r="T85" s="11">
        <f t="shared" ref="T85:T91" si="128">IF($F$5, (R85*R86&gt;=0) * AVERAGE(R85:R86), AVERAGE(R85:R86))</f>
        <v>0</v>
      </c>
      <c r="U85" s="11">
        <f t="shared" ref="U85:U92" si="129">(S85+T85-2*(Q85-O85)/(P85-N85))/(P85-N85)^2</f>
        <v>2.1842793273204261E-2</v>
      </c>
      <c r="V85" s="11">
        <f t="shared" ref="V85:V92" si="130">((Q85-O85)/(P85-N85) - S85 - U85*(P85^2 + N85*P85 - 2*N85^2))/(P85-N85)</f>
        <v>-2.4573142432354794E-2</v>
      </c>
      <c r="W85" s="15">
        <f t="shared" ref="W85:W92" si="131">S85-2*V85*N85 - 3*U85*N85^2</f>
        <v>0</v>
      </c>
      <c r="X85" s="11">
        <f t="shared" ref="X85:X92" si="132">O85 -U85*N85^3 - V85*N85^2 - W85*N85</f>
        <v>2.5309999999999999E-2</v>
      </c>
      <c r="AA85" s="7">
        <f>$A85</f>
        <v>0</v>
      </c>
      <c r="AB85" s="9">
        <f>$B85</f>
        <v>2.53E-2</v>
      </c>
      <c r="AC85" s="7">
        <f>AA86</f>
        <v>0.75</v>
      </c>
      <c r="AD85" s="10">
        <f>AB86</f>
        <v>2.0712535793933475E-2</v>
      </c>
      <c r="AE85" s="11">
        <f>(AD85-AB85)/(AC85-AA85)</f>
        <v>-6.1166189414220322E-3</v>
      </c>
      <c r="AF85" s="15">
        <v>0</v>
      </c>
      <c r="AG85" s="11">
        <f t="shared" ref="AG85:AG91" si="133">IF($F$5, (AE85*AE86&gt;=0) * AVERAGE(AE85:AE86), AVERAGE(AE85:AE86))</f>
        <v>0</v>
      </c>
      <c r="AH85" s="11">
        <f t="shared" ref="AH85:AH92" si="134">(AF85+AG85-2*(AD85-AB85)/(AC85-AA85))/(AC85-AA85)^2</f>
        <v>2.1747978458389449E-2</v>
      </c>
      <c r="AI85" s="11">
        <f t="shared" ref="AI85:AI92" si="135">((AD85-AB85)/(AC85-AA85) - AF85 - AH85*(AC85^2 + AA85*AC85 - 2*AA85^2))/(AC85-AA85)</f>
        <v>-2.4466475765688129E-2</v>
      </c>
      <c r="AJ85" s="15">
        <f t="shared" ref="AJ85:AJ92" si="136">AF85-2*AI85*AA85 - 3*AH85*AA85^2</f>
        <v>0</v>
      </c>
      <c r="AK85" s="11">
        <f t="shared" ref="AK85:AK92" si="137">AB85 -AH85*AA85^3 - AI85*AA85^2 - AJ85*AA85</f>
        <v>2.53E-2</v>
      </c>
      <c r="AN85" s="7">
        <f>$A85</f>
        <v>0</v>
      </c>
      <c r="AO85" s="9">
        <f>$B85</f>
        <v>2.53E-2</v>
      </c>
      <c r="AP85" s="7">
        <f>AN86</f>
        <v>0.75</v>
      </c>
      <c r="AQ85" s="9">
        <f>AO86</f>
        <v>2.0702535793933476E-2</v>
      </c>
      <c r="AR85" s="11">
        <f>(AQ85-AO85)/(AP85-AN85)</f>
        <v>-6.1299522747553653E-3</v>
      </c>
      <c r="AS85" s="15">
        <v>0</v>
      </c>
      <c r="AT85" s="11">
        <f t="shared" ref="AT85:AT91" si="138">IF($F$5, (AR85*AR86&gt;=0) * AVERAGE(AR85:AR86), AVERAGE(AR85:AR86))</f>
        <v>0</v>
      </c>
      <c r="AU85" s="11">
        <f t="shared" ref="AU85:AU92" si="139">(AS85+AT85-2*(AQ85-AO85)/(AP85-AN85))/(AP85-AN85)^2</f>
        <v>2.1795385865796855E-2</v>
      </c>
      <c r="AV85" s="11">
        <f t="shared" ref="AV85:AV92" si="140">((AQ85-AO85)/(AP85-AN85) - AS85 - AU85*(AP85^2 + AN85*AP85 - 2*AN85^2))/(AP85-AN85)</f>
        <v>-2.4519809099021461E-2</v>
      </c>
      <c r="AW85" s="15">
        <f t="shared" ref="AW85:AW92" si="141">AS85-2*AV85*AN85 - 3*AU85*AN85^2</f>
        <v>0</v>
      </c>
      <c r="AX85" s="11">
        <f t="shared" ref="AX85:AX92" si="142">AO85 -AU85*AN85^3 - AV85*AN85^2 - AW85*AN85</f>
        <v>2.53E-2</v>
      </c>
      <c r="BA85" s="7">
        <f>$A85</f>
        <v>0</v>
      </c>
      <c r="BB85" s="9">
        <f>$B85</f>
        <v>2.53E-2</v>
      </c>
      <c r="BC85" s="7">
        <f>BA86</f>
        <v>0.75</v>
      </c>
      <c r="BD85" s="9">
        <f>BB86</f>
        <v>2.0702535793933476E-2</v>
      </c>
      <c r="BE85" s="11">
        <f>(BD85-BB85)/(BC85-BA85)</f>
        <v>-6.1299522747553653E-3</v>
      </c>
      <c r="BF85" s="15">
        <v>0</v>
      </c>
      <c r="BG85" s="11">
        <f t="shared" ref="BG85:BG91" si="143">IF($F$5, (BE85*BE86&gt;=0) * AVERAGE(BE85:BE86), AVERAGE(BE85:BE86))</f>
        <v>0</v>
      </c>
      <c r="BH85" s="11">
        <f t="shared" ref="BH85:BH92" si="144">(BF85+BG85-2*(BD85-BB85)/(BC85-BA85))/(BC85-BA85)^2</f>
        <v>2.1795385865796855E-2</v>
      </c>
      <c r="BI85" s="11">
        <f t="shared" ref="BI85:BI92" si="145">((BD85-BB85)/(BC85-BA85) - BF85 - BH85*(BC85^2 + BA85*BC85 - 2*BA85^2))/(BC85-BA85)</f>
        <v>-2.4519809099021461E-2</v>
      </c>
      <c r="BJ85" s="15">
        <f t="shared" ref="BJ85:BJ92" si="146">BF85-2*BI85*BA85 - 3*BH85*BA85^2</f>
        <v>0</v>
      </c>
      <c r="BK85" s="11">
        <f t="shared" ref="BK85:BK92" si="147">BB85 -BH85*BA85^3 - BI85*BA85^2 - BJ85*BA85</f>
        <v>2.53E-2</v>
      </c>
      <c r="BN85" s="7">
        <f>$A85</f>
        <v>0</v>
      </c>
      <c r="BO85" s="9">
        <f>$B85</f>
        <v>2.53E-2</v>
      </c>
      <c r="BP85" s="7">
        <f>BN86</f>
        <v>0.75</v>
      </c>
      <c r="BQ85" s="9">
        <f>BO86</f>
        <v>2.0702535793933476E-2</v>
      </c>
      <c r="BR85" s="11">
        <f>(BQ85-BO85)/(BP85-BN85)</f>
        <v>-6.1299522747553653E-3</v>
      </c>
      <c r="BS85" s="15">
        <v>0</v>
      </c>
      <c r="BT85" s="11">
        <f t="shared" ref="BT85:BT91" si="148">IF($F$5, (BR85*BR86&gt;=0) * AVERAGE(BR85:BR86), AVERAGE(BR85:BR86))</f>
        <v>0</v>
      </c>
      <c r="BU85" s="11">
        <f t="shared" ref="BU85:BU92" si="149">(BS85+BT85-2*(BQ85-BO85)/(BP85-BN85))/(BP85-BN85)^2</f>
        <v>2.1795385865796855E-2</v>
      </c>
      <c r="BV85" s="11">
        <f t="shared" ref="BV85:BV92" si="150">((BQ85-BO85)/(BP85-BN85) - BS85 - BU85*(BP85^2 + BN85*BP85 - 2*BN85^2))/(BP85-BN85)</f>
        <v>-2.4519809099021461E-2</v>
      </c>
      <c r="BW85" s="15">
        <f t="shared" ref="BW85:BW92" si="151">BS85-2*BV85*BN85 - 3*BU85*BN85^2</f>
        <v>0</v>
      </c>
      <c r="BX85" s="11">
        <f t="shared" ref="BX85:BX92" si="152">BO85 -BU85*BN85^3 - BV85*BN85^2 - BW85*BN85</f>
        <v>2.53E-2</v>
      </c>
      <c r="CA85" s="7">
        <f>$A85</f>
        <v>0</v>
      </c>
      <c r="CB85" s="9">
        <f>$B85</f>
        <v>2.53E-2</v>
      </c>
      <c r="CC85" s="7">
        <f>CA86</f>
        <v>0.75</v>
      </c>
      <c r="CD85" s="9">
        <f>CB86</f>
        <v>2.0702535793933476E-2</v>
      </c>
      <c r="CE85" s="11">
        <f>(CD85-CB85)/(CC85-CA85)</f>
        <v>-6.1299522747553653E-3</v>
      </c>
      <c r="CF85" s="15">
        <v>0</v>
      </c>
      <c r="CG85" s="11">
        <f t="shared" ref="CG85:CG91" si="153">IF($F$5, (CE85*CE86&gt;=0) * AVERAGE(CE85:CE86), AVERAGE(CE85:CE86))</f>
        <v>0</v>
      </c>
      <c r="CH85" s="11">
        <f t="shared" ref="CH85:CH92" si="154">(CF85+CG85-2*(CD85-CB85)/(CC85-CA85))/(CC85-CA85)^2</f>
        <v>2.1795385865796855E-2</v>
      </c>
      <c r="CI85" s="11">
        <f t="shared" ref="CI85:CI92" si="155">((CD85-CB85)/(CC85-CA85) - CF85 - CH85*(CC85^2 + CA85*CC85 - 2*CA85^2))/(CC85-CA85)</f>
        <v>-2.4519809099021461E-2</v>
      </c>
      <c r="CJ85" s="15">
        <f t="shared" ref="CJ85:CJ92" si="156">CF85-2*CI85*CA85 - 3*CH85*CA85^2</f>
        <v>0</v>
      </c>
      <c r="CK85" s="11">
        <f t="shared" ref="CK85:CK92" si="157">CB85 -CH85*CA85^3 - CI85*CA85^2 - CJ85*CA85</f>
        <v>2.53E-2</v>
      </c>
      <c r="CN85" s="7">
        <f>$A85</f>
        <v>0</v>
      </c>
      <c r="CO85" s="9">
        <f>$B85</f>
        <v>2.53E-2</v>
      </c>
      <c r="CP85" s="7">
        <f>CN86</f>
        <v>0.75</v>
      </c>
      <c r="CQ85" s="9">
        <f>CO86</f>
        <v>2.0702535793933476E-2</v>
      </c>
      <c r="CR85" s="11">
        <f>(CQ85-CO85)/(CP85-CN85)</f>
        <v>-6.1299522747553653E-3</v>
      </c>
      <c r="CS85" s="15">
        <v>0</v>
      </c>
      <c r="CT85" s="11">
        <f t="shared" ref="CT85:CT91" si="158">IF($F$5, (CR85*CR86&gt;=0) * AVERAGE(CR85:CR86), AVERAGE(CR85:CR86))</f>
        <v>0</v>
      </c>
      <c r="CU85" s="11">
        <f t="shared" ref="CU85:CU92" si="159">(CS85+CT85-2*(CQ85-CO85)/(CP85-CN85))/(CP85-CN85)^2</f>
        <v>2.1795385865796855E-2</v>
      </c>
      <c r="CV85" s="11">
        <f t="shared" ref="CV85:CV92" si="160">((CQ85-CO85)/(CP85-CN85) - CS85 - CU85*(CP85^2 + CN85*CP85 - 2*CN85^2))/(CP85-CN85)</f>
        <v>-2.4519809099021461E-2</v>
      </c>
      <c r="CW85" s="15">
        <f t="shared" ref="CW85:CW92" si="161">CS85-2*CV85*CN85 - 3*CU85*CN85^2</f>
        <v>0</v>
      </c>
      <c r="CX85" s="11">
        <f t="shared" ref="CX85:CX92" si="162">CO85 -CU85*CN85^3 - CV85*CN85^2 - CW85*CN85</f>
        <v>2.53E-2</v>
      </c>
      <c r="DA85" s="7">
        <f>$A85</f>
        <v>0</v>
      </c>
      <c r="DB85" s="9">
        <f>$B85</f>
        <v>2.53E-2</v>
      </c>
      <c r="DC85" s="7">
        <f>DA86</f>
        <v>0.75</v>
      </c>
      <c r="DD85" s="9">
        <f>DB86</f>
        <v>2.0702535793933476E-2</v>
      </c>
      <c r="DE85" s="11">
        <f>(DD85-DB85)/(DC85-DA85)</f>
        <v>-6.1299522747553653E-3</v>
      </c>
      <c r="DF85" s="15">
        <v>0</v>
      </c>
      <c r="DG85" s="11">
        <f t="shared" ref="DG85:DG91" si="163">IF($F$5, (DE85*DE86&gt;=0) * AVERAGE(DE85:DE86), AVERAGE(DE85:DE86))</f>
        <v>0</v>
      </c>
      <c r="DH85" s="11">
        <f t="shared" ref="DH85:DH92" si="164">(DF85+DG85-2*(DD85-DB85)/(DC85-DA85))/(DC85-DA85)^2</f>
        <v>2.1795385865796855E-2</v>
      </c>
      <c r="DI85" s="11">
        <f t="shared" ref="DI85:DI92" si="165">((DD85-DB85)/(DC85-DA85) - DF85 - DH85*(DC85^2 + DA85*DC85 - 2*DA85^2))/(DC85-DA85)</f>
        <v>-2.4519809099021461E-2</v>
      </c>
      <c r="DJ85" s="15">
        <f t="shared" ref="DJ85:DJ92" si="166">DF85-2*DI85*DA85 - 3*DH85*DA85^2</f>
        <v>0</v>
      </c>
      <c r="DK85" s="11">
        <f t="shared" ref="DK85:DK92" si="167">DB85 -DH85*DA85^3 - DI85*DA85^2 - DJ85*DA85</f>
        <v>2.53E-2</v>
      </c>
    </row>
    <row r="86" spans="1:115" x14ac:dyDescent="0.25">
      <c r="A86" s="7">
        <f t="shared" si="121"/>
        <v>0.75</v>
      </c>
      <c r="B86" s="9">
        <f t="shared" si="122"/>
        <v>2.0702535793933476E-2</v>
      </c>
      <c r="C86" s="7">
        <f t="shared" ref="C86:C91" si="168">A87</f>
        <v>1.75</v>
      </c>
      <c r="D86" s="9">
        <f t="shared" ref="D86:D91" si="169">B87</f>
        <v>2.3715537234493399E-2</v>
      </c>
      <c r="E86" s="11">
        <f t="shared" ref="E86:E92" si="170">(D86-B86)/(C86-A86)</f>
        <v>3.0130014405599231E-3</v>
      </c>
      <c r="F86" s="15">
        <f>G85</f>
        <v>0</v>
      </c>
      <c r="G86" s="11">
        <f t="shared" si="123"/>
        <v>2.3200106543855813E-3</v>
      </c>
      <c r="H86" s="11">
        <f t="shared" si="124"/>
        <v>-3.705992226734265E-3</v>
      </c>
      <c r="I86" s="11">
        <f t="shared" si="125"/>
        <v>1.5057476177446284E-2</v>
      </c>
      <c r="J86" s="15">
        <f t="shared" si="126"/>
        <v>-1.6332352383555356E-2</v>
      </c>
      <c r="K86" s="11">
        <f t="shared" si="127"/>
        <v>2.6045435202439977E-2</v>
      </c>
      <c r="N86" s="7">
        <f t="shared" ref="N86:N92" si="171">$A86</f>
        <v>0.75</v>
      </c>
      <c r="O86" s="9">
        <f>$B86</f>
        <v>2.0702535793933476E-2</v>
      </c>
      <c r="P86" s="7">
        <f t="shared" ref="P86:P91" si="172">N87</f>
        <v>1.75</v>
      </c>
      <c r="Q86" s="9">
        <f t="shared" ref="Q86:Q91" si="173">O87</f>
        <v>2.3715537234493399E-2</v>
      </c>
      <c r="R86" s="11">
        <f t="shared" ref="R86:R92" si="174">(Q86-O86)/(P86-N86)</f>
        <v>3.0130014405599231E-3</v>
      </c>
      <c r="S86" s="15">
        <f>T85</f>
        <v>0</v>
      </c>
      <c r="T86" s="11">
        <f t="shared" si="128"/>
        <v>2.3200106543855813E-3</v>
      </c>
      <c r="U86" s="11">
        <f t="shared" si="129"/>
        <v>-3.705992226734265E-3</v>
      </c>
      <c r="V86" s="11">
        <f t="shared" si="130"/>
        <v>1.5057476177446284E-2</v>
      </c>
      <c r="W86" s="15">
        <f t="shared" si="131"/>
        <v>-1.6332352383555356E-2</v>
      </c>
      <c r="X86" s="11">
        <f t="shared" si="132"/>
        <v>2.6045435202439977E-2</v>
      </c>
      <c r="AA86" s="7">
        <f t="shared" ref="AA86:AA92" si="175">$A86</f>
        <v>0.75</v>
      </c>
      <c r="AB86" s="10">
        <f>$B86+Z84</f>
        <v>2.0712535793933475E-2</v>
      </c>
      <c r="AC86" s="7">
        <f t="shared" ref="AC86:AC91" si="176">AA87</f>
        <v>1.75</v>
      </c>
      <c r="AD86" s="9">
        <f t="shared" ref="AD86:AD91" si="177">AB87</f>
        <v>2.3715537234493399E-2</v>
      </c>
      <c r="AE86" s="11">
        <f t="shared" ref="AE86:AE92" si="178">(AD86-AB86)/(AC86-AA86)</f>
        <v>3.0030014405599235E-3</v>
      </c>
      <c r="AF86" s="15">
        <f>AG85</f>
        <v>0</v>
      </c>
      <c r="AG86" s="11">
        <f t="shared" si="133"/>
        <v>2.3150106543855815E-3</v>
      </c>
      <c r="AH86" s="11">
        <f t="shared" si="134"/>
        <v>-3.6909922267342656E-3</v>
      </c>
      <c r="AI86" s="11">
        <f t="shared" si="135"/>
        <v>1.4998726177446287E-2</v>
      </c>
      <c r="AJ86" s="15">
        <f t="shared" si="136"/>
        <v>-1.626953988355536E-2</v>
      </c>
      <c r="AK86" s="11">
        <f t="shared" si="137"/>
        <v>2.6035044577439978E-2</v>
      </c>
      <c r="AN86" s="7">
        <f t="shared" ref="AN86:AN92" si="179">$A86</f>
        <v>0.75</v>
      </c>
      <c r="AO86" s="9">
        <f>$B86</f>
        <v>2.0702535793933476E-2</v>
      </c>
      <c r="AP86" s="7">
        <f t="shared" ref="AP86:AP91" si="180">AN87</f>
        <v>1.75</v>
      </c>
      <c r="AQ86" s="10">
        <f t="shared" ref="AQ86:AQ91" si="181">AO87</f>
        <v>2.3725537234493398E-2</v>
      </c>
      <c r="AR86" s="11">
        <f t="shared" ref="AR86:AR92" si="182">(AQ86-AO86)/(AP86-AN86)</f>
        <v>3.0230014405599227E-3</v>
      </c>
      <c r="AS86" s="15">
        <f>AT85</f>
        <v>0</v>
      </c>
      <c r="AT86" s="11">
        <f t="shared" si="138"/>
        <v>2.3200106543855813E-3</v>
      </c>
      <c r="AU86" s="11">
        <f t="shared" si="139"/>
        <v>-3.7259922267342642E-3</v>
      </c>
      <c r="AV86" s="11">
        <f t="shared" si="140"/>
        <v>1.5132476177446282E-2</v>
      </c>
      <c r="AW86" s="15">
        <f t="shared" si="141"/>
        <v>-1.6411102383555351E-2</v>
      </c>
      <c r="AX86" s="11">
        <f t="shared" si="142"/>
        <v>2.6070747702439973E-2</v>
      </c>
      <c r="BA86" s="7">
        <f t="shared" ref="BA86:BA92" si="183">$A86</f>
        <v>0.75</v>
      </c>
      <c r="BB86" s="9">
        <f t="shared" ref="BB86:BB92" si="184">$B86</f>
        <v>2.0702535793933476E-2</v>
      </c>
      <c r="BC86" s="7">
        <f t="shared" ref="BC86:BC91" si="185">BA87</f>
        <v>1.75</v>
      </c>
      <c r="BD86" s="9">
        <f>BB87</f>
        <v>2.3715537234493399E-2</v>
      </c>
      <c r="BE86" s="11">
        <f t="shared" ref="BE86:BE92" si="186">(BD86-BB86)/(BC86-BA86)</f>
        <v>3.0130014405599231E-3</v>
      </c>
      <c r="BF86" s="15">
        <f>BG85</f>
        <v>0</v>
      </c>
      <c r="BG86" s="11">
        <f t="shared" si="143"/>
        <v>2.3250106543855811E-3</v>
      </c>
      <c r="BH86" s="11">
        <f t="shared" si="144"/>
        <v>-3.7009922267342652E-3</v>
      </c>
      <c r="BI86" s="11">
        <f t="shared" si="145"/>
        <v>1.5041226177446285E-2</v>
      </c>
      <c r="BJ86" s="15">
        <f t="shared" si="146"/>
        <v>-1.6316414883555355E-2</v>
      </c>
      <c r="BK86" s="11">
        <f t="shared" si="147"/>
        <v>2.6040513327439976E-2</v>
      </c>
      <c r="BN86" s="7">
        <f t="shared" ref="BN86:BN92" si="187">$A86</f>
        <v>0.75</v>
      </c>
      <c r="BO86" s="9">
        <f t="shared" ref="BO86:BO92" si="188">$B86</f>
        <v>2.0702535793933476E-2</v>
      </c>
      <c r="BP86" s="7">
        <f t="shared" ref="BP86:BP91" si="189">BN87</f>
        <v>1.75</v>
      </c>
      <c r="BQ86" s="9">
        <f t="shared" ref="BQ86:BQ91" si="190">BO87</f>
        <v>2.3715537234493399E-2</v>
      </c>
      <c r="BR86" s="11">
        <f t="shared" ref="BR86:BR92" si="191">(BQ86-BO86)/(BP86-BN86)</f>
        <v>3.0130014405599231E-3</v>
      </c>
      <c r="BS86" s="15">
        <f>BT85</f>
        <v>0</v>
      </c>
      <c r="BT86" s="11">
        <f t="shared" si="148"/>
        <v>2.3200106543855813E-3</v>
      </c>
      <c r="BU86" s="11">
        <f t="shared" si="149"/>
        <v>-3.705992226734265E-3</v>
      </c>
      <c r="BV86" s="11">
        <f t="shared" si="150"/>
        <v>1.5057476177446284E-2</v>
      </c>
      <c r="BW86" s="15">
        <f t="shared" si="151"/>
        <v>-1.6332352383555356E-2</v>
      </c>
      <c r="BX86" s="11">
        <f t="shared" si="152"/>
        <v>2.6045435202439977E-2</v>
      </c>
      <c r="CA86" s="7">
        <f t="shared" ref="CA86:CA92" si="192">$A86</f>
        <v>0.75</v>
      </c>
      <c r="CB86" s="9">
        <f t="shared" ref="CB86:CB92" si="193">$B86</f>
        <v>2.0702535793933476E-2</v>
      </c>
      <c r="CC86" s="7">
        <f t="shared" ref="CC86:CC91" si="194">CA87</f>
        <v>1.75</v>
      </c>
      <c r="CD86" s="9">
        <f t="shared" ref="CD86:CD91" si="195">CB87</f>
        <v>2.3715537234493399E-2</v>
      </c>
      <c r="CE86" s="11">
        <f t="shared" ref="CE86:CE92" si="196">(CD86-CB86)/(CC86-CA86)</f>
        <v>3.0130014405599231E-3</v>
      </c>
      <c r="CF86" s="15">
        <f>CG85</f>
        <v>0</v>
      </c>
      <c r="CG86" s="11">
        <f t="shared" si="153"/>
        <v>2.3200106543855813E-3</v>
      </c>
      <c r="CH86" s="11">
        <f t="shared" si="154"/>
        <v>-3.705992226734265E-3</v>
      </c>
      <c r="CI86" s="11">
        <f t="shared" si="155"/>
        <v>1.5057476177446284E-2</v>
      </c>
      <c r="CJ86" s="15">
        <f t="shared" si="156"/>
        <v>-1.6332352383555356E-2</v>
      </c>
      <c r="CK86" s="11">
        <f t="shared" si="157"/>
        <v>2.6045435202439977E-2</v>
      </c>
      <c r="CN86" s="7">
        <f t="shared" ref="CN86:CN92" si="197">$A86</f>
        <v>0.75</v>
      </c>
      <c r="CO86" s="9">
        <f t="shared" ref="CO86:CO92" si="198">$B86</f>
        <v>2.0702535793933476E-2</v>
      </c>
      <c r="CP86" s="7">
        <f t="shared" ref="CP86:CP91" si="199">CN87</f>
        <v>1.75</v>
      </c>
      <c r="CQ86" s="9">
        <f t="shared" ref="CQ86:CQ91" si="200">CO87</f>
        <v>2.3715537234493399E-2</v>
      </c>
      <c r="CR86" s="11">
        <f t="shared" ref="CR86:CR92" si="201">(CQ86-CO86)/(CP86-CN86)</f>
        <v>3.0130014405599231E-3</v>
      </c>
      <c r="CS86" s="15">
        <f>CT85</f>
        <v>0</v>
      </c>
      <c r="CT86" s="11">
        <f t="shared" si="158"/>
        <v>2.3200106543855813E-3</v>
      </c>
      <c r="CU86" s="11">
        <f t="shared" si="159"/>
        <v>-3.705992226734265E-3</v>
      </c>
      <c r="CV86" s="11">
        <f t="shared" si="160"/>
        <v>1.5057476177446284E-2</v>
      </c>
      <c r="CW86" s="15">
        <f t="shared" si="161"/>
        <v>-1.6332352383555356E-2</v>
      </c>
      <c r="CX86" s="11">
        <f t="shared" si="162"/>
        <v>2.6045435202439977E-2</v>
      </c>
      <c r="DA86" s="7">
        <f t="shared" ref="DA86:DA92" si="202">$A86</f>
        <v>0.75</v>
      </c>
      <c r="DB86" s="9">
        <f t="shared" ref="DB86:DB91" si="203">$B86</f>
        <v>2.0702535793933476E-2</v>
      </c>
      <c r="DC86" s="7">
        <f t="shared" ref="DC86:DC91" si="204">DA87</f>
        <v>1.75</v>
      </c>
      <c r="DD86" s="9">
        <f t="shared" ref="DD86:DD91" si="205">DB87</f>
        <v>2.3715537234493399E-2</v>
      </c>
      <c r="DE86" s="11">
        <f t="shared" ref="DE86:DE92" si="206">(DD86-DB86)/(DC86-DA86)</f>
        <v>3.0130014405599231E-3</v>
      </c>
      <c r="DF86" s="15">
        <f>DG85</f>
        <v>0</v>
      </c>
      <c r="DG86" s="11">
        <f t="shared" si="163"/>
        <v>2.3200106543855813E-3</v>
      </c>
      <c r="DH86" s="11">
        <f t="shared" si="164"/>
        <v>-3.705992226734265E-3</v>
      </c>
      <c r="DI86" s="11">
        <f t="shared" si="165"/>
        <v>1.5057476177446284E-2</v>
      </c>
      <c r="DJ86" s="15">
        <f t="shared" si="166"/>
        <v>-1.6332352383555356E-2</v>
      </c>
      <c r="DK86" s="11">
        <f t="shared" si="167"/>
        <v>2.6045435202439977E-2</v>
      </c>
    </row>
    <row r="87" spans="1:115" x14ac:dyDescent="0.25">
      <c r="A87" s="7">
        <f t="shared" si="121"/>
        <v>1.75</v>
      </c>
      <c r="B87" s="9">
        <f t="shared" si="122"/>
        <v>2.3715537234493399E-2</v>
      </c>
      <c r="C87" s="7">
        <f t="shared" si="168"/>
        <v>2.75</v>
      </c>
      <c r="D87" s="9">
        <f t="shared" si="169"/>
        <v>2.5342557102704638E-2</v>
      </c>
      <c r="E87" s="11">
        <f t="shared" si="170"/>
        <v>1.6270198682112394E-3</v>
      </c>
      <c r="F87" s="15">
        <f t="shared" ref="F87:F92" si="207">G86</f>
        <v>2.3200106543855813E-3</v>
      </c>
      <c r="G87" s="11">
        <f t="shared" si="123"/>
        <v>1.2076052833593295E-3</v>
      </c>
      <c r="H87" s="11">
        <f t="shared" si="124"/>
        <v>2.7357620132243202E-4</v>
      </c>
      <c r="I87" s="11">
        <f t="shared" si="125"/>
        <v>-2.402842044439542E-3</v>
      </c>
      <c r="J87" s="15">
        <f t="shared" si="126"/>
        <v>8.2164764602741351E-3</v>
      </c>
      <c r="K87" s="11">
        <f t="shared" si="127"/>
        <v>1.5229209736147352E-2</v>
      </c>
      <c r="N87" s="7">
        <f t="shared" si="171"/>
        <v>1.75</v>
      </c>
      <c r="O87" s="9">
        <f t="shared" ref="O87:O92" si="208">$B87</f>
        <v>2.3715537234493399E-2</v>
      </c>
      <c r="P87" s="7">
        <f t="shared" si="172"/>
        <v>2.75</v>
      </c>
      <c r="Q87" s="9">
        <f t="shared" si="173"/>
        <v>2.5342557102704638E-2</v>
      </c>
      <c r="R87" s="11">
        <f t="shared" si="174"/>
        <v>1.6270198682112394E-3</v>
      </c>
      <c r="S87" s="15">
        <f t="shared" ref="S87:S92" si="209">T86</f>
        <v>2.3200106543855813E-3</v>
      </c>
      <c r="T87" s="11">
        <f t="shared" si="128"/>
        <v>1.2076052833593295E-3</v>
      </c>
      <c r="U87" s="11">
        <f t="shared" si="129"/>
        <v>2.7357620132243202E-4</v>
      </c>
      <c r="V87" s="11">
        <f t="shared" si="130"/>
        <v>-2.402842044439542E-3</v>
      </c>
      <c r="W87" s="15">
        <f t="shared" si="131"/>
        <v>8.2164764602741351E-3</v>
      </c>
      <c r="X87" s="11">
        <f t="shared" si="132"/>
        <v>1.5229209736147352E-2</v>
      </c>
      <c r="AA87" s="7">
        <f t="shared" si="175"/>
        <v>1.75</v>
      </c>
      <c r="AB87" s="9">
        <f t="shared" ref="AB87:AB92" si="210">$B87</f>
        <v>2.3715537234493399E-2</v>
      </c>
      <c r="AC87" s="7">
        <f t="shared" si="176"/>
        <v>2.75</v>
      </c>
      <c r="AD87" s="9">
        <f t="shared" si="177"/>
        <v>2.5342557102704638E-2</v>
      </c>
      <c r="AE87" s="11">
        <f t="shared" si="178"/>
        <v>1.6270198682112394E-3</v>
      </c>
      <c r="AF87" s="15">
        <f t="shared" ref="AF87:AF92" si="211">AG86</f>
        <v>2.3150106543855815E-3</v>
      </c>
      <c r="AG87" s="11">
        <f t="shared" si="133"/>
        <v>1.2076052833593295E-3</v>
      </c>
      <c r="AH87" s="11">
        <f t="shared" si="134"/>
        <v>2.6857620132243222E-4</v>
      </c>
      <c r="AI87" s="11">
        <f t="shared" si="135"/>
        <v>-2.3665920444395435E-3</v>
      </c>
      <c r="AJ87" s="15">
        <f t="shared" si="136"/>
        <v>8.1305389602741376E-3</v>
      </c>
      <c r="AK87" s="11">
        <f t="shared" si="137"/>
        <v>1.529538161114735E-2</v>
      </c>
      <c r="AN87" s="7">
        <f t="shared" si="179"/>
        <v>1.75</v>
      </c>
      <c r="AO87" s="10">
        <f>$B87+AM84</f>
        <v>2.3725537234493398E-2</v>
      </c>
      <c r="AP87" s="7">
        <f t="shared" si="180"/>
        <v>2.75</v>
      </c>
      <c r="AQ87" s="9">
        <f t="shared" si="181"/>
        <v>2.5342557102704638E-2</v>
      </c>
      <c r="AR87" s="11">
        <f t="shared" si="182"/>
        <v>1.6170198682112398E-3</v>
      </c>
      <c r="AS87" s="15">
        <f t="shared" ref="AS87:AS92" si="212">AT86</f>
        <v>2.3200106543855813E-3</v>
      </c>
      <c r="AT87" s="11">
        <f t="shared" si="138"/>
        <v>1.2026052833593297E-3</v>
      </c>
      <c r="AU87" s="11">
        <f t="shared" si="139"/>
        <v>2.8857620132243141E-4</v>
      </c>
      <c r="AV87" s="11">
        <f t="shared" si="140"/>
        <v>-2.5065920444395377E-3</v>
      </c>
      <c r="AW87" s="15">
        <f t="shared" si="141"/>
        <v>8.4417889602741245E-3</v>
      </c>
      <c r="AX87" s="11">
        <f t="shared" si="142"/>
        <v>1.5082256611147362E-2</v>
      </c>
      <c r="BA87" s="7">
        <f t="shared" si="183"/>
        <v>1.75</v>
      </c>
      <c r="BB87" s="9">
        <f t="shared" si="184"/>
        <v>2.3715537234493399E-2</v>
      </c>
      <c r="BC87" s="7">
        <f t="shared" si="185"/>
        <v>2.75</v>
      </c>
      <c r="BD87" s="10">
        <f t="shared" ref="BD87:BD91" si="213">BB88</f>
        <v>2.5352557102704638E-2</v>
      </c>
      <c r="BE87" s="11">
        <f t="shared" si="186"/>
        <v>1.637019868211239E-3</v>
      </c>
      <c r="BF87" s="15">
        <f t="shared" ref="BF87:BF92" si="214">BG86</f>
        <v>2.3250106543855811E-3</v>
      </c>
      <c r="BG87" s="11">
        <f t="shared" si="143"/>
        <v>1.2076052833593295E-3</v>
      </c>
      <c r="BH87" s="11">
        <f t="shared" si="144"/>
        <v>2.5857620132243263E-4</v>
      </c>
      <c r="BI87" s="11">
        <f t="shared" si="145"/>
        <v>-2.304092044439546E-3</v>
      </c>
      <c r="BJ87" s="15">
        <f t="shared" si="146"/>
        <v>8.0136639602741422E-3</v>
      </c>
      <c r="BK87" s="11">
        <f t="shared" si="147"/>
        <v>1.5362100361147348E-2</v>
      </c>
      <c r="BN87" s="7">
        <f t="shared" si="187"/>
        <v>1.75</v>
      </c>
      <c r="BO87" s="9">
        <f t="shared" si="188"/>
        <v>2.3715537234493399E-2</v>
      </c>
      <c r="BP87" s="7">
        <f t="shared" si="189"/>
        <v>2.75</v>
      </c>
      <c r="BQ87" s="9">
        <f t="shared" si="190"/>
        <v>2.5342557102704638E-2</v>
      </c>
      <c r="BR87" s="11">
        <f t="shared" si="191"/>
        <v>1.6270198682112394E-3</v>
      </c>
      <c r="BS87" s="15">
        <f t="shared" ref="BS87:BS92" si="215">BT86</f>
        <v>2.3200106543855813E-3</v>
      </c>
      <c r="BT87" s="11">
        <f t="shared" si="148"/>
        <v>1.2126052833593293E-3</v>
      </c>
      <c r="BU87" s="11">
        <f t="shared" si="149"/>
        <v>2.7857620132243181E-4</v>
      </c>
      <c r="BV87" s="11">
        <f t="shared" si="150"/>
        <v>-2.4340920444395407E-3</v>
      </c>
      <c r="BW87" s="15">
        <f t="shared" si="151"/>
        <v>8.2799139602741309E-3</v>
      </c>
      <c r="BX87" s="11">
        <f t="shared" si="152"/>
        <v>1.5187100361147355E-2</v>
      </c>
      <c r="CA87" s="7">
        <f t="shared" si="192"/>
        <v>1.75</v>
      </c>
      <c r="CB87" s="9">
        <f t="shared" si="193"/>
        <v>2.3715537234493399E-2</v>
      </c>
      <c r="CC87" s="7">
        <f t="shared" si="194"/>
        <v>2.75</v>
      </c>
      <c r="CD87" s="9">
        <f t="shared" si="195"/>
        <v>2.5342557102704638E-2</v>
      </c>
      <c r="CE87" s="11">
        <f t="shared" si="196"/>
        <v>1.6270198682112394E-3</v>
      </c>
      <c r="CF87" s="15">
        <f t="shared" ref="CF87:CF92" si="216">CG86</f>
        <v>2.3200106543855813E-3</v>
      </c>
      <c r="CG87" s="11">
        <f t="shared" si="153"/>
        <v>1.2076052833593295E-3</v>
      </c>
      <c r="CH87" s="11">
        <f t="shared" si="154"/>
        <v>2.7357620132243202E-4</v>
      </c>
      <c r="CI87" s="11">
        <f t="shared" si="155"/>
        <v>-2.402842044439542E-3</v>
      </c>
      <c r="CJ87" s="15">
        <f t="shared" si="156"/>
        <v>8.2164764602741351E-3</v>
      </c>
      <c r="CK87" s="11">
        <f t="shared" si="157"/>
        <v>1.5229209736147352E-2</v>
      </c>
      <c r="CN87" s="7">
        <f t="shared" si="197"/>
        <v>1.75</v>
      </c>
      <c r="CO87" s="9">
        <f t="shared" si="198"/>
        <v>2.3715537234493399E-2</v>
      </c>
      <c r="CP87" s="7">
        <f t="shared" si="199"/>
        <v>2.75</v>
      </c>
      <c r="CQ87" s="9">
        <f t="shared" si="200"/>
        <v>2.5342557102704638E-2</v>
      </c>
      <c r="CR87" s="11">
        <f t="shared" si="201"/>
        <v>1.6270198682112394E-3</v>
      </c>
      <c r="CS87" s="15">
        <f t="shared" ref="CS87:CS92" si="217">CT86</f>
        <v>2.3200106543855813E-3</v>
      </c>
      <c r="CT87" s="11">
        <f t="shared" si="158"/>
        <v>1.2076052833593295E-3</v>
      </c>
      <c r="CU87" s="11">
        <f t="shared" si="159"/>
        <v>2.7357620132243202E-4</v>
      </c>
      <c r="CV87" s="11">
        <f t="shared" si="160"/>
        <v>-2.402842044439542E-3</v>
      </c>
      <c r="CW87" s="15">
        <f t="shared" si="161"/>
        <v>8.2164764602741351E-3</v>
      </c>
      <c r="CX87" s="11">
        <f t="shared" si="162"/>
        <v>1.5229209736147352E-2</v>
      </c>
      <c r="DA87" s="7">
        <f t="shared" si="202"/>
        <v>1.75</v>
      </c>
      <c r="DB87" s="9">
        <f t="shared" si="203"/>
        <v>2.3715537234493399E-2</v>
      </c>
      <c r="DC87" s="7">
        <f t="shared" si="204"/>
        <v>2.75</v>
      </c>
      <c r="DD87" s="9">
        <f t="shared" si="205"/>
        <v>2.5342557102704638E-2</v>
      </c>
      <c r="DE87" s="11">
        <f t="shared" si="206"/>
        <v>1.6270198682112394E-3</v>
      </c>
      <c r="DF87" s="15">
        <f t="shared" ref="DF87:DF92" si="218">DG86</f>
        <v>2.3200106543855813E-3</v>
      </c>
      <c r="DG87" s="11">
        <f t="shared" si="163"/>
        <v>1.2076052833593295E-3</v>
      </c>
      <c r="DH87" s="11">
        <f t="shared" si="164"/>
        <v>2.7357620132243202E-4</v>
      </c>
      <c r="DI87" s="11">
        <f t="shared" si="165"/>
        <v>-2.402842044439542E-3</v>
      </c>
      <c r="DJ87" s="15">
        <f t="shared" si="166"/>
        <v>8.2164764602741351E-3</v>
      </c>
      <c r="DK87" s="11">
        <f t="shared" si="167"/>
        <v>1.5229209736147352E-2</v>
      </c>
    </row>
    <row r="88" spans="1:115" x14ac:dyDescent="0.25">
      <c r="A88" s="7">
        <f t="shared" si="121"/>
        <v>2.75</v>
      </c>
      <c r="B88" s="9">
        <f t="shared" si="122"/>
        <v>2.5342557102704638E-2</v>
      </c>
      <c r="C88" s="7">
        <f t="shared" si="168"/>
        <v>3.75</v>
      </c>
      <c r="D88" s="9">
        <f t="shared" si="169"/>
        <v>2.6130747801212058E-2</v>
      </c>
      <c r="E88" s="11">
        <f t="shared" si="170"/>
        <v>7.8819069850741968E-4</v>
      </c>
      <c r="F88" s="15">
        <f t="shared" si="207"/>
        <v>1.2076052833593295E-3</v>
      </c>
      <c r="G88" s="11">
        <f t="shared" si="123"/>
        <v>1.1383288127124608E-3</v>
      </c>
      <c r="H88" s="11">
        <f t="shared" si="124"/>
        <v>7.6955269905695095E-4</v>
      </c>
      <c r="I88" s="11">
        <f t="shared" si="125"/>
        <v>-7.5377770511287061E-3</v>
      </c>
      <c r="J88" s="15">
        <f t="shared" si="126"/>
        <v>2.5206152204712642E-2</v>
      </c>
      <c r="K88" s="11">
        <f t="shared" si="127"/>
        <v>-2.9742137992943146E-3</v>
      </c>
      <c r="N88" s="7">
        <f t="shared" si="171"/>
        <v>2.75</v>
      </c>
      <c r="O88" s="9">
        <f t="shared" si="208"/>
        <v>2.5342557102704638E-2</v>
      </c>
      <c r="P88" s="7">
        <f t="shared" si="172"/>
        <v>3.75</v>
      </c>
      <c r="Q88" s="9">
        <f t="shared" si="173"/>
        <v>2.6130747801212058E-2</v>
      </c>
      <c r="R88" s="11">
        <f t="shared" si="174"/>
        <v>7.8819069850741968E-4</v>
      </c>
      <c r="S88" s="15">
        <f t="shared" si="209"/>
        <v>1.2076052833593295E-3</v>
      </c>
      <c r="T88" s="11">
        <f t="shared" si="128"/>
        <v>1.1383288127124608E-3</v>
      </c>
      <c r="U88" s="11">
        <f t="shared" si="129"/>
        <v>7.6955269905695095E-4</v>
      </c>
      <c r="V88" s="11">
        <f t="shared" si="130"/>
        <v>-7.5377770511287061E-3</v>
      </c>
      <c r="W88" s="15">
        <f t="shared" si="131"/>
        <v>2.5206152204712642E-2</v>
      </c>
      <c r="X88" s="11">
        <f t="shared" si="132"/>
        <v>-2.9742137992943146E-3</v>
      </c>
      <c r="AA88" s="7">
        <f t="shared" si="175"/>
        <v>2.75</v>
      </c>
      <c r="AB88" s="9">
        <f t="shared" si="210"/>
        <v>2.5342557102704638E-2</v>
      </c>
      <c r="AC88" s="7">
        <f t="shared" si="176"/>
        <v>3.75</v>
      </c>
      <c r="AD88" s="9">
        <f t="shared" si="177"/>
        <v>2.6130747801212058E-2</v>
      </c>
      <c r="AE88" s="11">
        <f t="shared" si="178"/>
        <v>7.8819069850741968E-4</v>
      </c>
      <c r="AF88" s="15">
        <f t="shared" si="211"/>
        <v>1.2076052833593295E-3</v>
      </c>
      <c r="AG88" s="11">
        <f t="shared" si="133"/>
        <v>1.1383288127124608E-3</v>
      </c>
      <c r="AH88" s="11">
        <f t="shared" si="134"/>
        <v>7.6955269905695095E-4</v>
      </c>
      <c r="AI88" s="11">
        <f t="shared" si="135"/>
        <v>-7.5377770511287061E-3</v>
      </c>
      <c r="AJ88" s="15">
        <f t="shared" si="136"/>
        <v>2.5206152204712642E-2</v>
      </c>
      <c r="AK88" s="11">
        <f t="shared" si="137"/>
        <v>-2.9742137992943146E-3</v>
      </c>
      <c r="AN88" s="7">
        <f t="shared" si="179"/>
        <v>2.75</v>
      </c>
      <c r="AO88" s="9">
        <f t="shared" ref="AO88:AO92" si="219">$B88</f>
        <v>2.5342557102704638E-2</v>
      </c>
      <c r="AP88" s="7">
        <f t="shared" si="180"/>
        <v>3.75</v>
      </c>
      <c r="AQ88" s="9">
        <f t="shared" si="181"/>
        <v>2.6130747801212058E-2</v>
      </c>
      <c r="AR88" s="11">
        <f t="shared" si="182"/>
        <v>7.8819069850741968E-4</v>
      </c>
      <c r="AS88" s="15">
        <f t="shared" si="212"/>
        <v>1.2026052833593297E-3</v>
      </c>
      <c r="AT88" s="11">
        <f t="shared" si="138"/>
        <v>1.1383288127124608E-3</v>
      </c>
      <c r="AU88" s="11">
        <f t="shared" si="139"/>
        <v>7.6455269905695115E-4</v>
      </c>
      <c r="AV88" s="11">
        <f t="shared" si="140"/>
        <v>-7.4865270511287087E-3</v>
      </c>
      <c r="AW88" s="15">
        <f t="shared" si="141"/>
        <v>2.503271470471265E-2</v>
      </c>
      <c r="AX88" s="11">
        <f t="shared" si="142"/>
        <v>-2.7808544242943212E-3</v>
      </c>
      <c r="BA88" s="7">
        <f t="shared" si="183"/>
        <v>2.75</v>
      </c>
      <c r="BB88" s="10">
        <f>$B88+AZ84</f>
        <v>2.5352557102704638E-2</v>
      </c>
      <c r="BC88" s="7">
        <f t="shared" si="185"/>
        <v>3.75</v>
      </c>
      <c r="BD88" s="9">
        <f t="shared" si="213"/>
        <v>2.6130747801212058E-2</v>
      </c>
      <c r="BE88" s="11">
        <f t="shared" si="186"/>
        <v>7.7819069850742009E-4</v>
      </c>
      <c r="BF88" s="15">
        <f t="shared" si="214"/>
        <v>1.2076052833593295E-3</v>
      </c>
      <c r="BG88" s="11">
        <f t="shared" si="143"/>
        <v>1.133328812712461E-3</v>
      </c>
      <c r="BH88" s="11">
        <f t="shared" si="144"/>
        <v>7.8455269905695034E-4</v>
      </c>
      <c r="BI88" s="11">
        <f t="shared" si="145"/>
        <v>-7.6865270511287005E-3</v>
      </c>
      <c r="BJ88" s="15">
        <f t="shared" si="146"/>
        <v>2.5683964704712622E-2</v>
      </c>
      <c r="BK88" s="11">
        <f t="shared" si="147"/>
        <v>-3.4652294242942805E-3</v>
      </c>
      <c r="BN88" s="7">
        <f t="shared" si="187"/>
        <v>2.75</v>
      </c>
      <c r="BO88" s="9">
        <f t="shared" si="188"/>
        <v>2.5342557102704638E-2</v>
      </c>
      <c r="BP88" s="7">
        <f t="shared" si="189"/>
        <v>3.75</v>
      </c>
      <c r="BQ88" s="10">
        <f t="shared" si="190"/>
        <v>2.6140747801212057E-2</v>
      </c>
      <c r="BR88" s="11">
        <f t="shared" si="191"/>
        <v>7.9819069850741928E-4</v>
      </c>
      <c r="BS88" s="15">
        <f t="shared" si="215"/>
        <v>1.2126052833593293E-3</v>
      </c>
      <c r="BT88" s="11">
        <f t="shared" si="148"/>
        <v>1.1383288127124608E-3</v>
      </c>
      <c r="BU88" s="11">
        <f t="shared" si="149"/>
        <v>7.5455269905695156E-4</v>
      </c>
      <c r="BV88" s="11">
        <f t="shared" si="150"/>
        <v>-7.3940270511287116E-3</v>
      </c>
      <c r="BW88" s="15">
        <f t="shared" si="151"/>
        <v>2.4760839704712649E-2</v>
      </c>
      <c r="BX88" s="11">
        <f t="shared" si="152"/>
        <v>-2.5247606742943157E-3</v>
      </c>
      <c r="CA88" s="7">
        <f t="shared" si="192"/>
        <v>2.75</v>
      </c>
      <c r="CB88" s="9">
        <f t="shared" si="193"/>
        <v>2.5342557102704638E-2</v>
      </c>
      <c r="CC88" s="7">
        <f t="shared" si="194"/>
        <v>3.75</v>
      </c>
      <c r="CD88" s="9">
        <f t="shared" si="195"/>
        <v>2.6130747801212058E-2</v>
      </c>
      <c r="CE88" s="11">
        <f t="shared" si="196"/>
        <v>7.8819069850741968E-4</v>
      </c>
      <c r="CF88" s="15">
        <f t="shared" si="216"/>
        <v>1.2076052833593295E-3</v>
      </c>
      <c r="CG88" s="11">
        <f t="shared" si="153"/>
        <v>1.1433288127124606E-3</v>
      </c>
      <c r="CH88" s="11">
        <f t="shared" si="154"/>
        <v>7.7455269905695075E-4</v>
      </c>
      <c r="CI88" s="11">
        <f t="shared" si="155"/>
        <v>-7.5840270511287038E-3</v>
      </c>
      <c r="CJ88" s="15">
        <f t="shared" si="156"/>
        <v>2.5347089704712632E-2</v>
      </c>
      <c r="CK88" s="11">
        <f t="shared" si="157"/>
        <v>-3.1160106742943033E-3</v>
      </c>
      <c r="CN88" s="7">
        <f t="shared" si="197"/>
        <v>2.75</v>
      </c>
      <c r="CO88" s="9">
        <f t="shared" si="198"/>
        <v>2.5342557102704638E-2</v>
      </c>
      <c r="CP88" s="7">
        <f t="shared" si="199"/>
        <v>3.75</v>
      </c>
      <c r="CQ88" s="9">
        <f t="shared" si="200"/>
        <v>2.6130747801212058E-2</v>
      </c>
      <c r="CR88" s="11">
        <f t="shared" si="201"/>
        <v>7.8819069850741968E-4</v>
      </c>
      <c r="CS88" s="15">
        <f t="shared" si="217"/>
        <v>1.2076052833593295E-3</v>
      </c>
      <c r="CT88" s="11">
        <f t="shared" si="158"/>
        <v>1.1383288127124608E-3</v>
      </c>
      <c r="CU88" s="11">
        <f t="shared" si="159"/>
        <v>7.6955269905695095E-4</v>
      </c>
      <c r="CV88" s="11">
        <f t="shared" si="160"/>
        <v>-7.5377770511287061E-3</v>
      </c>
      <c r="CW88" s="15">
        <f t="shared" si="161"/>
        <v>2.5206152204712642E-2</v>
      </c>
      <c r="CX88" s="11">
        <f t="shared" si="162"/>
        <v>-2.9742137992943146E-3</v>
      </c>
      <c r="DA88" s="7">
        <f t="shared" si="202"/>
        <v>2.75</v>
      </c>
      <c r="DB88" s="9">
        <f t="shared" si="203"/>
        <v>2.5342557102704638E-2</v>
      </c>
      <c r="DC88" s="7">
        <f t="shared" si="204"/>
        <v>3.75</v>
      </c>
      <c r="DD88" s="9">
        <f t="shared" si="205"/>
        <v>2.6130747801212058E-2</v>
      </c>
      <c r="DE88" s="11">
        <f t="shared" si="206"/>
        <v>7.8819069850741968E-4</v>
      </c>
      <c r="DF88" s="15">
        <f t="shared" si="218"/>
        <v>1.2076052833593295E-3</v>
      </c>
      <c r="DG88" s="11">
        <f t="shared" si="163"/>
        <v>1.1383288127124608E-3</v>
      </c>
      <c r="DH88" s="11">
        <f t="shared" si="164"/>
        <v>7.6955269905695095E-4</v>
      </c>
      <c r="DI88" s="11">
        <f t="shared" si="165"/>
        <v>-7.5377770511287061E-3</v>
      </c>
      <c r="DJ88" s="15">
        <f t="shared" si="166"/>
        <v>2.5206152204712642E-2</v>
      </c>
      <c r="DK88" s="11">
        <f t="shared" si="167"/>
        <v>-2.9742137992943146E-3</v>
      </c>
    </row>
    <row r="89" spans="1:115" x14ac:dyDescent="0.25">
      <c r="A89" s="7">
        <f t="shared" si="121"/>
        <v>3.75</v>
      </c>
      <c r="B89" s="9">
        <f t="shared" si="122"/>
        <v>2.6130747801212058E-2</v>
      </c>
      <c r="C89" s="7">
        <f t="shared" si="168"/>
        <v>4.75</v>
      </c>
      <c r="D89" s="9">
        <f t="shared" si="169"/>
        <v>2.761921472812956E-2</v>
      </c>
      <c r="E89" s="11">
        <f t="shared" si="170"/>
        <v>1.4884669269175019E-3</v>
      </c>
      <c r="F89" s="15">
        <f t="shared" si="207"/>
        <v>1.1383288127124608E-3</v>
      </c>
      <c r="G89" s="11">
        <f t="shared" si="123"/>
        <v>8.4474405828163616E-4</v>
      </c>
      <c r="H89" s="11">
        <f t="shared" si="124"/>
        <v>-9.9386098284090681E-4</v>
      </c>
      <c r="I89" s="11">
        <f t="shared" si="125"/>
        <v>1.2524935154006149E-2</v>
      </c>
      <c r="J89" s="15">
        <f t="shared" si="126"/>
        <v>-5.0870174628732896E-2</v>
      </c>
      <c r="K89" s="11">
        <f t="shared" si="127"/>
        <v>9.3172639822749898E-2</v>
      </c>
      <c r="N89" s="7">
        <f t="shared" si="171"/>
        <v>3.75</v>
      </c>
      <c r="O89" s="9">
        <f t="shared" si="208"/>
        <v>2.6130747801212058E-2</v>
      </c>
      <c r="P89" s="7">
        <f t="shared" si="172"/>
        <v>4.75</v>
      </c>
      <c r="Q89" s="9">
        <f t="shared" si="173"/>
        <v>2.761921472812956E-2</v>
      </c>
      <c r="R89" s="11">
        <f t="shared" si="174"/>
        <v>1.4884669269175019E-3</v>
      </c>
      <c r="S89" s="15">
        <f t="shared" si="209"/>
        <v>1.1383288127124608E-3</v>
      </c>
      <c r="T89" s="11">
        <f t="shared" si="128"/>
        <v>8.4474405828163616E-4</v>
      </c>
      <c r="U89" s="11">
        <f t="shared" si="129"/>
        <v>-9.9386098284090681E-4</v>
      </c>
      <c r="V89" s="11">
        <f t="shared" si="130"/>
        <v>1.2524935154006149E-2</v>
      </c>
      <c r="W89" s="15">
        <f t="shared" si="131"/>
        <v>-5.0870174628732896E-2</v>
      </c>
      <c r="X89" s="11">
        <f t="shared" si="132"/>
        <v>9.3172639822749898E-2</v>
      </c>
      <c r="AA89" s="7">
        <f t="shared" si="175"/>
        <v>3.75</v>
      </c>
      <c r="AB89" s="9">
        <f t="shared" si="210"/>
        <v>2.6130747801212058E-2</v>
      </c>
      <c r="AC89" s="7">
        <f t="shared" si="176"/>
        <v>4.75</v>
      </c>
      <c r="AD89" s="9">
        <f t="shared" si="177"/>
        <v>2.761921472812956E-2</v>
      </c>
      <c r="AE89" s="11">
        <f t="shared" si="178"/>
        <v>1.4884669269175019E-3</v>
      </c>
      <c r="AF89" s="15">
        <f t="shared" si="211"/>
        <v>1.1383288127124608E-3</v>
      </c>
      <c r="AG89" s="11">
        <f t="shared" si="133"/>
        <v>8.4474405828163616E-4</v>
      </c>
      <c r="AH89" s="11">
        <f t="shared" si="134"/>
        <v>-9.9386098284090681E-4</v>
      </c>
      <c r="AI89" s="11">
        <f t="shared" si="135"/>
        <v>1.2524935154006149E-2</v>
      </c>
      <c r="AJ89" s="15">
        <f t="shared" si="136"/>
        <v>-5.0870174628732896E-2</v>
      </c>
      <c r="AK89" s="11">
        <f t="shared" si="137"/>
        <v>9.3172639822749898E-2</v>
      </c>
      <c r="AN89" s="7">
        <f t="shared" si="179"/>
        <v>3.75</v>
      </c>
      <c r="AO89" s="9">
        <f t="shared" si="219"/>
        <v>2.6130747801212058E-2</v>
      </c>
      <c r="AP89" s="7">
        <f t="shared" si="180"/>
        <v>4.75</v>
      </c>
      <c r="AQ89" s="9">
        <f t="shared" si="181"/>
        <v>2.761921472812956E-2</v>
      </c>
      <c r="AR89" s="11">
        <f t="shared" si="182"/>
        <v>1.4884669269175019E-3</v>
      </c>
      <c r="AS89" s="15">
        <f t="shared" si="212"/>
        <v>1.1383288127124608E-3</v>
      </c>
      <c r="AT89" s="11">
        <f t="shared" si="138"/>
        <v>8.4474405828163616E-4</v>
      </c>
      <c r="AU89" s="11">
        <f t="shared" si="139"/>
        <v>-9.9386098284090681E-4</v>
      </c>
      <c r="AV89" s="11">
        <f t="shared" si="140"/>
        <v>1.2524935154006149E-2</v>
      </c>
      <c r="AW89" s="15">
        <f t="shared" si="141"/>
        <v>-5.0870174628732896E-2</v>
      </c>
      <c r="AX89" s="11">
        <f t="shared" si="142"/>
        <v>9.3172639822749898E-2</v>
      </c>
      <c r="BA89" s="7">
        <f t="shared" si="183"/>
        <v>3.75</v>
      </c>
      <c r="BB89" s="9">
        <f t="shared" si="184"/>
        <v>2.6130747801212058E-2</v>
      </c>
      <c r="BC89" s="7">
        <f t="shared" si="185"/>
        <v>4.75</v>
      </c>
      <c r="BD89" s="9">
        <f t="shared" si="213"/>
        <v>2.761921472812956E-2</v>
      </c>
      <c r="BE89" s="11">
        <f t="shared" si="186"/>
        <v>1.4884669269175019E-3</v>
      </c>
      <c r="BF89" s="15">
        <f t="shared" si="214"/>
        <v>1.133328812712461E-3</v>
      </c>
      <c r="BG89" s="11">
        <f t="shared" si="143"/>
        <v>8.4474405828163616E-4</v>
      </c>
      <c r="BH89" s="11">
        <f t="shared" si="144"/>
        <v>-9.988609828409066E-4</v>
      </c>
      <c r="BI89" s="11">
        <f t="shared" si="145"/>
        <v>1.2591185154006148E-2</v>
      </c>
      <c r="BJ89" s="15">
        <f t="shared" si="146"/>
        <v>-5.1161112128732908E-2</v>
      </c>
      <c r="BK89" s="11">
        <f t="shared" si="147"/>
        <v>9.3595686697749966E-2</v>
      </c>
      <c r="BN89" s="7">
        <f t="shared" si="187"/>
        <v>3.75</v>
      </c>
      <c r="BO89" s="10">
        <f>$B89+BM84</f>
        <v>2.6140747801212057E-2</v>
      </c>
      <c r="BP89" s="7">
        <f t="shared" si="189"/>
        <v>4.75</v>
      </c>
      <c r="BQ89" s="9">
        <f t="shared" si="190"/>
        <v>2.761921472812956E-2</v>
      </c>
      <c r="BR89" s="11">
        <f t="shared" si="191"/>
        <v>1.4784669269175023E-3</v>
      </c>
      <c r="BS89" s="15">
        <f t="shared" si="215"/>
        <v>1.1383288127124608E-3</v>
      </c>
      <c r="BT89" s="11">
        <f t="shared" si="148"/>
        <v>8.3974405828163637E-4</v>
      </c>
      <c r="BU89" s="11">
        <f t="shared" si="149"/>
        <v>-9.7886098284090742E-4</v>
      </c>
      <c r="BV89" s="11">
        <f t="shared" si="150"/>
        <v>1.2331185154006157E-2</v>
      </c>
      <c r="BW89" s="15">
        <f t="shared" si="151"/>
        <v>-5.0049862128732928E-2</v>
      </c>
      <c r="BX89" s="11">
        <f t="shared" si="152"/>
        <v>9.204006169774992E-2</v>
      </c>
      <c r="CA89" s="7">
        <f t="shared" si="192"/>
        <v>3.75</v>
      </c>
      <c r="CB89" s="9">
        <f t="shared" si="193"/>
        <v>2.6130747801212058E-2</v>
      </c>
      <c r="CC89" s="7">
        <f t="shared" si="194"/>
        <v>4.75</v>
      </c>
      <c r="CD89" s="10">
        <f t="shared" si="195"/>
        <v>2.7629214728129559E-2</v>
      </c>
      <c r="CE89" s="11">
        <f t="shared" si="196"/>
        <v>1.4984669269175015E-3</v>
      </c>
      <c r="CF89" s="15">
        <f t="shared" si="216"/>
        <v>1.1433288127124606E-3</v>
      </c>
      <c r="CG89" s="11">
        <f t="shared" si="153"/>
        <v>8.4724405828163606E-4</v>
      </c>
      <c r="CH89" s="11">
        <f t="shared" si="154"/>
        <v>-1.0063609828409063E-3</v>
      </c>
      <c r="CI89" s="11">
        <f t="shared" si="155"/>
        <v>1.2683060154006142E-2</v>
      </c>
      <c r="CJ89" s="15">
        <f t="shared" si="156"/>
        <v>-5.1523768378732869E-2</v>
      </c>
      <c r="CK89" s="11">
        <f t="shared" si="157"/>
        <v>9.4059163260249878E-2</v>
      </c>
      <c r="CN89" s="7">
        <f t="shared" si="197"/>
        <v>3.75</v>
      </c>
      <c r="CO89" s="9">
        <f t="shared" si="198"/>
        <v>2.6130747801212058E-2</v>
      </c>
      <c r="CP89" s="7">
        <f t="shared" si="199"/>
        <v>4.75</v>
      </c>
      <c r="CQ89" s="9">
        <f t="shared" si="200"/>
        <v>2.761921472812956E-2</v>
      </c>
      <c r="CR89" s="11">
        <f t="shared" si="201"/>
        <v>1.4884669269175019E-3</v>
      </c>
      <c r="CS89" s="15">
        <f t="shared" si="217"/>
        <v>1.1383288127124608E-3</v>
      </c>
      <c r="CT89" s="11">
        <f t="shared" si="158"/>
        <v>8.4724405828163606E-4</v>
      </c>
      <c r="CU89" s="11">
        <f t="shared" si="159"/>
        <v>-9.9136098284090691E-4</v>
      </c>
      <c r="CV89" s="11">
        <f t="shared" si="160"/>
        <v>1.2494310154006151E-2</v>
      </c>
      <c r="CW89" s="15">
        <f t="shared" si="161"/>
        <v>-5.0745955878732915E-2</v>
      </c>
      <c r="CX89" s="11">
        <f t="shared" si="162"/>
        <v>9.3005647635249933E-2</v>
      </c>
      <c r="DA89" s="7">
        <f t="shared" si="202"/>
        <v>3.75</v>
      </c>
      <c r="DB89" s="9">
        <f t="shared" si="203"/>
        <v>2.6130747801212058E-2</v>
      </c>
      <c r="DC89" s="7">
        <f t="shared" si="204"/>
        <v>4.75</v>
      </c>
      <c r="DD89" s="9">
        <f t="shared" si="205"/>
        <v>2.761921472812956E-2</v>
      </c>
      <c r="DE89" s="11">
        <f t="shared" si="206"/>
        <v>1.4884669269175019E-3</v>
      </c>
      <c r="DF89" s="15">
        <f t="shared" si="218"/>
        <v>1.1383288127124608E-3</v>
      </c>
      <c r="DG89" s="11">
        <f t="shared" si="163"/>
        <v>8.4474405828163616E-4</v>
      </c>
      <c r="DH89" s="11">
        <f t="shared" si="164"/>
        <v>-9.9386098284090681E-4</v>
      </c>
      <c r="DI89" s="11">
        <f t="shared" si="165"/>
        <v>1.2524935154006149E-2</v>
      </c>
      <c r="DJ89" s="15">
        <f t="shared" si="166"/>
        <v>-5.0870174628732896E-2</v>
      </c>
      <c r="DK89" s="11">
        <f t="shared" si="167"/>
        <v>9.3172639822749898E-2</v>
      </c>
    </row>
    <row r="90" spans="1:115" x14ac:dyDescent="0.25">
      <c r="A90" s="7">
        <f t="shared" si="121"/>
        <v>4.75</v>
      </c>
      <c r="B90" s="9">
        <f t="shared" si="122"/>
        <v>2.761921472812956E-2</v>
      </c>
      <c r="C90" s="7">
        <f t="shared" si="168"/>
        <v>6.75</v>
      </c>
      <c r="D90" s="9">
        <f t="shared" si="169"/>
        <v>2.8021257107421101E-2</v>
      </c>
      <c r="E90" s="11">
        <f t="shared" si="170"/>
        <v>2.0102118964577045E-4</v>
      </c>
      <c r="F90" s="15">
        <f t="shared" si="207"/>
        <v>8.4474405828163616E-4</v>
      </c>
      <c r="G90" s="11">
        <f t="shared" si="123"/>
        <v>6.4329366844799744E-4</v>
      </c>
      <c r="H90" s="11">
        <f t="shared" si="124"/>
        <v>2.714988368595232E-4</v>
      </c>
      <c r="I90" s="11">
        <f t="shared" si="125"/>
        <v>-4.7337175332851852E-3</v>
      </c>
      <c r="J90" s="15">
        <f t="shared" si="126"/>
        <v>2.7437983104561917E-2</v>
      </c>
      <c r="K90" s="11">
        <f t="shared" si="127"/>
        <v>-2.500374258034678E-2</v>
      </c>
      <c r="N90" s="7">
        <f t="shared" si="171"/>
        <v>4.75</v>
      </c>
      <c r="O90" s="9">
        <f t="shared" si="208"/>
        <v>2.761921472812956E-2</v>
      </c>
      <c r="P90" s="7">
        <f t="shared" si="172"/>
        <v>6.75</v>
      </c>
      <c r="Q90" s="9">
        <f t="shared" si="173"/>
        <v>2.8021257107421101E-2</v>
      </c>
      <c r="R90" s="11">
        <f t="shared" si="174"/>
        <v>2.0102118964577045E-4</v>
      </c>
      <c r="S90" s="15">
        <f t="shared" si="209"/>
        <v>8.4474405828163616E-4</v>
      </c>
      <c r="T90" s="11">
        <f t="shared" si="128"/>
        <v>6.4329366844799744E-4</v>
      </c>
      <c r="U90" s="11">
        <f t="shared" si="129"/>
        <v>2.714988368595232E-4</v>
      </c>
      <c r="V90" s="11">
        <f t="shared" si="130"/>
        <v>-4.7337175332851852E-3</v>
      </c>
      <c r="W90" s="15">
        <f t="shared" si="131"/>
        <v>2.7437983104561917E-2</v>
      </c>
      <c r="X90" s="11">
        <f t="shared" si="132"/>
        <v>-2.500374258034678E-2</v>
      </c>
      <c r="AA90" s="7">
        <f t="shared" si="175"/>
        <v>4.75</v>
      </c>
      <c r="AB90" s="9">
        <f t="shared" si="210"/>
        <v>2.761921472812956E-2</v>
      </c>
      <c r="AC90" s="7">
        <f t="shared" si="176"/>
        <v>6.75</v>
      </c>
      <c r="AD90" s="9">
        <f t="shared" si="177"/>
        <v>2.8021257107421101E-2</v>
      </c>
      <c r="AE90" s="11">
        <f t="shared" si="178"/>
        <v>2.0102118964577045E-4</v>
      </c>
      <c r="AF90" s="15">
        <f t="shared" si="211"/>
        <v>8.4474405828163616E-4</v>
      </c>
      <c r="AG90" s="11">
        <f t="shared" si="133"/>
        <v>6.4329366844799744E-4</v>
      </c>
      <c r="AH90" s="11">
        <f t="shared" si="134"/>
        <v>2.714988368595232E-4</v>
      </c>
      <c r="AI90" s="11">
        <f t="shared" si="135"/>
        <v>-4.7337175332851852E-3</v>
      </c>
      <c r="AJ90" s="15">
        <f t="shared" si="136"/>
        <v>2.7437983104561917E-2</v>
      </c>
      <c r="AK90" s="11">
        <f t="shared" si="137"/>
        <v>-2.500374258034678E-2</v>
      </c>
      <c r="AN90" s="7">
        <f t="shared" si="179"/>
        <v>4.75</v>
      </c>
      <c r="AO90" s="9">
        <f t="shared" si="219"/>
        <v>2.761921472812956E-2</v>
      </c>
      <c r="AP90" s="7">
        <f t="shared" si="180"/>
        <v>6.75</v>
      </c>
      <c r="AQ90" s="9">
        <f t="shared" si="181"/>
        <v>2.8021257107421101E-2</v>
      </c>
      <c r="AR90" s="11">
        <f t="shared" si="182"/>
        <v>2.0102118964577045E-4</v>
      </c>
      <c r="AS90" s="15">
        <f t="shared" si="212"/>
        <v>8.4474405828163616E-4</v>
      </c>
      <c r="AT90" s="11">
        <f t="shared" si="138"/>
        <v>6.4329366844799744E-4</v>
      </c>
      <c r="AU90" s="11">
        <f t="shared" si="139"/>
        <v>2.714988368595232E-4</v>
      </c>
      <c r="AV90" s="11">
        <f t="shared" si="140"/>
        <v>-4.7337175332851852E-3</v>
      </c>
      <c r="AW90" s="15">
        <f t="shared" si="141"/>
        <v>2.7437983104561917E-2</v>
      </c>
      <c r="AX90" s="11">
        <f t="shared" si="142"/>
        <v>-2.500374258034678E-2</v>
      </c>
      <c r="BA90" s="7">
        <f t="shared" si="183"/>
        <v>4.75</v>
      </c>
      <c r="BB90" s="9">
        <f t="shared" si="184"/>
        <v>2.761921472812956E-2</v>
      </c>
      <c r="BC90" s="7">
        <f t="shared" si="185"/>
        <v>6.75</v>
      </c>
      <c r="BD90" s="9">
        <f t="shared" si="213"/>
        <v>2.8021257107421101E-2</v>
      </c>
      <c r="BE90" s="11">
        <f t="shared" si="186"/>
        <v>2.0102118964577045E-4</v>
      </c>
      <c r="BF90" s="15">
        <f t="shared" si="214"/>
        <v>8.4474405828163616E-4</v>
      </c>
      <c r="BG90" s="11">
        <f t="shared" si="143"/>
        <v>6.4329366844799744E-4</v>
      </c>
      <c r="BH90" s="11">
        <f t="shared" si="144"/>
        <v>2.714988368595232E-4</v>
      </c>
      <c r="BI90" s="11">
        <f t="shared" si="145"/>
        <v>-4.7337175332851852E-3</v>
      </c>
      <c r="BJ90" s="15">
        <f t="shared" si="146"/>
        <v>2.7437983104561917E-2</v>
      </c>
      <c r="BK90" s="11">
        <f t="shared" si="147"/>
        <v>-2.500374258034678E-2</v>
      </c>
      <c r="BN90" s="7">
        <f t="shared" si="187"/>
        <v>4.75</v>
      </c>
      <c r="BO90" s="9">
        <f t="shared" si="188"/>
        <v>2.761921472812956E-2</v>
      </c>
      <c r="BP90" s="7">
        <f t="shared" si="189"/>
        <v>6.75</v>
      </c>
      <c r="BQ90" s="9">
        <f t="shared" si="190"/>
        <v>2.8021257107421101E-2</v>
      </c>
      <c r="BR90" s="11">
        <f t="shared" si="191"/>
        <v>2.0102118964577045E-4</v>
      </c>
      <c r="BS90" s="15">
        <f t="shared" si="215"/>
        <v>8.3974405828163637E-4</v>
      </c>
      <c r="BT90" s="11">
        <f t="shared" si="148"/>
        <v>6.4329366844799744E-4</v>
      </c>
      <c r="BU90" s="11">
        <f t="shared" si="149"/>
        <v>2.7024883685952325E-4</v>
      </c>
      <c r="BV90" s="11">
        <f t="shared" si="150"/>
        <v>-4.7109050332851858E-3</v>
      </c>
      <c r="BW90" s="15">
        <f t="shared" si="151"/>
        <v>2.7300873729561925E-2</v>
      </c>
      <c r="BX90" s="11">
        <f t="shared" si="152"/>
        <v>-2.4733215236596801E-2</v>
      </c>
      <c r="CA90" s="7">
        <f t="shared" si="192"/>
        <v>4.75</v>
      </c>
      <c r="CB90" s="10">
        <f>$B90+BZ84</f>
        <v>2.7629214728129559E-2</v>
      </c>
      <c r="CC90" s="7">
        <f t="shared" si="194"/>
        <v>6.75</v>
      </c>
      <c r="CD90" s="9">
        <f t="shared" si="195"/>
        <v>2.8021257107421101E-2</v>
      </c>
      <c r="CE90" s="11">
        <f t="shared" si="196"/>
        <v>1.9602118964577066E-4</v>
      </c>
      <c r="CF90" s="15">
        <f t="shared" si="216"/>
        <v>8.4724405828163606E-4</v>
      </c>
      <c r="CG90" s="11">
        <f t="shared" si="153"/>
        <v>6.4079366844799754E-4</v>
      </c>
      <c r="CH90" s="11">
        <f t="shared" si="154"/>
        <v>2.739988368595231E-4</v>
      </c>
      <c r="CI90" s="11">
        <f t="shared" si="155"/>
        <v>-4.7780925332851828E-3</v>
      </c>
      <c r="CJ90" s="15">
        <f t="shared" si="156"/>
        <v>2.7692826854561901E-2</v>
      </c>
      <c r="CK90" s="11">
        <f t="shared" si="157"/>
        <v>-2.5470969142846731E-2</v>
      </c>
      <c r="CN90" s="7">
        <f t="shared" si="197"/>
        <v>4.75</v>
      </c>
      <c r="CO90" s="9">
        <f t="shared" si="198"/>
        <v>2.761921472812956E-2</v>
      </c>
      <c r="CP90" s="7">
        <f t="shared" si="199"/>
        <v>6.75</v>
      </c>
      <c r="CQ90" s="10">
        <f t="shared" si="200"/>
        <v>2.80312571074211E-2</v>
      </c>
      <c r="CR90" s="11">
        <f t="shared" si="201"/>
        <v>2.0602118964577025E-4</v>
      </c>
      <c r="CS90" s="15">
        <f t="shared" si="217"/>
        <v>8.4724405828163606E-4</v>
      </c>
      <c r="CT90" s="11">
        <f t="shared" si="158"/>
        <v>6.4412700178133071E-4</v>
      </c>
      <c r="CU90" s="11">
        <f t="shared" si="159"/>
        <v>2.6983217019285657E-4</v>
      </c>
      <c r="CV90" s="11">
        <f t="shared" si="160"/>
        <v>-4.7053841999518519E-3</v>
      </c>
      <c r="CW90" s="15">
        <f t="shared" si="161"/>
        <v>2.7284128937895249E-2</v>
      </c>
      <c r="CX90" s="11">
        <f t="shared" si="162"/>
        <v>-2.4733586330346752E-2</v>
      </c>
      <c r="DA90" s="7">
        <f t="shared" si="202"/>
        <v>4.75</v>
      </c>
      <c r="DB90" s="9">
        <f t="shared" si="203"/>
        <v>2.761921472812956E-2</v>
      </c>
      <c r="DC90" s="7">
        <f t="shared" si="204"/>
        <v>6.75</v>
      </c>
      <c r="DD90" s="9">
        <f t="shared" si="205"/>
        <v>2.8021257107421101E-2</v>
      </c>
      <c r="DE90" s="11">
        <f t="shared" si="206"/>
        <v>2.0102118964577045E-4</v>
      </c>
      <c r="DF90" s="15">
        <f t="shared" si="218"/>
        <v>8.4474405828163616E-4</v>
      </c>
      <c r="DG90" s="11">
        <f t="shared" si="163"/>
        <v>6.4496033511466462E-4</v>
      </c>
      <c r="DH90" s="11">
        <f t="shared" si="164"/>
        <v>2.7191550352619E-4</v>
      </c>
      <c r="DI90" s="11">
        <f t="shared" si="165"/>
        <v>-4.7404883666185204E-3</v>
      </c>
      <c r="DJ90" s="15">
        <f t="shared" si="166"/>
        <v>2.7474102896228595E-2</v>
      </c>
      <c r="DK90" s="11">
        <f t="shared" si="167"/>
        <v>-2.5067199611596785E-2</v>
      </c>
    </row>
    <row r="91" spans="1:115" x14ac:dyDescent="0.25">
      <c r="A91" s="7">
        <f t="shared" si="121"/>
        <v>6.75</v>
      </c>
      <c r="B91" s="9">
        <f t="shared" si="122"/>
        <v>2.8021257107421101E-2</v>
      </c>
      <c r="C91" s="7">
        <f t="shared" si="168"/>
        <v>9.75</v>
      </c>
      <c r="D91" s="9">
        <f t="shared" si="169"/>
        <v>3.1277955549171774E-2</v>
      </c>
      <c r="E91" s="11">
        <f t="shared" si="170"/>
        <v>1.0855661472502244E-3</v>
      </c>
      <c r="F91" s="15">
        <f t="shared" si="207"/>
        <v>6.4329366844799744E-4</v>
      </c>
      <c r="G91" s="11">
        <f t="shared" si="123"/>
        <v>5.4278307362511222E-4</v>
      </c>
      <c r="H91" s="11">
        <f t="shared" si="124"/>
        <v>-1.0945061693637103E-4</v>
      </c>
      <c r="I91" s="11">
        <f t="shared" si="125"/>
        <v>2.692151003371369E-3</v>
      </c>
      <c r="J91" s="15">
        <f t="shared" si="126"/>
        <v>-2.0740213674575271E-2</v>
      </c>
      <c r="K91" s="11">
        <f t="shared" si="127"/>
        <v>7.9017764525299156E-2</v>
      </c>
      <c r="N91" s="7">
        <f t="shared" si="171"/>
        <v>6.75</v>
      </c>
      <c r="O91" s="9">
        <f t="shared" si="208"/>
        <v>2.8021257107421101E-2</v>
      </c>
      <c r="P91" s="7">
        <f t="shared" si="172"/>
        <v>9.75</v>
      </c>
      <c r="Q91" s="9">
        <f t="shared" si="173"/>
        <v>3.1277955549171774E-2</v>
      </c>
      <c r="R91" s="11">
        <f t="shared" si="174"/>
        <v>1.0855661472502244E-3</v>
      </c>
      <c r="S91" s="15">
        <f t="shared" si="209"/>
        <v>6.4329366844799744E-4</v>
      </c>
      <c r="T91" s="11">
        <f t="shared" si="128"/>
        <v>5.4278307362511222E-4</v>
      </c>
      <c r="U91" s="11">
        <f t="shared" si="129"/>
        <v>-1.0945061693637103E-4</v>
      </c>
      <c r="V91" s="11">
        <f t="shared" si="130"/>
        <v>2.692151003371369E-3</v>
      </c>
      <c r="W91" s="15">
        <f t="shared" si="131"/>
        <v>-2.0740213674575271E-2</v>
      </c>
      <c r="X91" s="11">
        <f t="shared" si="132"/>
        <v>7.9017764525299156E-2</v>
      </c>
      <c r="AA91" s="7">
        <f t="shared" si="175"/>
        <v>6.75</v>
      </c>
      <c r="AB91" s="9">
        <f t="shared" si="210"/>
        <v>2.8021257107421101E-2</v>
      </c>
      <c r="AC91" s="7">
        <f t="shared" si="176"/>
        <v>9.75</v>
      </c>
      <c r="AD91" s="9">
        <f t="shared" si="177"/>
        <v>3.1277955549171774E-2</v>
      </c>
      <c r="AE91" s="11">
        <f t="shared" si="178"/>
        <v>1.0855661472502244E-3</v>
      </c>
      <c r="AF91" s="15">
        <f t="shared" si="211"/>
        <v>6.4329366844799744E-4</v>
      </c>
      <c r="AG91" s="11">
        <f t="shared" si="133"/>
        <v>5.4278307362511222E-4</v>
      </c>
      <c r="AH91" s="11">
        <f t="shared" si="134"/>
        <v>-1.0945061693637103E-4</v>
      </c>
      <c r="AI91" s="11">
        <f t="shared" si="135"/>
        <v>2.692151003371369E-3</v>
      </c>
      <c r="AJ91" s="15">
        <f t="shared" si="136"/>
        <v>-2.0740213674575271E-2</v>
      </c>
      <c r="AK91" s="11">
        <f t="shared" si="137"/>
        <v>7.9017764525299156E-2</v>
      </c>
      <c r="AN91" s="7">
        <f t="shared" si="179"/>
        <v>6.75</v>
      </c>
      <c r="AO91" s="9">
        <f t="shared" si="219"/>
        <v>2.8021257107421101E-2</v>
      </c>
      <c r="AP91" s="7">
        <f t="shared" si="180"/>
        <v>9.75</v>
      </c>
      <c r="AQ91" s="9">
        <f t="shared" si="181"/>
        <v>3.1277955549171774E-2</v>
      </c>
      <c r="AR91" s="11">
        <f t="shared" si="182"/>
        <v>1.0855661472502244E-3</v>
      </c>
      <c r="AS91" s="15">
        <f t="shared" si="212"/>
        <v>6.4329366844799744E-4</v>
      </c>
      <c r="AT91" s="11">
        <f t="shared" si="138"/>
        <v>5.4278307362511222E-4</v>
      </c>
      <c r="AU91" s="11">
        <f t="shared" si="139"/>
        <v>-1.0945061693637103E-4</v>
      </c>
      <c r="AV91" s="11">
        <f t="shared" si="140"/>
        <v>2.692151003371369E-3</v>
      </c>
      <c r="AW91" s="15">
        <f t="shared" si="141"/>
        <v>-2.0740213674575271E-2</v>
      </c>
      <c r="AX91" s="11">
        <f t="shared" si="142"/>
        <v>7.9017764525299156E-2</v>
      </c>
      <c r="BA91" s="7">
        <f t="shared" si="183"/>
        <v>6.75</v>
      </c>
      <c r="BB91" s="9">
        <f t="shared" si="184"/>
        <v>2.8021257107421101E-2</v>
      </c>
      <c r="BC91" s="7">
        <f t="shared" si="185"/>
        <v>9.75</v>
      </c>
      <c r="BD91" s="9">
        <f t="shared" si="213"/>
        <v>3.1277955549171774E-2</v>
      </c>
      <c r="BE91" s="11">
        <f t="shared" si="186"/>
        <v>1.0855661472502244E-3</v>
      </c>
      <c r="BF91" s="15">
        <f t="shared" si="214"/>
        <v>6.4329366844799744E-4</v>
      </c>
      <c r="BG91" s="11">
        <f t="shared" si="143"/>
        <v>5.4278307362511222E-4</v>
      </c>
      <c r="BH91" s="11">
        <f t="shared" si="144"/>
        <v>-1.0945061693637103E-4</v>
      </c>
      <c r="BI91" s="11">
        <f t="shared" si="145"/>
        <v>2.692151003371369E-3</v>
      </c>
      <c r="BJ91" s="15">
        <f t="shared" si="146"/>
        <v>-2.0740213674575271E-2</v>
      </c>
      <c r="BK91" s="11">
        <f t="shared" si="147"/>
        <v>7.9017764525299156E-2</v>
      </c>
      <c r="BN91" s="7">
        <f t="shared" si="187"/>
        <v>6.75</v>
      </c>
      <c r="BO91" s="9">
        <f t="shared" si="188"/>
        <v>2.8021257107421101E-2</v>
      </c>
      <c r="BP91" s="7">
        <f t="shared" si="189"/>
        <v>9.75</v>
      </c>
      <c r="BQ91" s="9">
        <f t="shared" si="190"/>
        <v>3.1277955549171774E-2</v>
      </c>
      <c r="BR91" s="11">
        <f t="shared" si="191"/>
        <v>1.0855661472502244E-3</v>
      </c>
      <c r="BS91" s="15">
        <f t="shared" si="215"/>
        <v>6.4329366844799744E-4</v>
      </c>
      <c r="BT91" s="11">
        <f t="shared" si="148"/>
        <v>5.4278307362511222E-4</v>
      </c>
      <c r="BU91" s="11">
        <f t="shared" si="149"/>
        <v>-1.0945061693637103E-4</v>
      </c>
      <c r="BV91" s="11">
        <f t="shared" si="150"/>
        <v>2.692151003371369E-3</v>
      </c>
      <c r="BW91" s="15">
        <f t="shared" si="151"/>
        <v>-2.0740213674575271E-2</v>
      </c>
      <c r="BX91" s="11">
        <f t="shared" si="152"/>
        <v>7.9017764525299156E-2</v>
      </c>
      <c r="CA91" s="7">
        <f t="shared" si="192"/>
        <v>6.75</v>
      </c>
      <c r="CB91" s="9">
        <f t="shared" si="193"/>
        <v>2.8021257107421101E-2</v>
      </c>
      <c r="CC91" s="7">
        <f t="shared" si="194"/>
        <v>9.75</v>
      </c>
      <c r="CD91" s="9">
        <f t="shared" si="195"/>
        <v>3.1277955549171774E-2</v>
      </c>
      <c r="CE91" s="11">
        <f t="shared" si="196"/>
        <v>1.0855661472502244E-3</v>
      </c>
      <c r="CF91" s="15">
        <f t="shared" si="216"/>
        <v>6.4079366844799754E-4</v>
      </c>
      <c r="CG91" s="11">
        <f t="shared" si="153"/>
        <v>5.4278307362511222E-4</v>
      </c>
      <c r="CH91" s="11">
        <f t="shared" si="154"/>
        <v>-1.0972839471414879E-4</v>
      </c>
      <c r="CI91" s="11">
        <f t="shared" si="155"/>
        <v>2.6994426700380353E-3</v>
      </c>
      <c r="CJ91" s="15">
        <f t="shared" si="156"/>
        <v>-2.0803182424575267E-2</v>
      </c>
      <c r="CK91" s="11">
        <f t="shared" si="157"/>
        <v>7.9196006712799152E-2</v>
      </c>
      <c r="CN91" s="7">
        <f t="shared" si="197"/>
        <v>6.75</v>
      </c>
      <c r="CO91" s="10">
        <f>$B91+CM84</f>
        <v>2.80312571074211E-2</v>
      </c>
      <c r="CP91" s="7">
        <f t="shared" si="199"/>
        <v>9.75</v>
      </c>
      <c r="CQ91" s="9">
        <f t="shared" si="200"/>
        <v>3.1277955549171774E-2</v>
      </c>
      <c r="CR91" s="11">
        <f t="shared" si="201"/>
        <v>1.0822328139168912E-3</v>
      </c>
      <c r="CS91" s="15">
        <f t="shared" si="217"/>
        <v>6.4412700178133071E-4</v>
      </c>
      <c r="CT91" s="11">
        <f t="shared" si="158"/>
        <v>5.4111640695844558E-4</v>
      </c>
      <c r="CU91" s="11">
        <f t="shared" si="159"/>
        <v>-1.0880246878822289E-4</v>
      </c>
      <c r="CV91" s="11">
        <f t="shared" si="160"/>
        <v>2.6756926700380358E-3</v>
      </c>
      <c r="CW91" s="15">
        <f t="shared" si="161"/>
        <v>-2.0605786591241938E-2</v>
      </c>
      <c r="CX91" s="11">
        <f t="shared" si="162"/>
        <v>7.8670928587799144E-2</v>
      </c>
      <c r="DA91" s="7">
        <f t="shared" si="202"/>
        <v>6.75</v>
      </c>
      <c r="DB91" s="9">
        <f t="shared" si="203"/>
        <v>2.8021257107421101E-2</v>
      </c>
      <c r="DC91" s="7">
        <f t="shared" si="204"/>
        <v>9.75</v>
      </c>
      <c r="DD91" s="10">
        <f t="shared" si="205"/>
        <v>3.1287955549171777E-2</v>
      </c>
      <c r="DE91" s="11">
        <f t="shared" si="206"/>
        <v>1.0888994805835588E-3</v>
      </c>
      <c r="DF91" s="15">
        <f t="shared" si="218"/>
        <v>6.4496033511466462E-4</v>
      </c>
      <c r="DG91" s="11">
        <f t="shared" si="163"/>
        <v>5.4444974029177939E-4</v>
      </c>
      <c r="DH91" s="11">
        <f t="shared" si="164"/>
        <v>-1.0982098730674151E-4</v>
      </c>
      <c r="DI91" s="11">
        <f t="shared" si="165"/>
        <v>2.7013176700380385E-3</v>
      </c>
      <c r="DJ91" s="15">
        <f t="shared" si="166"/>
        <v>-2.0811672007908621E-2</v>
      </c>
      <c r="DK91" s="11">
        <f t="shared" si="167"/>
        <v>7.9196358275299195E-2</v>
      </c>
    </row>
    <row r="92" spans="1:115" x14ac:dyDescent="0.25">
      <c r="A92" s="7">
        <f t="shared" si="121"/>
        <v>9.75</v>
      </c>
      <c r="B92" s="9">
        <f t="shared" si="122"/>
        <v>3.1277955549171774E-2</v>
      </c>
      <c r="C92">
        <v>100</v>
      </c>
      <c r="D92" s="9">
        <f>B92</f>
        <v>3.1277955549171774E-2</v>
      </c>
      <c r="E92" s="11">
        <f t="shared" si="170"/>
        <v>0</v>
      </c>
      <c r="F92" s="15">
        <f t="shared" si="207"/>
        <v>5.4278307362511222E-4</v>
      </c>
      <c r="G92" s="11">
        <v>0</v>
      </c>
      <c r="H92" s="11">
        <f t="shared" si="124"/>
        <v>6.6639522241248886E-8</v>
      </c>
      <c r="I92" s="11">
        <f t="shared" si="125"/>
        <v>-1.3977639790101952E-5</v>
      </c>
      <c r="J92" s="15">
        <f t="shared" si="126"/>
        <v>7.9634229078292412E-4</v>
      </c>
      <c r="K92" s="11">
        <f t="shared" si="127"/>
        <v>2.4780602130650007E-2</v>
      </c>
      <c r="N92" s="7">
        <f t="shared" si="171"/>
        <v>9.75</v>
      </c>
      <c r="O92" s="9">
        <f t="shared" si="208"/>
        <v>3.1277955549171774E-2</v>
      </c>
      <c r="P92" s="7">
        <v>100</v>
      </c>
      <c r="Q92" s="9">
        <f>O92</f>
        <v>3.1277955549171774E-2</v>
      </c>
      <c r="R92" s="11">
        <f t="shared" si="174"/>
        <v>0</v>
      </c>
      <c r="S92" s="15">
        <f t="shared" si="209"/>
        <v>5.4278307362511222E-4</v>
      </c>
      <c r="T92" s="11">
        <v>0</v>
      </c>
      <c r="U92" s="11">
        <f t="shared" si="129"/>
        <v>6.6639522241248886E-8</v>
      </c>
      <c r="V92" s="11">
        <f t="shared" si="130"/>
        <v>-1.3977639790101952E-5</v>
      </c>
      <c r="W92" s="15">
        <f t="shared" si="131"/>
        <v>7.9634229078292412E-4</v>
      </c>
      <c r="X92" s="11">
        <f t="shared" si="132"/>
        <v>2.4780602130650007E-2</v>
      </c>
      <c r="AA92" s="7">
        <f t="shared" si="175"/>
        <v>9.75</v>
      </c>
      <c r="AB92" s="9">
        <f t="shared" si="210"/>
        <v>3.1277955549171774E-2</v>
      </c>
      <c r="AC92" s="7">
        <v>100</v>
      </c>
      <c r="AD92" s="9">
        <f>AB92</f>
        <v>3.1277955549171774E-2</v>
      </c>
      <c r="AE92" s="11">
        <f t="shared" si="178"/>
        <v>0</v>
      </c>
      <c r="AF92" s="15">
        <f t="shared" si="211"/>
        <v>5.4278307362511222E-4</v>
      </c>
      <c r="AG92" s="11">
        <v>0</v>
      </c>
      <c r="AH92" s="11">
        <f t="shared" si="134"/>
        <v>6.6639522241248886E-8</v>
      </c>
      <c r="AI92" s="11">
        <f t="shared" si="135"/>
        <v>-1.3977639790101952E-5</v>
      </c>
      <c r="AJ92" s="15">
        <f t="shared" si="136"/>
        <v>7.9634229078292412E-4</v>
      </c>
      <c r="AK92" s="11">
        <f t="shared" si="137"/>
        <v>2.4780602130650007E-2</v>
      </c>
      <c r="AN92" s="7">
        <f t="shared" si="179"/>
        <v>9.75</v>
      </c>
      <c r="AO92" s="9">
        <f t="shared" si="219"/>
        <v>3.1277955549171774E-2</v>
      </c>
      <c r="AP92" s="7">
        <v>100</v>
      </c>
      <c r="AQ92" s="9">
        <f>AO92</f>
        <v>3.1277955549171774E-2</v>
      </c>
      <c r="AR92" s="11">
        <f t="shared" si="182"/>
        <v>0</v>
      </c>
      <c r="AS92" s="15">
        <f t="shared" si="212"/>
        <v>5.4278307362511222E-4</v>
      </c>
      <c r="AT92" s="11">
        <v>0</v>
      </c>
      <c r="AU92" s="11">
        <f t="shared" si="139"/>
        <v>6.6639522241248886E-8</v>
      </c>
      <c r="AV92" s="11">
        <f t="shared" si="140"/>
        <v>-1.3977639790101952E-5</v>
      </c>
      <c r="AW92" s="15">
        <f t="shared" si="141"/>
        <v>7.9634229078292412E-4</v>
      </c>
      <c r="AX92" s="11">
        <f t="shared" si="142"/>
        <v>2.4780602130650007E-2</v>
      </c>
      <c r="BA92" s="7">
        <f t="shared" si="183"/>
        <v>9.75</v>
      </c>
      <c r="BB92" s="9">
        <f t="shared" si="184"/>
        <v>3.1277955549171774E-2</v>
      </c>
      <c r="BC92" s="7">
        <v>100</v>
      </c>
      <c r="BD92" s="9">
        <f>BB92</f>
        <v>3.1277955549171774E-2</v>
      </c>
      <c r="BE92" s="11">
        <f t="shared" si="186"/>
        <v>0</v>
      </c>
      <c r="BF92" s="15">
        <f t="shared" si="214"/>
        <v>5.4278307362511222E-4</v>
      </c>
      <c r="BG92" s="11">
        <v>0</v>
      </c>
      <c r="BH92" s="11">
        <f t="shared" si="144"/>
        <v>6.6639522241248886E-8</v>
      </c>
      <c r="BI92" s="11">
        <f t="shared" si="145"/>
        <v>-1.3977639790101952E-5</v>
      </c>
      <c r="BJ92" s="15">
        <f t="shared" si="146"/>
        <v>7.9634229078292412E-4</v>
      </c>
      <c r="BK92" s="11">
        <f t="shared" si="147"/>
        <v>2.4780602130650007E-2</v>
      </c>
      <c r="BN92" s="7">
        <f t="shared" si="187"/>
        <v>9.75</v>
      </c>
      <c r="BO92" s="9">
        <f t="shared" si="188"/>
        <v>3.1277955549171774E-2</v>
      </c>
      <c r="BP92" s="7">
        <v>100</v>
      </c>
      <c r="BQ92" s="9">
        <f>BO92</f>
        <v>3.1277955549171774E-2</v>
      </c>
      <c r="BR92" s="11">
        <f t="shared" si="191"/>
        <v>0</v>
      </c>
      <c r="BS92" s="15">
        <f t="shared" si="215"/>
        <v>5.4278307362511222E-4</v>
      </c>
      <c r="BT92" s="11">
        <v>0</v>
      </c>
      <c r="BU92" s="11">
        <f t="shared" si="149"/>
        <v>6.6639522241248886E-8</v>
      </c>
      <c r="BV92" s="11">
        <f t="shared" si="150"/>
        <v>-1.3977639790101952E-5</v>
      </c>
      <c r="BW92" s="15">
        <f t="shared" si="151"/>
        <v>7.9634229078292412E-4</v>
      </c>
      <c r="BX92" s="11">
        <f t="shared" si="152"/>
        <v>2.4780602130650007E-2</v>
      </c>
      <c r="CA92" s="7">
        <f t="shared" si="192"/>
        <v>9.75</v>
      </c>
      <c r="CB92" s="9">
        <f t="shared" si="193"/>
        <v>3.1277955549171774E-2</v>
      </c>
      <c r="CC92" s="7">
        <v>100</v>
      </c>
      <c r="CD92" s="9">
        <f>CB92</f>
        <v>3.1277955549171774E-2</v>
      </c>
      <c r="CE92" s="11">
        <f t="shared" si="196"/>
        <v>0</v>
      </c>
      <c r="CF92" s="15">
        <f t="shared" si="216"/>
        <v>5.4278307362511222E-4</v>
      </c>
      <c r="CG92" s="11">
        <v>0</v>
      </c>
      <c r="CH92" s="11">
        <f t="shared" si="154"/>
        <v>6.6639522241248886E-8</v>
      </c>
      <c r="CI92" s="11">
        <f t="shared" si="155"/>
        <v>-1.3977639790101952E-5</v>
      </c>
      <c r="CJ92" s="15">
        <f t="shared" si="156"/>
        <v>7.9634229078292412E-4</v>
      </c>
      <c r="CK92" s="11">
        <f t="shared" si="157"/>
        <v>2.4780602130650007E-2</v>
      </c>
      <c r="CN92" s="7">
        <f t="shared" si="197"/>
        <v>9.75</v>
      </c>
      <c r="CO92" s="9">
        <f t="shared" si="198"/>
        <v>3.1277955549171774E-2</v>
      </c>
      <c r="CP92" s="7">
        <v>100</v>
      </c>
      <c r="CQ92" s="9">
        <f>CO92</f>
        <v>3.1277955549171774E-2</v>
      </c>
      <c r="CR92" s="11">
        <f t="shared" si="201"/>
        <v>0</v>
      </c>
      <c r="CS92" s="15">
        <f t="shared" si="217"/>
        <v>5.4111640695844558E-4</v>
      </c>
      <c r="CT92" s="11">
        <v>0</v>
      </c>
      <c r="CU92" s="11">
        <f t="shared" si="159"/>
        <v>6.643489929738975E-8</v>
      </c>
      <c r="CV92" s="11">
        <f t="shared" si="160"/>
        <v>-1.3934720127627499E-5</v>
      </c>
      <c r="CW92" s="15">
        <f t="shared" si="161"/>
        <v>7.9389704660380752E-4</v>
      </c>
      <c r="CX92" s="11">
        <f t="shared" si="162"/>
        <v>2.4800552867676268E-2</v>
      </c>
      <c r="DA92" s="7">
        <f t="shared" si="202"/>
        <v>9.75</v>
      </c>
      <c r="DB92" s="10">
        <f>$B92+CZ84</f>
        <v>3.1287955549171777E-2</v>
      </c>
      <c r="DC92" s="7">
        <v>100</v>
      </c>
      <c r="DD92" s="10">
        <f>DB92</f>
        <v>3.1287955549171777E-2</v>
      </c>
      <c r="DE92" s="11">
        <f t="shared" si="206"/>
        <v>0</v>
      </c>
      <c r="DF92" s="15">
        <f t="shared" si="218"/>
        <v>5.4444974029177939E-4</v>
      </c>
      <c r="DG92" s="11">
        <v>0</v>
      </c>
      <c r="DH92" s="11">
        <f t="shared" si="164"/>
        <v>6.6844145185108075E-8</v>
      </c>
      <c r="DI92" s="11">
        <f t="shared" si="165"/>
        <v>-1.4020559452576418E-5</v>
      </c>
      <c r="DJ92" s="15">
        <f t="shared" si="166"/>
        <v>7.9878753496204148E-4</v>
      </c>
      <c r="DK92" s="11">
        <f t="shared" si="167"/>
        <v>2.4770651393623742E-2</v>
      </c>
    </row>
    <row r="94" spans="1:115" x14ac:dyDescent="0.25">
      <c r="A94" t="str">
        <f t="array" ref="A94:H94">TRANSPOSE($A$2:$A$9)</f>
        <v>3M Fixing</v>
      </c>
      <c r="B94" t="str">
        <v>1Y Swap</v>
      </c>
      <c r="C94" t="str">
        <v>2Y Swap</v>
      </c>
      <c r="D94" t="str">
        <v>3Y Swap</v>
      </c>
      <c r="E94" t="str">
        <v>4Y Swap</v>
      </c>
      <c r="F94" t="str">
        <v>5Y Swap</v>
      </c>
      <c r="G94" t="str">
        <v>7Y Swap</v>
      </c>
      <c r="H94" t="str">
        <v>10Y Swap</v>
      </c>
      <c r="N94" t="str">
        <f t="array" ref="N94:U94">TRANSPOSE($A$2:$A$9)</f>
        <v>3M Fixing</v>
      </c>
      <c r="O94" t="str">
        <v>1Y Swap</v>
      </c>
      <c r="P94" t="str">
        <v>2Y Swap</v>
      </c>
      <c r="Q94" t="str">
        <v>3Y Swap</v>
      </c>
      <c r="R94" t="str">
        <v>4Y Swap</v>
      </c>
      <c r="S94" t="str">
        <v>5Y Swap</v>
      </c>
      <c r="T94" t="str">
        <v>7Y Swap</v>
      </c>
      <c r="U94" t="str">
        <v>10Y Swap</v>
      </c>
      <c r="AA94" t="str">
        <f t="array" ref="AA94:AH94">TRANSPOSE($A$2:$A$9)</f>
        <v>3M Fixing</v>
      </c>
      <c r="AB94" t="str">
        <v>1Y Swap</v>
      </c>
      <c r="AC94" t="str">
        <v>2Y Swap</v>
      </c>
      <c r="AD94" t="str">
        <v>3Y Swap</v>
      </c>
      <c r="AE94" t="str">
        <v>4Y Swap</v>
      </c>
      <c r="AF94" t="str">
        <v>5Y Swap</v>
      </c>
      <c r="AG94" t="str">
        <v>7Y Swap</v>
      </c>
      <c r="AH94" t="str">
        <v>10Y Swap</v>
      </c>
      <c r="AN94" t="str">
        <f t="array" ref="AN94:AU94">TRANSPOSE($A$2:$A$9)</f>
        <v>3M Fixing</v>
      </c>
      <c r="AO94" t="str">
        <v>1Y Swap</v>
      </c>
      <c r="AP94" t="str">
        <v>2Y Swap</v>
      </c>
      <c r="AQ94" t="str">
        <v>3Y Swap</v>
      </c>
      <c r="AR94" t="str">
        <v>4Y Swap</v>
      </c>
      <c r="AS94" t="str">
        <v>5Y Swap</v>
      </c>
      <c r="AT94" t="str">
        <v>7Y Swap</v>
      </c>
      <c r="AU94" t="str">
        <v>10Y Swap</v>
      </c>
      <c r="BA94" t="str">
        <f t="array" ref="BA94:BH94">TRANSPOSE($A$2:$A$9)</f>
        <v>3M Fixing</v>
      </c>
      <c r="BB94" t="str">
        <v>1Y Swap</v>
      </c>
      <c r="BC94" t="str">
        <v>2Y Swap</v>
      </c>
      <c r="BD94" t="str">
        <v>3Y Swap</v>
      </c>
      <c r="BE94" t="str">
        <v>4Y Swap</v>
      </c>
      <c r="BF94" t="str">
        <v>5Y Swap</v>
      </c>
      <c r="BG94" t="str">
        <v>7Y Swap</v>
      </c>
      <c r="BH94" t="str">
        <v>10Y Swap</v>
      </c>
      <c r="BN94" t="str">
        <f t="array" ref="BN94:BU94">TRANSPOSE($A$2:$A$9)</f>
        <v>3M Fixing</v>
      </c>
      <c r="BO94" t="str">
        <v>1Y Swap</v>
      </c>
      <c r="BP94" t="str">
        <v>2Y Swap</v>
      </c>
      <c r="BQ94" t="str">
        <v>3Y Swap</v>
      </c>
      <c r="BR94" t="str">
        <v>4Y Swap</v>
      </c>
      <c r="BS94" t="str">
        <v>5Y Swap</v>
      </c>
      <c r="BT94" t="str">
        <v>7Y Swap</v>
      </c>
      <c r="BU94" t="str">
        <v>10Y Swap</v>
      </c>
      <c r="CA94" t="str">
        <f t="array" ref="CA94:CH94">TRANSPOSE($A$2:$A$9)</f>
        <v>3M Fixing</v>
      </c>
      <c r="CB94" t="str">
        <v>1Y Swap</v>
      </c>
      <c r="CC94" t="str">
        <v>2Y Swap</v>
      </c>
      <c r="CD94" t="str">
        <v>3Y Swap</v>
      </c>
      <c r="CE94" t="str">
        <v>4Y Swap</v>
      </c>
      <c r="CF94" t="str">
        <v>5Y Swap</v>
      </c>
      <c r="CG94" t="str">
        <v>7Y Swap</v>
      </c>
      <c r="CH94" t="str">
        <v>10Y Swap</v>
      </c>
      <c r="CN94" t="str">
        <f t="array" ref="CN94:CU94">TRANSPOSE($A$2:$A$9)</f>
        <v>3M Fixing</v>
      </c>
      <c r="CO94" t="str">
        <v>1Y Swap</v>
      </c>
      <c r="CP94" t="str">
        <v>2Y Swap</v>
      </c>
      <c r="CQ94" t="str">
        <v>3Y Swap</v>
      </c>
      <c r="CR94" t="str">
        <v>4Y Swap</v>
      </c>
      <c r="CS94" t="str">
        <v>5Y Swap</v>
      </c>
      <c r="CT94" t="str">
        <v>7Y Swap</v>
      </c>
      <c r="CU94" t="str">
        <v>10Y Swap</v>
      </c>
      <c r="DA94" t="str">
        <f t="array" ref="DA94:DH94">TRANSPOSE($A$2:$A$9)</f>
        <v>3M Fixing</v>
      </c>
      <c r="DB94" t="str">
        <v>1Y Swap</v>
      </c>
      <c r="DC94" t="str">
        <v>2Y Swap</v>
      </c>
      <c r="DD94" t="str">
        <v>3Y Swap</v>
      </c>
      <c r="DE94" t="str">
        <v>4Y Swap</v>
      </c>
      <c r="DF94" t="str">
        <v>5Y Swap</v>
      </c>
      <c r="DG94" t="str">
        <v>7Y Swap</v>
      </c>
      <c r="DH94" t="str">
        <v>10Y Swap</v>
      </c>
    </row>
    <row r="95" spans="1:115" x14ac:dyDescent="0.25">
      <c r="A95" s="9">
        <f>G98</f>
        <v>2.53E-2</v>
      </c>
      <c r="B95" s="9">
        <f>SUM(I99:I102)/SUM(J99:J102)*$F$6</f>
        <v>2.3200014910232419E-2</v>
      </c>
      <c r="C95" s="9">
        <f>SUM(I99:I106)/SUM(J99:J106)*$F$6</f>
        <v>2.2900007513969249E-2</v>
      </c>
      <c r="D95" s="9">
        <f>SUM(I99:I110)/SUM(J99:J110)*$F$6</f>
        <v>2.3599999678865571E-2</v>
      </c>
      <c r="E95" s="9">
        <f>SUM(I99:I114)/SUM(J99:J114)*$F$6</f>
        <v>2.4199998502341485E-2</v>
      </c>
      <c r="F95" s="9">
        <f>SUM(I99:I118)/SUM(J99:J118)*$F$6</f>
        <v>2.4800002828659653E-2</v>
      </c>
      <c r="G95" s="9">
        <f>SUM(I99:I126)/SUM(J99:J126)*$F$6</f>
        <v>2.5700006376862185E-2</v>
      </c>
      <c r="H95" s="9">
        <f>SUM(I99:I138)/SUM(J99:J138)*$F$6</f>
        <v>2.6900021674598946E-2</v>
      </c>
      <c r="N95" s="3">
        <f>T98</f>
        <v>2.5309999999999999E-2</v>
      </c>
      <c r="O95" s="9">
        <f>SUM(V99:V102)/SUM(W99:W102)*$F$6</f>
        <v>2.3205099878255517E-2</v>
      </c>
      <c r="P95" s="9">
        <f>SUM(V99:V106)/SUM(W99:W106)*$F$6</f>
        <v>2.2902578398602852E-2</v>
      </c>
      <c r="Q95" s="9">
        <f>SUM(V99:V110)/SUM(W99:W110)*$F$6</f>
        <v>2.3601734030574983E-2</v>
      </c>
      <c r="R95" s="9">
        <f>SUM(V99:V114)/SUM(W99:W114)*$F$6</f>
        <v>2.4201315285060459E-2</v>
      </c>
      <c r="S95" s="9">
        <f>SUM(V99:V118)/SUM(W99:W118)*$F$6</f>
        <v>2.4801069609391324E-2</v>
      </c>
      <c r="T95" s="9">
        <f>SUM(V99:V126)/SUM(W99:W126)*$F$6</f>
        <v>2.570078832595089E-2</v>
      </c>
      <c r="U95" s="9">
        <f>SUM(V99:V138)/SUM(W99:W138)*$F$6</f>
        <v>2.690059137431695E-2</v>
      </c>
      <c r="AA95" s="3">
        <f>AG98</f>
        <v>2.53E-2</v>
      </c>
      <c r="AB95" s="9">
        <f>SUM(AI99:AI102)/SUM(AJ99:AJ102)*$F$6</f>
        <v>2.3205103458630916E-2</v>
      </c>
      <c r="AC95" s="9">
        <f>SUM(AI99:AI106)/SUM(AJ99:AJ106)*$F$6</f>
        <v>2.2904663027535636E-2</v>
      </c>
      <c r="AD95" s="9">
        <f>SUM(AI99:AI110)/SUM(AJ99:AJ110)*$F$6</f>
        <v>2.3603010055529366E-2</v>
      </c>
      <c r="AE95" s="9">
        <f>SUM(AI99:AI114)/SUM(AJ99:AJ114)*$F$6</f>
        <v>2.4202283569540295E-2</v>
      </c>
      <c r="AF95" s="9">
        <f>SUM(AI99:AI118)/SUM(AJ99:AJ118)*$F$6</f>
        <v>2.4801853635692733E-2</v>
      </c>
      <c r="AG95" s="9">
        <f>SUM(AI99:AI126)/SUM(AJ99:AJ126)*$F$6</f>
        <v>2.5701362552908474E-2</v>
      </c>
      <c r="AH95" s="9">
        <f>SUM(AI99:AI138)/SUM(AJ99:AJ138)*$F$6</f>
        <v>2.6901009284915865E-2</v>
      </c>
      <c r="AN95" s="3">
        <f>AT98</f>
        <v>2.53E-2</v>
      </c>
      <c r="AO95" s="9">
        <f>SUM(AV99:AV102)/SUM(AW99:AW102)*$F$6</f>
        <v>2.3200014910232419E-2</v>
      </c>
      <c r="AP95" s="9">
        <f>SUM(AV99:AV106)/SUM(AW99:AW106)*$F$6</f>
        <v>2.2903150356728057E-2</v>
      </c>
      <c r="AQ95" s="9">
        <f>SUM(AV99:AV110)/SUM(AW99:AW110)*$F$6</f>
        <v>2.3603489106781322E-2</v>
      </c>
      <c r="AR95" s="9">
        <f>SUM(AV99:AV114)/SUM(AW99:AW114)*$F$6</f>
        <v>2.4202549866036229E-2</v>
      </c>
      <c r="AS95" s="9">
        <f>SUM(AV99:AV118)/SUM(AW99:AW118)*$F$6</f>
        <v>2.4802068132781893E-2</v>
      </c>
      <c r="AT95" s="9">
        <f>SUM(AV99:AV126)/SUM(AW99:AW126)*$F$6</f>
        <v>2.5701518414467567E-2</v>
      </c>
      <c r="AU95" s="9">
        <f>SUM(AV99:AV138)/SUM(AW99:AW138)*$F$6</f>
        <v>2.6901121514038246E-2</v>
      </c>
      <c r="BA95" s="3">
        <f>BG98</f>
        <v>2.53E-2</v>
      </c>
      <c r="BB95" s="9">
        <f>SUM(BI99:BI102)/SUM(BJ99:BJ102)*$F$6</f>
        <v>2.3200014910232419E-2</v>
      </c>
      <c r="BC95" s="9">
        <f>SUM(BI99:BI106)/SUM(BJ99:BJ106)*$F$6</f>
        <v>2.2899811052830184E-2</v>
      </c>
      <c r="BD95" s="9">
        <f>SUM(BI99:BI110)/SUM(BJ99:BJ110)*$F$6</f>
        <v>2.3602065261134262E-2</v>
      </c>
      <c r="BE95" s="9">
        <f>SUM(BI99:BI114)/SUM(BJ99:BJ114)*$F$6</f>
        <v>2.4202579321468347E-2</v>
      </c>
      <c r="BF95" s="9">
        <f>SUM(BI99:BI118)/SUM(BJ99:BJ118)*$F$6</f>
        <v>2.4802015051233927E-2</v>
      </c>
      <c r="BG95" s="9">
        <f>SUM(BI99:BI126)/SUM(BJ99:BJ126)*$F$6</f>
        <v>2.5701478120868013E-2</v>
      </c>
      <c r="BH95" s="9">
        <f>SUM(BI99:BI138)/SUM(BJ99:BJ138)*$F$6</f>
        <v>2.6901090811925266E-2</v>
      </c>
      <c r="BN95" s="3">
        <f>BT98</f>
        <v>2.53E-2</v>
      </c>
      <c r="BO95" s="9">
        <f>SUM(BV99:BV102)/SUM(BW99:BW102)*$F$6</f>
        <v>2.3200014910232419E-2</v>
      </c>
      <c r="BP95" s="9">
        <f>SUM(BV99:BV106)/SUM(BW99:BW106)*$F$6</f>
        <v>2.2900007513969249E-2</v>
      </c>
      <c r="BQ95" s="9">
        <f>SUM(BV99:BV110)/SUM(BW99:BW110)*$F$6</f>
        <v>2.3599870375376392E-2</v>
      </c>
      <c r="BR95" s="9">
        <f>SUM(BV99:BV114)/SUM(BW99:BW114)*$F$6</f>
        <v>2.4201527412529237E-2</v>
      </c>
      <c r="BS95" s="9">
        <f>SUM(BV99:BV118)/SUM(BW99:BW118)*$F$6</f>
        <v>2.4802039398750749E-2</v>
      </c>
      <c r="BT95" s="9">
        <f>SUM(BV99:BV126)/SUM(BW99:BW126)*$F$6</f>
        <v>2.5701270031416944E-2</v>
      </c>
      <c r="BU95" s="9">
        <f>SUM(BV99:BV138)/SUM(BW99:BW138)*$F$6</f>
        <v>2.6900938783212761E-2</v>
      </c>
      <c r="CA95" s="3">
        <f>CG98</f>
        <v>2.53E-2</v>
      </c>
      <c r="CB95" s="9">
        <f>SUM(CI99:CI102)/SUM(CJ99:CJ102)*$F$6</f>
        <v>2.3200014910232419E-2</v>
      </c>
      <c r="CC95" s="9">
        <f>SUM(CI99:CI106)/SUM(CJ99:CJ106)*$F$6</f>
        <v>2.2900007513969249E-2</v>
      </c>
      <c r="CD95" s="9">
        <f>SUM(CI99:CI110)/SUM(CJ99:CJ110)*$F$6</f>
        <v>2.3599999678865571E-2</v>
      </c>
      <c r="CE95" s="9">
        <f>SUM(CI99:CI114)/SUM(CJ99:CJ114)*$F$6</f>
        <v>2.4199902795149414E-2</v>
      </c>
      <c r="CF95" s="9">
        <f>SUM(CI99:CI118)/SUM(CJ99:CJ118)*$F$6</f>
        <v>2.480117097961303E-2</v>
      </c>
      <c r="CG95" s="9">
        <f>SUM(CI99:CI126)/SUM(CJ99:CJ126)*$F$6</f>
        <v>2.5702281827798226E-2</v>
      </c>
      <c r="CH95" s="9">
        <f>SUM(CI99:CI138)/SUM(CJ99:CJ138)*$F$6</f>
        <v>2.6901496575099187E-2</v>
      </c>
      <c r="CN95" s="3">
        <f>CT98</f>
        <v>2.53E-2</v>
      </c>
      <c r="CO95" s="9">
        <f>SUM(CV99:CV102)/SUM(CW99:CW102)*$F$6</f>
        <v>2.3200014910232419E-2</v>
      </c>
      <c r="CP95" s="9">
        <f>SUM(CV99:CV106)/SUM(CW99:CW106)*$F$6</f>
        <v>2.2900007513969249E-2</v>
      </c>
      <c r="CQ95" s="9">
        <f>SUM(CV99:CV110)/SUM(CW99:CW110)*$F$6</f>
        <v>2.3599999678865571E-2</v>
      </c>
      <c r="CR95" s="9">
        <f>SUM(CV99:CV114)/SUM(CW99:CW114)*$F$6</f>
        <v>2.4199998502341485E-2</v>
      </c>
      <c r="CS95" s="9">
        <f>SUM(CV99:CV118)/SUM(CW99:CW118)*$F$6</f>
        <v>2.4799965082438674E-2</v>
      </c>
      <c r="CT95" s="9">
        <f>SUM(CV99:CV126)/SUM(CW99:CW126)*$F$6</f>
        <v>2.5701571243316349E-2</v>
      </c>
      <c r="CU95" s="9">
        <f>SUM(CV99:CV138)/SUM(CW99:CW138)*$F$6</f>
        <v>2.6902607780610318E-2</v>
      </c>
      <c r="DA95" s="3">
        <f>DG98</f>
        <v>2.53E-2</v>
      </c>
      <c r="DB95" s="9">
        <f>SUM(DI99:DI102)/SUM(DJ99:DJ102)*$F$6</f>
        <v>2.3200014910232419E-2</v>
      </c>
      <c r="DC95" s="9">
        <f>SUM(DI99:DI106)/SUM(DJ99:DJ106)*$F$6</f>
        <v>2.2900007513969249E-2</v>
      </c>
      <c r="DD95" s="9">
        <f>SUM(DI99:DI110)/SUM(DJ99:DJ110)*$F$6</f>
        <v>2.3599999678865571E-2</v>
      </c>
      <c r="DE95" s="9">
        <f>SUM(DI99:DI114)/SUM(DJ99:DJ114)*$F$6</f>
        <v>2.4199998502341485E-2</v>
      </c>
      <c r="DF95" s="9">
        <f>SUM(DI99:DI118)/SUM(DJ99:DJ118)*$F$6</f>
        <v>2.4800002828659653E-2</v>
      </c>
      <c r="DG95" s="9">
        <f>SUM(DI99:DI126)/SUM(DJ99:DJ126)*$F$6</f>
        <v>2.5699932257413152E-2</v>
      </c>
      <c r="DH95" s="9">
        <f>SUM(DI99:DI138)/SUM(DJ99:DJ138)*$F$6</f>
        <v>2.6901442598910908E-2</v>
      </c>
    </row>
    <row r="97" spans="1:115" x14ac:dyDescent="0.25">
      <c r="A97" t="s">
        <v>9</v>
      </c>
      <c r="B97" t="s">
        <v>18</v>
      </c>
      <c r="C97" t="s">
        <v>33</v>
      </c>
      <c r="D97" t="s">
        <v>34</v>
      </c>
      <c r="E97" t="s">
        <v>35</v>
      </c>
      <c r="F97" t="s">
        <v>36</v>
      </c>
      <c r="G97" t="s">
        <v>10</v>
      </c>
      <c r="H97" t="s">
        <v>19</v>
      </c>
      <c r="I97" t="s">
        <v>20</v>
      </c>
      <c r="J97" t="s">
        <v>21</v>
      </c>
      <c r="N97" t="s">
        <v>9</v>
      </c>
      <c r="O97" t="s">
        <v>18</v>
      </c>
      <c r="P97" t="s">
        <v>33</v>
      </c>
      <c r="Q97" t="s">
        <v>34</v>
      </c>
      <c r="R97" t="s">
        <v>35</v>
      </c>
      <c r="S97" t="s">
        <v>36</v>
      </c>
      <c r="T97" t="s">
        <v>10</v>
      </c>
      <c r="U97" t="s">
        <v>19</v>
      </c>
      <c r="V97" t="s">
        <v>20</v>
      </c>
      <c r="W97" t="s">
        <v>21</v>
      </c>
      <c r="AA97" t="s">
        <v>9</v>
      </c>
      <c r="AB97" t="s">
        <v>18</v>
      </c>
      <c r="AC97" t="s">
        <v>33</v>
      </c>
      <c r="AD97" t="s">
        <v>34</v>
      </c>
      <c r="AE97" t="s">
        <v>35</v>
      </c>
      <c r="AF97" t="s">
        <v>36</v>
      </c>
      <c r="AG97" t="s">
        <v>10</v>
      </c>
      <c r="AH97" t="s">
        <v>19</v>
      </c>
      <c r="AI97" t="s">
        <v>20</v>
      </c>
      <c r="AJ97" t="s">
        <v>21</v>
      </c>
      <c r="AN97" t="s">
        <v>9</v>
      </c>
      <c r="AO97" t="s">
        <v>18</v>
      </c>
      <c r="AP97" t="s">
        <v>33</v>
      </c>
      <c r="AQ97" t="s">
        <v>34</v>
      </c>
      <c r="AR97" t="s">
        <v>35</v>
      </c>
      <c r="AS97" t="s">
        <v>36</v>
      </c>
      <c r="AT97" t="s">
        <v>10</v>
      </c>
      <c r="AU97" t="s">
        <v>19</v>
      </c>
      <c r="AV97" t="s">
        <v>20</v>
      </c>
      <c r="AW97" t="s">
        <v>21</v>
      </c>
      <c r="BA97" t="s">
        <v>9</v>
      </c>
      <c r="BB97" t="s">
        <v>18</v>
      </c>
      <c r="BC97" t="s">
        <v>33</v>
      </c>
      <c r="BD97" t="s">
        <v>34</v>
      </c>
      <c r="BE97" t="s">
        <v>35</v>
      </c>
      <c r="BF97" t="s">
        <v>36</v>
      </c>
      <c r="BG97" t="s">
        <v>10</v>
      </c>
      <c r="BH97" t="s">
        <v>19</v>
      </c>
      <c r="BI97" t="s">
        <v>20</v>
      </c>
      <c r="BJ97" t="s">
        <v>21</v>
      </c>
      <c r="BN97" t="s">
        <v>9</v>
      </c>
      <c r="BO97" t="s">
        <v>18</v>
      </c>
      <c r="BP97" t="s">
        <v>33</v>
      </c>
      <c r="BQ97" t="s">
        <v>34</v>
      </c>
      <c r="BR97" t="s">
        <v>35</v>
      </c>
      <c r="BS97" t="s">
        <v>36</v>
      </c>
      <c r="BT97" t="s">
        <v>10</v>
      </c>
      <c r="BU97" t="s">
        <v>19</v>
      </c>
      <c r="BV97" t="s">
        <v>20</v>
      </c>
      <c r="BW97" t="s">
        <v>21</v>
      </c>
      <c r="CA97" t="s">
        <v>9</v>
      </c>
      <c r="CB97" t="s">
        <v>18</v>
      </c>
      <c r="CC97" t="s">
        <v>33</v>
      </c>
      <c r="CD97" t="s">
        <v>34</v>
      </c>
      <c r="CE97" t="s">
        <v>35</v>
      </c>
      <c r="CF97" t="s">
        <v>36</v>
      </c>
      <c r="CG97" t="s">
        <v>10</v>
      </c>
      <c r="CH97" t="s">
        <v>19</v>
      </c>
      <c r="CI97" t="s">
        <v>20</v>
      </c>
      <c r="CJ97" t="s">
        <v>21</v>
      </c>
      <c r="CN97" t="s">
        <v>9</v>
      </c>
      <c r="CO97" t="s">
        <v>18</v>
      </c>
      <c r="CP97" t="s">
        <v>33</v>
      </c>
      <c r="CQ97" t="s">
        <v>34</v>
      </c>
      <c r="CR97" t="s">
        <v>35</v>
      </c>
      <c r="CS97" t="s">
        <v>36</v>
      </c>
      <c r="CT97" t="s">
        <v>10</v>
      </c>
      <c r="CU97" t="s">
        <v>19</v>
      </c>
      <c r="CV97" t="s">
        <v>20</v>
      </c>
      <c r="CW97" t="s">
        <v>21</v>
      </c>
      <c r="DA97" t="s">
        <v>9</v>
      </c>
      <c r="DB97" t="s">
        <v>18</v>
      </c>
      <c r="DC97" t="s">
        <v>33</v>
      </c>
      <c r="DD97" t="s">
        <v>34</v>
      </c>
      <c r="DE97" t="s">
        <v>35</v>
      </c>
      <c r="DF97" t="s">
        <v>36</v>
      </c>
      <c r="DG97" t="s">
        <v>10</v>
      </c>
      <c r="DH97" t="s">
        <v>19</v>
      </c>
      <c r="DI97" t="s">
        <v>20</v>
      </c>
      <c r="DJ97" t="s">
        <v>21</v>
      </c>
    </row>
    <row r="98" spans="1:115" x14ac:dyDescent="0.25">
      <c r="A98" s="7">
        <v>0</v>
      </c>
      <c r="B98" s="7">
        <f t="array" ref="B98:B138">INDEX(A85:A93, MATCH(A98:A138, A85:A93, 1))</f>
        <v>0</v>
      </c>
      <c r="C98" s="11">
        <f t="array" ref="C98:C138">VLOOKUP(B98:B138, A85:K92, COLUMN(H85)-COLUMN(A85) + 1, FALSE)</f>
        <v>2.1795385865796855E-2</v>
      </c>
      <c r="D98" s="11">
        <f t="array" ref="D98:D138">VLOOKUP(B98:B138, A85:K92, COLUMN(I85)-COLUMN(A85) + 1, FALSE)</f>
        <v>-2.4519809099021461E-2</v>
      </c>
      <c r="E98" s="11">
        <f t="array" ref="E98:E138">VLOOKUP(B98:B138, A85:K92, COLUMN(J85)-COLUMN(A85) + 1, FALSE)</f>
        <v>0</v>
      </c>
      <c r="F98" s="1">
        <f t="array" ref="F98:F138">VLOOKUP(B98:B138, A85:K92, COLUMN(K85)-COLUMN(A85) + 1, FALSE)</f>
        <v>2.53E-2</v>
      </c>
      <c r="G98" s="3">
        <f t="shared" ref="G98:G137" si="220">C98*A98^3 + D98*A98^2 + E98*A98 + F98</f>
        <v>2.53E-2</v>
      </c>
      <c r="H98" s="11">
        <v>1</v>
      </c>
      <c r="N98" s="7">
        <v>0</v>
      </c>
      <c r="O98" s="7">
        <f t="array" ref="O98:O138">INDEX(N85:N93, MATCH(N98:N138, N85:N93, 1))</f>
        <v>0</v>
      </c>
      <c r="P98" s="11">
        <f t="array" ref="P98:P138">VLOOKUP(O98:O138, N85:X92, COLUMN(U85)-COLUMN(N85) + 1, FALSE)</f>
        <v>2.1842793273204261E-2</v>
      </c>
      <c r="Q98" s="11">
        <f t="array" ref="Q98:Q138">VLOOKUP(O98:O138, N85:X92, COLUMN(V85)-COLUMN(N85) + 1, FALSE)</f>
        <v>-2.4573142432354794E-2</v>
      </c>
      <c r="R98" s="11">
        <f t="array" ref="R98:R138">VLOOKUP(O98:O138, N85:X92, COLUMN(W85)-COLUMN(N85) + 1, FALSE)</f>
        <v>0</v>
      </c>
      <c r="S98" s="1">
        <f t="array" ref="S98:S138">VLOOKUP(O98:O138, N85:X92, COLUMN(X85)-COLUMN(N85) + 1, FALSE)</f>
        <v>2.5309999999999999E-2</v>
      </c>
      <c r="T98" s="3">
        <f t="shared" ref="T98:T137" si="221">P98*N98^3 + Q98*N98^2 + R98*N98 + S98</f>
        <v>2.5309999999999999E-2</v>
      </c>
      <c r="U98" s="11">
        <v>1</v>
      </c>
      <c r="AA98" s="7">
        <v>0</v>
      </c>
      <c r="AB98" s="7">
        <f t="array" ref="AB98:AB138">INDEX(AA85:AA93, MATCH(AA98:AA138, AA85:AA93, 1))</f>
        <v>0</v>
      </c>
      <c r="AC98" s="11">
        <f t="array" ref="AC98:AC138">VLOOKUP(AB98:AB138, AA85:AK92, COLUMN(AH85)-COLUMN(AA85) + 1, FALSE)</f>
        <v>2.1747978458389449E-2</v>
      </c>
      <c r="AD98" s="11">
        <f t="array" ref="AD98:AD138">VLOOKUP(AB98:AB138, AA85:AK92, COLUMN(AI85)-COLUMN(AA85) + 1, FALSE)</f>
        <v>-2.4466475765688129E-2</v>
      </c>
      <c r="AE98" s="11">
        <f t="array" ref="AE98:AE138">VLOOKUP(AB98:AB138, AA85:AK92, COLUMN(AJ85)-COLUMN(AA85) + 1, FALSE)</f>
        <v>0</v>
      </c>
      <c r="AF98" s="1">
        <f t="array" ref="AF98:AF138">VLOOKUP(AB98:AB138, AA85:AK92, COLUMN(AK85)-COLUMN(AA85) + 1, FALSE)</f>
        <v>2.53E-2</v>
      </c>
      <c r="AG98" s="3">
        <f t="shared" ref="AG98:AG137" si="222">AC98*AA98^3 + AD98*AA98^2 + AE98*AA98 + AF98</f>
        <v>2.53E-2</v>
      </c>
      <c r="AH98" s="11">
        <v>1</v>
      </c>
      <c r="AN98" s="7">
        <v>0</v>
      </c>
      <c r="AO98" s="7">
        <f t="array" ref="AO98:AO138">INDEX(AN85:AN93, MATCH(AN98:AN138, AN85:AN93, 1))</f>
        <v>0</v>
      </c>
      <c r="AP98" s="11">
        <f t="array" ref="AP98:AP138">VLOOKUP(AO98:AO138, AN85:AX92, COLUMN(AU85)-COLUMN(AN85) + 1, FALSE)</f>
        <v>2.1795385865796855E-2</v>
      </c>
      <c r="AQ98" s="11">
        <f t="array" ref="AQ98:AQ138">VLOOKUP(AO98:AO138, AN85:AX92, COLUMN(AV85)-COLUMN(AN85) + 1, FALSE)</f>
        <v>-2.4519809099021461E-2</v>
      </c>
      <c r="AR98" s="11">
        <f t="array" ref="AR98:AR138">VLOOKUP(AO98:AO138, AN85:AX92, COLUMN(AW85)-COLUMN(AN85) + 1, FALSE)</f>
        <v>0</v>
      </c>
      <c r="AS98" s="1">
        <f t="array" ref="AS98:AS138">VLOOKUP(AO98:AO138, AN85:AX92, COLUMN(AX85)-COLUMN(AN85) + 1, FALSE)</f>
        <v>2.53E-2</v>
      </c>
      <c r="AT98" s="3">
        <f t="shared" ref="AT98:AT137" si="223">AP98*AN98^3 + AQ98*AN98^2 + AR98*AN98 + AS98</f>
        <v>2.53E-2</v>
      </c>
      <c r="AU98" s="11">
        <v>1</v>
      </c>
      <c r="BA98" s="7">
        <v>0</v>
      </c>
      <c r="BB98" s="7">
        <f t="array" ref="BB98:BB138">INDEX(BA85:BA93, MATCH(BA98:BA138, BA85:BA93, 1))</f>
        <v>0</v>
      </c>
      <c r="BC98" s="11">
        <f t="array" ref="BC98:BC138">VLOOKUP(BB98:BB138, BA85:BK92, COLUMN(BH85)-COLUMN(BA85) + 1, FALSE)</f>
        <v>2.1795385865796855E-2</v>
      </c>
      <c r="BD98" s="11">
        <f t="array" ref="BD98:BD138">VLOOKUP(BB98:BB138, BA85:BK92, COLUMN(BI85)-COLUMN(BA85) + 1, FALSE)</f>
        <v>-2.4519809099021461E-2</v>
      </c>
      <c r="BE98" s="11">
        <f t="array" ref="BE98:BE138">VLOOKUP(BB98:BB138, BA85:BK92, COLUMN(BJ85)-COLUMN(BA85) + 1, FALSE)</f>
        <v>0</v>
      </c>
      <c r="BF98" s="1">
        <f t="array" ref="BF98:BF138">VLOOKUP(BB98:BB138, BA85:BK92, COLUMN(BK85)-COLUMN(BA85) + 1, FALSE)</f>
        <v>2.53E-2</v>
      </c>
      <c r="BG98" s="3">
        <f t="shared" ref="BG98:BG137" si="224">BC98*BA98^3 + BD98*BA98^2 + BE98*BA98 + BF98</f>
        <v>2.53E-2</v>
      </c>
      <c r="BH98" s="11">
        <v>1</v>
      </c>
      <c r="BN98" s="7">
        <v>0</v>
      </c>
      <c r="BO98" s="7">
        <f t="array" ref="BO98:BO138">INDEX(BN85:BN93, MATCH(BN98:BN138, BN85:BN93, 1))</f>
        <v>0</v>
      </c>
      <c r="BP98" s="11">
        <f t="array" ref="BP98:BP138">VLOOKUP(BO98:BO138, BN85:BX92, COLUMN(BU85)-COLUMN(BN85) + 1, FALSE)</f>
        <v>2.1795385865796855E-2</v>
      </c>
      <c r="BQ98" s="11">
        <f t="array" ref="BQ98:BQ138">VLOOKUP(BO98:BO138, BN85:BX92, COLUMN(BV85)-COLUMN(BN85) + 1, FALSE)</f>
        <v>-2.4519809099021461E-2</v>
      </c>
      <c r="BR98" s="11">
        <f t="array" ref="BR98:BR138">VLOOKUP(BO98:BO138, BN85:BX92, COLUMN(BW85)-COLUMN(BN85) + 1, FALSE)</f>
        <v>0</v>
      </c>
      <c r="BS98" s="1">
        <f t="array" ref="BS98:BS138">VLOOKUP(BO98:BO138, BN85:BX92, COLUMN(BX85)-COLUMN(BN85) + 1, FALSE)</f>
        <v>2.53E-2</v>
      </c>
      <c r="BT98" s="3">
        <f t="shared" ref="BT98:BT137" si="225">BP98*BN98^3 + BQ98*BN98^2 + BR98*BN98 + BS98</f>
        <v>2.53E-2</v>
      </c>
      <c r="BU98" s="11">
        <v>1</v>
      </c>
      <c r="CA98" s="7">
        <v>0</v>
      </c>
      <c r="CB98" s="7">
        <f t="array" ref="CB98:CB138">INDEX(CA85:CA93, MATCH(CA98:CA138, CA85:CA93, 1))</f>
        <v>0</v>
      </c>
      <c r="CC98" s="11">
        <f t="array" ref="CC98:CC138">VLOOKUP(CB98:CB138, CA85:CK92, COLUMN(CH85)-COLUMN(CA85) + 1, FALSE)</f>
        <v>2.1795385865796855E-2</v>
      </c>
      <c r="CD98" s="11">
        <f t="array" ref="CD98:CD138">VLOOKUP(CB98:CB138, CA85:CK92, COLUMN(CI85)-COLUMN(CA85) + 1, FALSE)</f>
        <v>-2.4519809099021461E-2</v>
      </c>
      <c r="CE98" s="11">
        <f t="array" ref="CE98:CE138">VLOOKUP(CB98:CB138, CA85:CK92, COLUMN(CJ85)-COLUMN(CA85) + 1, FALSE)</f>
        <v>0</v>
      </c>
      <c r="CF98" s="1">
        <f t="array" ref="CF98:CF138">VLOOKUP(CB98:CB138, CA85:CK92, COLUMN(CK85)-COLUMN(CA85) + 1, FALSE)</f>
        <v>2.53E-2</v>
      </c>
      <c r="CG98" s="3">
        <f t="shared" ref="CG98:CG137" si="226">CC98*CA98^3 + CD98*CA98^2 + CE98*CA98 + CF98</f>
        <v>2.53E-2</v>
      </c>
      <c r="CH98" s="11">
        <v>1</v>
      </c>
      <c r="CN98" s="7">
        <v>0</v>
      </c>
      <c r="CO98" s="7">
        <f t="array" ref="CO98:CO138">INDEX(CN85:CN93, MATCH(CN98:CN138, CN85:CN93, 1))</f>
        <v>0</v>
      </c>
      <c r="CP98" s="11">
        <f t="array" ref="CP98:CP138">VLOOKUP(CO98:CO138, CN85:CX92, COLUMN(CU85)-COLUMN(CN85) + 1, FALSE)</f>
        <v>2.1795385865796855E-2</v>
      </c>
      <c r="CQ98" s="11">
        <f t="array" ref="CQ98:CQ138">VLOOKUP(CO98:CO138, CN85:CX92, COLUMN(CV85)-COLUMN(CN85) + 1, FALSE)</f>
        <v>-2.4519809099021461E-2</v>
      </c>
      <c r="CR98" s="11">
        <f t="array" ref="CR98:CR138">VLOOKUP(CO98:CO138, CN85:CX92, COLUMN(CW85)-COLUMN(CN85) + 1, FALSE)</f>
        <v>0</v>
      </c>
      <c r="CS98" s="1">
        <f t="array" ref="CS98:CS138">VLOOKUP(CO98:CO138, CN85:CX92, COLUMN(CX85)-COLUMN(CN85) + 1, FALSE)</f>
        <v>2.53E-2</v>
      </c>
      <c r="CT98" s="3">
        <f t="shared" ref="CT98:CT137" si="227">CP98*CN98^3 + CQ98*CN98^2 + CR98*CN98 + CS98</f>
        <v>2.53E-2</v>
      </c>
      <c r="CU98" s="11">
        <v>1</v>
      </c>
      <c r="DA98" s="7">
        <v>0</v>
      </c>
      <c r="DB98" s="7">
        <f t="array" ref="DB98:DB138">INDEX(DA85:DA93, MATCH(DA98:DA138, DA85:DA93, 1))</f>
        <v>0</v>
      </c>
      <c r="DC98" s="11">
        <f t="array" ref="DC98:DC138">VLOOKUP(DB98:DB138, DA85:DK92, COLUMN(DH85)-COLUMN(DA85) + 1, FALSE)</f>
        <v>2.1795385865796855E-2</v>
      </c>
      <c r="DD98" s="11">
        <f t="array" ref="DD98:DD138">VLOOKUP(DB98:DB138, DA85:DK92, COLUMN(DI85)-COLUMN(DA85) + 1, FALSE)</f>
        <v>-2.4519809099021461E-2</v>
      </c>
      <c r="DE98" s="11">
        <f t="array" ref="DE98:DE138">VLOOKUP(DB98:DB138, DA85:DK92, COLUMN(DJ85)-COLUMN(DA85) + 1, FALSE)</f>
        <v>0</v>
      </c>
      <c r="DF98" s="1">
        <f t="array" ref="DF98:DF138">VLOOKUP(DB98:DB138, DA85:DK92, COLUMN(DK85)-COLUMN(DA85) + 1, FALSE)</f>
        <v>2.53E-2</v>
      </c>
      <c r="DG98" s="3">
        <f t="shared" ref="DG98:DG137" si="228">DC98*DA98^3 + DD98*DA98^2 + DE98*DA98 + DF98</f>
        <v>2.53E-2</v>
      </c>
      <c r="DH98" s="11">
        <v>1</v>
      </c>
    </row>
    <row r="99" spans="1:115" x14ac:dyDescent="0.25">
      <c r="A99" s="7">
        <v>0.25</v>
      </c>
      <c r="B99" s="7">
        <v>0</v>
      </c>
      <c r="C99" s="11">
        <v>2.1795385865796855E-2</v>
      </c>
      <c r="D99" s="11">
        <v>-2.4519809099021461E-2</v>
      </c>
      <c r="E99" s="11">
        <v>0</v>
      </c>
      <c r="F99" s="1">
        <v>2.53E-2</v>
      </c>
      <c r="G99" s="3">
        <f t="shared" si="220"/>
        <v>2.4108064835464234E-2</v>
      </c>
      <c r="H99" s="11">
        <f t="shared" ref="H99:H138" si="229">H98 / (1 + G98*(A99-A98))</f>
        <v>0.99371475417981281</v>
      </c>
      <c r="I99" s="3">
        <f t="array" ref="I99:I138">G98:G137 * H99:H138 * (A99:A138-A98:A137)</f>
        <v>6.2852458201873157E-3</v>
      </c>
      <c r="J99" s="11">
        <f t="array" ref="J99:J138">(ROUND(A99:A138*$F$6, 0)=A99:A138*$F$6) * H99:H138</f>
        <v>0</v>
      </c>
      <c r="N99" s="7">
        <v>0.25</v>
      </c>
      <c r="O99" s="7">
        <v>0</v>
      </c>
      <c r="P99" s="11">
        <v>2.1842793273204261E-2</v>
      </c>
      <c r="Q99" s="11">
        <v>-2.4573142432354794E-2</v>
      </c>
      <c r="R99" s="11">
        <v>0</v>
      </c>
      <c r="S99" s="1">
        <v>2.5309999999999999E-2</v>
      </c>
      <c r="T99" s="3">
        <f t="shared" si="221"/>
        <v>2.4115472242871642E-2</v>
      </c>
      <c r="U99" s="11">
        <f t="shared" ref="U99:U138" si="230">U98 / (1 + T98*(N99-N98))</f>
        <v>0.99371228551341384</v>
      </c>
      <c r="V99" s="3">
        <f t="array" ref="V99:V138">T98:T137 * U99:U138 * (N99:N138-N98:N137)</f>
        <v>6.2877144865861262E-3</v>
      </c>
      <c r="W99" s="11">
        <f t="array" ref="W99:W138">(ROUND(N99:N138*$F$6, 0)=N99:N138*$F$6) * U99:U138</f>
        <v>0</v>
      </c>
      <c r="AA99" s="7">
        <v>0.25</v>
      </c>
      <c r="AB99" s="7">
        <v>0</v>
      </c>
      <c r="AC99" s="11">
        <v>2.1747978458389449E-2</v>
      </c>
      <c r="AD99" s="11">
        <v>-2.4466475765688129E-2</v>
      </c>
      <c r="AE99" s="11">
        <v>0</v>
      </c>
      <c r="AF99" s="1">
        <v>2.53E-2</v>
      </c>
      <c r="AG99" s="3">
        <f t="shared" si="222"/>
        <v>2.4110657428056827E-2</v>
      </c>
      <c r="AH99" s="11">
        <f t="shared" ref="AH99:AH138" si="231">AH98 / (1 + AG98*(AA99-AA98))</f>
        <v>0.99371475417981281</v>
      </c>
      <c r="AI99" s="3">
        <f t="array" ref="AI99:AI138">AG98:AG137 * AH99:AH138 * (AA99:AA138-AA98:AA137)</f>
        <v>6.2852458201873157E-3</v>
      </c>
      <c r="AJ99" s="11">
        <f t="array" ref="AJ99:AJ138">(ROUND(AA99:AA138*$F$6, 0)=AA99:AA138*$F$6) * AH99:AH138</f>
        <v>0</v>
      </c>
      <c r="AK99" s="11"/>
      <c r="AN99" s="7">
        <v>0.25</v>
      </c>
      <c r="AO99" s="7">
        <v>0</v>
      </c>
      <c r="AP99" s="11">
        <v>2.1795385865796855E-2</v>
      </c>
      <c r="AQ99" s="11">
        <v>-2.4519809099021461E-2</v>
      </c>
      <c r="AR99" s="11">
        <v>0</v>
      </c>
      <c r="AS99" s="1">
        <v>2.53E-2</v>
      </c>
      <c r="AT99" s="3">
        <f t="shared" si="223"/>
        <v>2.4108064835464234E-2</v>
      </c>
      <c r="AU99" s="11">
        <f t="shared" ref="AU99:AU138" si="232">AU98 / (1 + AT98*(AN99-AN98))</f>
        <v>0.99371475417981281</v>
      </c>
      <c r="AV99" s="3">
        <f t="array" ref="AV99:AV138">AT98:AT137 * AU99:AU138 * (AN99:AN138-AN98:AN137)</f>
        <v>6.2852458201873157E-3</v>
      </c>
      <c r="AW99" s="11">
        <f t="array" ref="AW99:AW138">(ROUND(AN99:AN138*$F$6, 0)=AN99:AN138*$F$6) * AU99:AU138</f>
        <v>0</v>
      </c>
      <c r="AX99" s="11"/>
      <c r="BA99" s="7">
        <v>0.25</v>
      </c>
      <c r="BB99" s="7">
        <v>0</v>
      </c>
      <c r="BC99" s="11">
        <v>2.1795385865796855E-2</v>
      </c>
      <c r="BD99" s="11">
        <v>-2.4519809099021461E-2</v>
      </c>
      <c r="BE99" s="11">
        <v>0</v>
      </c>
      <c r="BF99" s="1">
        <v>2.53E-2</v>
      </c>
      <c r="BG99" s="3">
        <f t="shared" si="224"/>
        <v>2.4108064835464234E-2</v>
      </c>
      <c r="BH99" s="11">
        <f t="shared" ref="BH99:BH138" si="233">BH98 / (1 + BG98*(BA99-BA98))</f>
        <v>0.99371475417981281</v>
      </c>
      <c r="BI99" s="3">
        <f t="array" ref="BI99:BI138">BG98:BG137 * BH99:BH138 * (BA99:BA138-BA98:BA137)</f>
        <v>6.2852458201873157E-3</v>
      </c>
      <c r="BJ99" s="11">
        <f t="array" ref="BJ99:BJ138">(ROUND(BA99:BA138*$F$6, 0)=BA99:BA138*$F$6) * BH99:BH138</f>
        <v>0</v>
      </c>
      <c r="BK99" s="11"/>
      <c r="BN99" s="7">
        <v>0.25</v>
      </c>
      <c r="BO99" s="7">
        <v>0</v>
      </c>
      <c r="BP99" s="11">
        <v>2.1795385865796855E-2</v>
      </c>
      <c r="BQ99" s="11">
        <v>-2.4519809099021461E-2</v>
      </c>
      <c r="BR99" s="11">
        <v>0</v>
      </c>
      <c r="BS99" s="1">
        <v>2.53E-2</v>
      </c>
      <c r="BT99" s="3">
        <f t="shared" si="225"/>
        <v>2.4108064835464234E-2</v>
      </c>
      <c r="BU99" s="11">
        <f t="shared" ref="BU99:BU138" si="234">BU98 / (1 + BT98*(BN99-BN98))</f>
        <v>0.99371475417981281</v>
      </c>
      <c r="BV99" s="3">
        <f t="array" ref="BV99:BV138">BT98:BT137 * BU99:BU138 * (BN99:BN138-BN98:BN137)</f>
        <v>6.2852458201873157E-3</v>
      </c>
      <c r="BW99" s="11">
        <f t="array" ref="BW99:BW138">(ROUND(BN99:BN138*$F$6, 0)=BN99:BN138*$F$6) * BU99:BU138</f>
        <v>0</v>
      </c>
      <c r="BX99" s="11"/>
      <c r="CA99" s="7">
        <v>0.25</v>
      </c>
      <c r="CB99" s="7">
        <v>0</v>
      </c>
      <c r="CC99" s="11">
        <v>2.1795385865796855E-2</v>
      </c>
      <c r="CD99" s="11">
        <v>-2.4519809099021461E-2</v>
      </c>
      <c r="CE99" s="11">
        <v>0</v>
      </c>
      <c r="CF99" s="1">
        <v>2.53E-2</v>
      </c>
      <c r="CG99" s="3">
        <f t="shared" si="226"/>
        <v>2.4108064835464234E-2</v>
      </c>
      <c r="CH99" s="11">
        <f t="shared" ref="CH99:CH138" si="235">CH98 / (1 + CG98*(CA99-CA98))</f>
        <v>0.99371475417981281</v>
      </c>
      <c r="CI99" s="3">
        <f t="array" ref="CI99:CI138">CG98:CG137 * CH99:CH138 * (CA99:CA138-CA98:CA137)</f>
        <v>6.2852458201873157E-3</v>
      </c>
      <c r="CJ99" s="11">
        <f t="array" ref="CJ99:CJ138">(ROUND(CA99:CA138*$F$6, 0)=CA99:CA138*$F$6) * CH99:CH138</f>
        <v>0</v>
      </c>
      <c r="CK99" s="11"/>
      <c r="CN99" s="7">
        <v>0.25</v>
      </c>
      <c r="CO99" s="7">
        <v>0</v>
      </c>
      <c r="CP99" s="11">
        <v>2.1795385865796855E-2</v>
      </c>
      <c r="CQ99" s="11">
        <v>-2.4519809099021461E-2</v>
      </c>
      <c r="CR99" s="11">
        <v>0</v>
      </c>
      <c r="CS99" s="1">
        <v>2.53E-2</v>
      </c>
      <c r="CT99" s="3">
        <f t="shared" si="227"/>
        <v>2.4108064835464234E-2</v>
      </c>
      <c r="CU99" s="11">
        <f t="shared" ref="CU99:CU138" si="236">CU98 / (1 + CT98*(CN99-CN98))</f>
        <v>0.99371475417981281</v>
      </c>
      <c r="CV99" s="3">
        <f t="array" ref="CV99:CV138">CT98:CT137 * CU99:CU138 * (CN99:CN138-CN98:CN137)</f>
        <v>6.2852458201873157E-3</v>
      </c>
      <c r="CW99" s="11">
        <f t="array" ref="CW99:CW138">(ROUND(CN99:CN138*$F$6, 0)=CN99:CN138*$F$6) * CU99:CU138</f>
        <v>0</v>
      </c>
      <c r="CX99" s="11"/>
      <c r="DA99" s="7">
        <v>0.25</v>
      </c>
      <c r="DB99" s="7">
        <v>0</v>
      </c>
      <c r="DC99" s="11">
        <v>2.1795385865796855E-2</v>
      </c>
      <c r="DD99" s="11">
        <v>-2.4519809099021461E-2</v>
      </c>
      <c r="DE99" s="11">
        <v>0</v>
      </c>
      <c r="DF99" s="1">
        <v>2.53E-2</v>
      </c>
      <c r="DG99" s="3">
        <f t="shared" si="228"/>
        <v>2.4108064835464234E-2</v>
      </c>
      <c r="DH99" s="11">
        <f t="shared" ref="DH99:DH138" si="237">DH98 / (1 + DG98*(DA99-DA98))</f>
        <v>0.99371475417981281</v>
      </c>
      <c r="DI99" s="3">
        <f t="array" ref="DI99:DI138">DG98:DG137 * DH99:DH138 * (DA99:DA138-DA98:DA137)</f>
        <v>6.2852458201873157E-3</v>
      </c>
      <c r="DJ99" s="11">
        <f t="array" ref="DJ99:DJ138">(ROUND(DA99:DA138*$F$6, 0)=DA99:DA138*$F$6) * DH99:DH138</f>
        <v>0</v>
      </c>
      <c r="DK99" s="11"/>
    </row>
    <row r="100" spans="1:115" x14ac:dyDescent="0.25">
      <c r="A100" s="7">
        <v>0.5</v>
      </c>
      <c r="B100" s="7">
        <v>0</v>
      </c>
      <c r="C100" s="11">
        <v>2.1795385865796855E-2</v>
      </c>
      <c r="D100" s="11">
        <v>-2.4519809099021461E-2</v>
      </c>
      <c r="E100" s="11">
        <v>0</v>
      </c>
      <c r="F100" s="1">
        <v>2.53E-2</v>
      </c>
      <c r="G100" s="3">
        <f t="shared" si="220"/>
        <v>2.1894470958469241E-2</v>
      </c>
      <c r="H100" s="11">
        <f t="shared" si="229"/>
        <v>0.98776149961116255</v>
      </c>
      <c r="I100" s="3">
        <v>5.953254568650322E-3</v>
      </c>
      <c r="J100" s="11">
        <v>0</v>
      </c>
      <c r="N100" s="7">
        <v>0.5</v>
      </c>
      <c r="O100" s="7">
        <v>0</v>
      </c>
      <c r="P100" s="11">
        <v>2.1842793273204261E-2</v>
      </c>
      <c r="Q100" s="11">
        <v>-2.4573142432354794E-2</v>
      </c>
      <c r="R100" s="11">
        <v>0</v>
      </c>
      <c r="S100" s="1">
        <v>2.5309999999999999E-2</v>
      </c>
      <c r="T100" s="3">
        <f t="shared" si="221"/>
        <v>2.1897063551061833E-2</v>
      </c>
      <c r="U100" s="11">
        <f t="shared" si="230"/>
        <v>0.9877572275127191</v>
      </c>
      <c r="V100" s="3">
        <v>5.9550580006947065E-3</v>
      </c>
      <c r="W100" s="11">
        <v>0</v>
      </c>
      <c r="AA100" s="7">
        <v>0.5</v>
      </c>
      <c r="AB100" s="7">
        <v>0</v>
      </c>
      <c r="AC100" s="11">
        <v>2.1747978458389449E-2</v>
      </c>
      <c r="AD100" s="11">
        <v>-2.4466475765688129E-2</v>
      </c>
      <c r="AE100" s="11">
        <v>0</v>
      </c>
      <c r="AF100" s="1">
        <v>2.53E-2</v>
      </c>
      <c r="AG100" s="3">
        <f t="shared" si="222"/>
        <v>2.1901878365876648E-2</v>
      </c>
      <c r="AH100" s="11">
        <f t="shared" si="231"/>
        <v>0.98776086323126011</v>
      </c>
      <c r="AI100" s="3">
        <v>5.9538909485526512E-3</v>
      </c>
      <c r="AJ100" s="11">
        <v>0</v>
      </c>
      <c r="AK100" s="11"/>
      <c r="AN100" s="7">
        <v>0.5</v>
      </c>
      <c r="AO100" s="7">
        <v>0</v>
      </c>
      <c r="AP100" s="11">
        <v>2.1795385865796855E-2</v>
      </c>
      <c r="AQ100" s="11">
        <v>-2.4519809099021461E-2</v>
      </c>
      <c r="AR100" s="11">
        <v>0</v>
      </c>
      <c r="AS100" s="1">
        <v>2.53E-2</v>
      </c>
      <c r="AT100" s="3">
        <f t="shared" si="223"/>
        <v>2.1894470958469241E-2</v>
      </c>
      <c r="AU100" s="11">
        <f t="shared" si="232"/>
        <v>0.98776149961116255</v>
      </c>
      <c r="AV100" s="3">
        <v>5.953254568650322E-3</v>
      </c>
      <c r="AW100" s="11">
        <v>0</v>
      </c>
      <c r="AX100" s="11"/>
      <c r="BA100" s="7">
        <v>0.5</v>
      </c>
      <c r="BB100" s="7">
        <v>0</v>
      </c>
      <c r="BC100" s="11">
        <v>2.1795385865796855E-2</v>
      </c>
      <c r="BD100" s="11">
        <v>-2.4519809099021461E-2</v>
      </c>
      <c r="BE100" s="11">
        <v>0</v>
      </c>
      <c r="BF100" s="1">
        <v>2.53E-2</v>
      </c>
      <c r="BG100" s="3">
        <f t="shared" si="224"/>
        <v>2.1894470958469241E-2</v>
      </c>
      <c r="BH100" s="11">
        <f t="shared" si="233"/>
        <v>0.98776149961116255</v>
      </c>
      <c r="BI100" s="3">
        <v>5.953254568650322E-3</v>
      </c>
      <c r="BJ100" s="11">
        <v>0</v>
      </c>
      <c r="BK100" s="11"/>
      <c r="BN100" s="7">
        <v>0.5</v>
      </c>
      <c r="BO100" s="7">
        <v>0</v>
      </c>
      <c r="BP100" s="11">
        <v>2.1795385865796855E-2</v>
      </c>
      <c r="BQ100" s="11">
        <v>-2.4519809099021461E-2</v>
      </c>
      <c r="BR100" s="11">
        <v>0</v>
      </c>
      <c r="BS100" s="1">
        <v>2.53E-2</v>
      </c>
      <c r="BT100" s="3">
        <f t="shared" si="225"/>
        <v>2.1894470958469241E-2</v>
      </c>
      <c r="BU100" s="11">
        <f t="shared" si="234"/>
        <v>0.98776149961116255</v>
      </c>
      <c r="BV100" s="3">
        <v>5.953254568650322E-3</v>
      </c>
      <c r="BW100" s="11">
        <v>0</v>
      </c>
      <c r="BX100" s="11"/>
      <c r="CA100" s="7">
        <v>0.5</v>
      </c>
      <c r="CB100" s="7">
        <v>0</v>
      </c>
      <c r="CC100" s="11">
        <v>2.1795385865796855E-2</v>
      </c>
      <c r="CD100" s="11">
        <v>-2.4519809099021461E-2</v>
      </c>
      <c r="CE100" s="11">
        <v>0</v>
      </c>
      <c r="CF100" s="1">
        <v>2.53E-2</v>
      </c>
      <c r="CG100" s="3">
        <f t="shared" si="226"/>
        <v>2.1894470958469241E-2</v>
      </c>
      <c r="CH100" s="11">
        <f t="shared" si="235"/>
        <v>0.98776149961116255</v>
      </c>
      <c r="CI100" s="3">
        <v>5.953254568650322E-3</v>
      </c>
      <c r="CJ100" s="11">
        <v>0</v>
      </c>
      <c r="CK100" s="11"/>
      <c r="CN100" s="7">
        <v>0.5</v>
      </c>
      <c r="CO100" s="7">
        <v>0</v>
      </c>
      <c r="CP100" s="11">
        <v>2.1795385865796855E-2</v>
      </c>
      <c r="CQ100" s="11">
        <v>-2.4519809099021461E-2</v>
      </c>
      <c r="CR100" s="11">
        <v>0</v>
      </c>
      <c r="CS100" s="1">
        <v>2.53E-2</v>
      </c>
      <c r="CT100" s="3">
        <f t="shared" si="227"/>
        <v>2.1894470958469241E-2</v>
      </c>
      <c r="CU100" s="11">
        <f t="shared" si="236"/>
        <v>0.98776149961116255</v>
      </c>
      <c r="CV100" s="3">
        <v>5.953254568650322E-3</v>
      </c>
      <c r="CW100" s="11">
        <v>0</v>
      </c>
      <c r="CX100" s="11"/>
      <c r="DA100" s="7">
        <v>0.5</v>
      </c>
      <c r="DB100" s="7">
        <v>0</v>
      </c>
      <c r="DC100" s="11">
        <v>2.1795385865796855E-2</v>
      </c>
      <c r="DD100" s="11">
        <v>-2.4519809099021461E-2</v>
      </c>
      <c r="DE100" s="11">
        <v>0</v>
      </c>
      <c r="DF100" s="1">
        <v>2.53E-2</v>
      </c>
      <c r="DG100" s="3">
        <f t="shared" si="228"/>
        <v>2.1894470958469241E-2</v>
      </c>
      <c r="DH100" s="11">
        <f t="shared" si="237"/>
        <v>0.98776149961116255</v>
      </c>
      <c r="DI100" s="3">
        <v>5.953254568650322E-3</v>
      </c>
      <c r="DJ100" s="11">
        <v>0</v>
      </c>
      <c r="DK100" s="11"/>
    </row>
    <row r="101" spans="1:115" x14ac:dyDescent="0.25">
      <c r="A101" s="7">
        <v>0.75</v>
      </c>
      <c r="B101" s="7">
        <v>0.75</v>
      </c>
      <c r="C101" s="11">
        <v>-3.705992226734265E-3</v>
      </c>
      <c r="D101" s="11">
        <v>1.5057476177446284E-2</v>
      </c>
      <c r="E101" s="11">
        <v>-1.6332352383555356E-2</v>
      </c>
      <c r="F101" s="1">
        <v>2.6045435202439977E-2</v>
      </c>
      <c r="G101" s="3">
        <f t="shared" si="220"/>
        <v>2.0702535793933476E-2</v>
      </c>
      <c r="H101" s="11">
        <f t="shared" si="229"/>
        <v>0.98238430346061889</v>
      </c>
      <c r="I101" s="3">
        <v>5.3771961505436382E-3</v>
      </c>
      <c r="J101" s="11">
        <v>0</v>
      </c>
      <c r="N101" s="7">
        <v>0.75</v>
      </c>
      <c r="O101" s="7">
        <v>0.75</v>
      </c>
      <c r="P101" s="11">
        <v>-3.705992226734265E-3</v>
      </c>
      <c r="Q101" s="11">
        <v>1.5057476177446284E-2</v>
      </c>
      <c r="R101" s="11">
        <v>-1.6332352383555356E-2</v>
      </c>
      <c r="S101" s="1">
        <v>2.6045435202439977E-2</v>
      </c>
      <c r="T101" s="3">
        <f t="shared" si="221"/>
        <v>2.0702535793933476E-2</v>
      </c>
      <c r="U101" s="11">
        <f t="shared" si="230"/>
        <v>0.98237942135753864</v>
      </c>
      <c r="V101" s="3">
        <v>5.3778061551803431E-3</v>
      </c>
      <c r="W101" s="11">
        <v>0</v>
      </c>
      <c r="AA101" s="7">
        <v>0.75</v>
      </c>
      <c r="AB101" s="7">
        <v>0.75</v>
      </c>
      <c r="AC101" s="11">
        <v>-3.6909922267342656E-3</v>
      </c>
      <c r="AD101" s="11">
        <v>1.4998726177446287E-2</v>
      </c>
      <c r="AE101" s="11">
        <v>-1.626953988355536E-2</v>
      </c>
      <c r="AF101" s="1">
        <v>2.6035044577439978E-2</v>
      </c>
      <c r="AG101" s="3">
        <f t="shared" si="222"/>
        <v>2.0712535793933479E-2</v>
      </c>
      <c r="AH101" s="11">
        <f t="shared" si="231"/>
        <v>0.98238186122292315</v>
      </c>
      <c r="AI101" s="3">
        <v>5.3790020083369942E-3</v>
      </c>
      <c r="AJ101" s="11">
        <v>0</v>
      </c>
      <c r="AK101" s="11"/>
      <c r="AN101" s="7">
        <v>0.75</v>
      </c>
      <c r="AO101" s="7">
        <v>0.75</v>
      </c>
      <c r="AP101" s="11">
        <v>-3.7259922267342642E-3</v>
      </c>
      <c r="AQ101" s="11">
        <v>1.5132476177446282E-2</v>
      </c>
      <c r="AR101" s="11">
        <v>-1.6411102383555351E-2</v>
      </c>
      <c r="AS101" s="1">
        <v>2.6070747702439973E-2</v>
      </c>
      <c r="AT101" s="3">
        <f t="shared" si="223"/>
        <v>2.0702535793933476E-2</v>
      </c>
      <c r="AU101" s="11">
        <f t="shared" si="232"/>
        <v>0.98238430346061889</v>
      </c>
      <c r="AV101" s="3">
        <v>5.3771961505436382E-3</v>
      </c>
      <c r="AW101" s="11">
        <v>0</v>
      </c>
      <c r="AX101" s="11"/>
      <c r="BA101" s="7">
        <v>0.75</v>
      </c>
      <c r="BB101" s="7">
        <v>0.75</v>
      </c>
      <c r="BC101" s="11">
        <v>-3.7009922267342652E-3</v>
      </c>
      <c r="BD101" s="11">
        <v>1.5041226177446285E-2</v>
      </c>
      <c r="BE101" s="11">
        <v>-1.6316414883555355E-2</v>
      </c>
      <c r="BF101" s="1">
        <v>2.6040513327439976E-2</v>
      </c>
      <c r="BG101" s="3">
        <f t="shared" si="224"/>
        <v>2.0702535793933476E-2</v>
      </c>
      <c r="BH101" s="11">
        <f t="shared" si="233"/>
        <v>0.98238430346061889</v>
      </c>
      <c r="BI101" s="3">
        <v>5.3771961505436382E-3</v>
      </c>
      <c r="BJ101" s="11">
        <v>0</v>
      </c>
      <c r="BK101" s="11"/>
      <c r="BN101" s="7">
        <v>0.75</v>
      </c>
      <c r="BO101" s="7">
        <v>0.75</v>
      </c>
      <c r="BP101" s="11">
        <v>-3.705992226734265E-3</v>
      </c>
      <c r="BQ101" s="11">
        <v>1.5057476177446284E-2</v>
      </c>
      <c r="BR101" s="11">
        <v>-1.6332352383555356E-2</v>
      </c>
      <c r="BS101" s="1">
        <v>2.6045435202439977E-2</v>
      </c>
      <c r="BT101" s="3">
        <f t="shared" si="225"/>
        <v>2.0702535793933476E-2</v>
      </c>
      <c r="BU101" s="11">
        <f t="shared" si="234"/>
        <v>0.98238430346061889</v>
      </c>
      <c r="BV101" s="3">
        <v>5.3771961505436382E-3</v>
      </c>
      <c r="BW101" s="11">
        <v>0</v>
      </c>
      <c r="BX101" s="11"/>
      <c r="CA101" s="7">
        <v>0.75</v>
      </c>
      <c r="CB101" s="7">
        <v>0.75</v>
      </c>
      <c r="CC101" s="11">
        <v>-3.705992226734265E-3</v>
      </c>
      <c r="CD101" s="11">
        <v>1.5057476177446284E-2</v>
      </c>
      <c r="CE101" s="11">
        <v>-1.6332352383555356E-2</v>
      </c>
      <c r="CF101" s="1">
        <v>2.6045435202439977E-2</v>
      </c>
      <c r="CG101" s="3">
        <f t="shared" si="226"/>
        <v>2.0702535793933476E-2</v>
      </c>
      <c r="CH101" s="11">
        <f t="shared" si="235"/>
        <v>0.98238430346061889</v>
      </c>
      <c r="CI101" s="3">
        <v>5.3771961505436382E-3</v>
      </c>
      <c r="CJ101" s="11">
        <v>0</v>
      </c>
      <c r="CK101" s="11"/>
      <c r="CN101" s="7">
        <v>0.75</v>
      </c>
      <c r="CO101" s="7">
        <v>0.75</v>
      </c>
      <c r="CP101" s="11">
        <v>-3.705992226734265E-3</v>
      </c>
      <c r="CQ101" s="11">
        <v>1.5057476177446284E-2</v>
      </c>
      <c r="CR101" s="11">
        <v>-1.6332352383555356E-2</v>
      </c>
      <c r="CS101" s="1">
        <v>2.6045435202439977E-2</v>
      </c>
      <c r="CT101" s="3">
        <f t="shared" si="227"/>
        <v>2.0702535793933476E-2</v>
      </c>
      <c r="CU101" s="11">
        <f t="shared" si="236"/>
        <v>0.98238430346061889</v>
      </c>
      <c r="CV101" s="3">
        <v>5.3771961505436382E-3</v>
      </c>
      <c r="CW101" s="11">
        <v>0</v>
      </c>
      <c r="CX101" s="11"/>
      <c r="DA101" s="7">
        <v>0.75</v>
      </c>
      <c r="DB101" s="7">
        <v>0.75</v>
      </c>
      <c r="DC101" s="11">
        <v>-3.705992226734265E-3</v>
      </c>
      <c r="DD101" s="11">
        <v>1.5057476177446284E-2</v>
      </c>
      <c r="DE101" s="11">
        <v>-1.6332352383555356E-2</v>
      </c>
      <c r="DF101" s="1">
        <v>2.6045435202439977E-2</v>
      </c>
      <c r="DG101" s="3">
        <f t="shared" si="228"/>
        <v>2.0702535793933476E-2</v>
      </c>
      <c r="DH101" s="11">
        <f t="shared" si="237"/>
        <v>0.98238430346061889</v>
      </c>
      <c r="DI101" s="3">
        <v>5.3771961505436382E-3</v>
      </c>
      <c r="DJ101" s="11">
        <v>0</v>
      </c>
      <c r="DK101" s="11"/>
    </row>
    <row r="102" spans="1:115" x14ac:dyDescent="0.25">
      <c r="A102" s="7">
        <v>1</v>
      </c>
      <c r="B102" s="7">
        <v>0.75</v>
      </c>
      <c r="C102" s="11">
        <v>-3.705992226734265E-3</v>
      </c>
      <c r="D102" s="11">
        <v>1.5057476177446284E-2</v>
      </c>
      <c r="E102" s="11">
        <v>-1.6332352383555356E-2</v>
      </c>
      <c r="F102" s="1">
        <v>2.6045435202439977E-2</v>
      </c>
      <c r="G102" s="3">
        <f t="shared" si="220"/>
        <v>2.106456676959664E-2</v>
      </c>
      <c r="H102" s="11">
        <f t="shared" si="229"/>
        <v>0.97732602172384875</v>
      </c>
      <c r="I102" s="3">
        <v>5.0582817367701462E-3</v>
      </c>
      <c r="J102" s="11">
        <v>0.97732602172384875</v>
      </c>
      <c r="N102" s="7">
        <v>1</v>
      </c>
      <c r="O102" s="7">
        <v>0.75</v>
      </c>
      <c r="P102" s="11">
        <v>-3.705992226734265E-3</v>
      </c>
      <c r="Q102" s="11">
        <v>1.5057476177446284E-2</v>
      </c>
      <c r="R102" s="11">
        <v>-1.6332352383555356E-2</v>
      </c>
      <c r="S102" s="1">
        <v>2.6045435202439977E-2</v>
      </c>
      <c r="T102" s="3">
        <f t="shared" si="221"/>
        <v>2.106456676959664E-2</v>
      </c>
      <c r="U102" s="11">
        <f t="shared" si="230"/>
        <v>0.9773211647586425</v>
      </c>
      <c r="V102" s="3">
        <v>5.0582565988961381E-3</v>
      </c>
      <c r="W102" s="11">
        <v>0.9773211647586425</v>
      </c>
      <c r="AA102" s="7">
        <v>1</v>
      </c>
      <c r="AB102" s="7">
        <v>0.75</v>
      </c>
      <c r="AC102" s="11">
        <v>-3.6909922267342656E-3</v>
      </c>
      <c r="AD102" s="11">
        <v>1.4998726177446287E-2</v>
      </c>
      <c r="AE102" s="11">
        <v>-1.626953988355536E-2</v>
      </c>
      <c r="AF102" s="1">
        <v>2.6035044577439978E-2</v>
      </c>
      <c r="AG102" s="3">
        <f t="shared" si="222"/>
        <v>2.1073238644596641E-2</v>
      </c>
      <c r="AH102" s="11">
        <f t="shared" si="231"/>
        <v>0.97732116133882341</v>
      </c>
      <c r="AI102" s="3">
        <v>5.0606998840997544E-3</v>
      </c>
      <c r="AJ102" s="11">
        <v>0.97732116133882341</v>
      </c>
      <c r="AK102" s="11"/>
      <c r="AN102" s="7">
        <v>1</v>
      </c>
      <c r="AO102" s="7">
        <v>0.75</v>
      </c>
      <c r="AP102" s="11">
        <v>-3.7259922267342642E-3</v>
      </c>
      <c r="AQ102" s="11">
        <v>1.5132476177446282E-2</v>
      </c>
      <c r="AR102" s="11">
        <v>-1.6411102383555351E-2</v>
      </c>
      <c r="AS102" s="1">
        <v>2.6070747702439973E-2</v>
      </c>
      <c r="AT102" s="3">
        <f t="shared" si="223"/>
        <v>2.106612926959664E-2</v>
      </c>
      <c r="AU102" s="11">
        <f t="shared" si="232"/>
        <v>0.97732602172384875</v>
      </c>
      <c r="AV102" s="3">
        <v>5.0582817367701462E-3</v>
      </c>
      <c r="AW102" s="11">
        <v>0.97732602172384875</v>
      </c>
      <c r="AX102" s="11"/>
      <c r="BA102" s="7">
        <v>1</v>
      </c>
      <c r="BB102" s="7">
        <v>0.75</v>
      </c>
      <c r="BC102" s="11">
        <v>-3.7009922267342652E-3</v>
      </c>
      <c r="BD102" s="11">
        <v>1.5041226177446285E-2</v>
      </c>
      <c r="BE102" s="11">
        <v>-1.6316414883555355E-2</v>
      </c>
      <c r="BF102" s="1">
        <v>2.6040513327439976E-2</v>
      </c>
      <c r="BG102" s="3">
        <f t="shared" si="224"/>
        <v>2.1064332394596638E-2</v>
      </c>
      <c r="BH102" s="11">
        <f t="shared" si="233"/>
        <v>0.97732602172384875</v>
      </c>
      <c r="BI102" s="3">
        <v>5.0582817367701462E-3</v>
      </c>
      <c r="BJ102" s="11">
        <v>0.97732602172384875</v>
      </c>
      <c r="BK102" s="11"/>
      <c r="BN102" s="7">
        <v>1</v>
      </c>
      <c r="BO102" s="7">
        <v>0.75</v>
      </c>
      <c r="BP102" s="11">
        <v>-3.705992226734265E-3</v>
      </c>
      <c r="BQ102" s="11">
        <v>1.5057476177446284E-2</v>
      </c>
      <c r="BR102" s="11">
        <v>-1.6332352383555356E-2</v>
      </c>
      <c r="BS102" s="1">
        <v>2.6045435202439977E-2</v>
      </c>
      <c r="BT102" s="3">
        <f t="shared" si="225"/>
        <v>2.106456676959664E-2</v>
      </c>
      <c r="BU102" s="11">
        <f t="shared" si="234"/>
        <v>0.97732602172384875</v>
      </c>
      <c r="BV102" s="3">
        <v>5.0582817367701462E-3</v>
      </c>
      <c r="BW102" s="11">
        <v>0.97732602172384875</v>
      </c>
      <c r="BX102" s="11"/>
      <c r="CA102" s="7">
        <v>1</v>
      </c>
      <c r="CB102" s="7">
        <v>0.75</v>
      </c>
      <c r="CC102" s="11">
        <v>-3.705992226734265E-3</v>
      </c>
      <c r="CD102" s="11">
        <v>1.5057476177446284E-2</v>
      </c>
      <c r="CE102" s="11">
        <v>-1.6332352383555356E-2</v>
      </c>
      <c r="CF102" s="1">
        <v>2.6045435202439977E-2</v>
      </c>
      <c r="CG102" s="3">
        <f t="shared" si="226"/>
        <v>2.106456676959664E-2</v>
      </c>
      <c r="CH102" s="11">
        <f t="shared" si="235"/>
        <v>0.97732602172384875</v>
      </c>
      <c r="CI102" s="3">
        <v>5.0582817367701462E-3</v>
      </c>
      <c r="CJ102" s="11">
        <v>0.97732602172384875</v>
      </c>
      <c r="CK102" s="11"/>
      <c r="CN102" s="7">
        <v>1</v>
      </c>
      <c r="CO102" s="7">
        <v>0.75</v>
      </c>
      <c r="CP102" s="11">
        <v>-3.705992226734265E-3</v>
      </c>
      <c r="CQ102" s="11">
        <v>1.5057476177446284E-2</v>
      </c>
      <c r="CR102" s="11">
        <v>-1.6332352383555356E-2</v>
      </c>
      <c r="CS102" s="1">
        <v>2.6045435202439977E-2</v>
      </c>
      <c r="CT102" s="3">
        <f t="shared" si="227"/>
        <v>2.106456676959664E-2</v>
      </c>
      <c r="CU102" s="11">
        <f t="shared" si="236"/>
        <v>0.97732602172384875</v>
      </c>
      <c r="CV102" s="3">
        <v>5.0582817367701462E-3</v>
      </c>
      <c r="CW102" s="11">
        <v>0.97732602172384875</v>
      </c>
      <c r="CX102" s="11"/>
      <c r="DA102" s="7">
        <v>1</v>
      </c>
      <c r="DB102" s="7">
        <v>0.75</v>
      </c>
      <c r="DC102" s="11">
        <v>-3.705992226734265E-3</v>
      </c>
      <c r="DD102" s="11">
        <v>1.5057476177446284E-2</v>
      </c>
      <c r="DE102" s="11">
        <v>-1.6332352383555356E-2</v>
      </c>
      <c r="DF102" s="1">
        <v>2.6045435202439977E-2</v>
      </c>
      <c r="DG102" s="3">
        <f t="shared" si="228"/>
        <v>2.106456676959664E-2</v>
      </c>
      <c r="DH102" s="11">
        <f t="shared" si="237"/>
        <v>0.97732602172384875</v>
      </c>
      <c r="DI102" s="3">
        <v>5.0582817367701462E-3</v>
      </c>
      <c r="DJ102" s="11">
        <v>0.97732602172384875</v>
      </c>
      <c r="DK102" s="11"/>
    </row>
    <row r="103" spans="1:115" x14ac:dyDescent="0.25">
      <c r="A103" s="7">
        <v>1.25</v>
      </c>
      <c r="B103" s="7">
        <v>0.75</v>
      </c>
      <c r="C103" s="11">
        <v>-3.705992226734265E-3</v>
      </c>
      <c r="D103" s="11">
        <v>1.5057476177446284E-2</v>
      </c>
      <c r="E103" s="11">
        <v>-1.6332352383555356E-2</v>
      </c>
      <c r="F103" s="1">
        <v>2.6045435202439977E-2</v>
      </c>
      <c r="G103" s="3">
        <f t="shared" si="220"/>
        <v>2.1919035182415239E-2</v>
      </c>
      <c r="H103" s="11">
        <f t="shared" si="229"/>
        <v>0.97220624587881543</v>
      </c>
      <c r="I103" s="3">
        <v>5.1197758450332986E-3</v>
      </c>
      <c r="J103" s="11">
        <v>0</v>
      </c>
      <c r="N103" s="7">
        <v>1.25</v>
      </c>
      <c r="O103" s="7">
        <v>0.75</v>
      </c>
      <c r="P103" s="11">
        <v>-3.705992226734265E-3</v>
      </c>
      <c r="Q103" s="11">
        <v>1.5057476177446284E-2</v>
      </c>
      <c r="R103" s="11">
        <v>-1.6332352383555356E-2</v>
      </c>
      <c r="S103" s="1">
        <v>2.6045435202439977E-2</v>
      </c>
      <c r="T103" s="3">
        <f t="shared" si="221"/>
        <v>2.1919035182415239E-2</v>
      </c>
      <c r="U103" s="11">
        <f t="shared" si="230"/>
        <v>0.97220141435708718</v>
      </c>
      <c r="V103" s="3">
        <v>5.1197504015552883E-3</v>
      </c>
      <c r="W103" s="11">
        <v>0</v>
      </c>
      <c r="AA103" s="7">
        <v>1.25</v>
      </c>
      <c r="AB103" s="7">
        <v>0.75</v>
      </c>
      <c r="AC103" s="11">
        <v>-3.6909922267342656E-3</v>
      </c>
      <c r="AD103" s="11">
        <v>1.4998726177446287E-2</v>
      </c>
      <c r="AE103" s="11">
        <v>-1.626953988355536E-2</v>
      </c>
      <c r="AF103" s="1">
        <v>2.6035044577439978E-2</v>
      </c>
      <c r="AG103" s="3">
        <f t="shared" si="222"/>
        <v>2.1924660182415234E-2</v>
      </c>
      <c r="AH103" s="11">
        <f t="shared" si="231"/>
        <v>0.97219931429874074</v>
      </c>
      <c r="AI103" s="3">
        <v>5.1218470400826444E-3</v>
      </c>
      <c r="AJ103" s="11">
        <v>0</v>
      </c>
      <c r="AK103" s="11"/>
      <c r="AN103" s="7">
        <v>1.25</v>
      </c>
      <c r="AO103" s="7">
        <v>0.75</v>
      </c>
      <c r="AP103" s="11">
        <v>-3.7259922267342642E-3</v>
      </c>
      <c r="AQ103" s="11">
        <v>1.5132476177446282E-2</v>
      </c>
      <c r="AR103" s="11">
        <v>-1.6411102383555351E-2</v>
      </c>
      <c r="AS103" s="1">
        <v>2.6070747702439973E-2</v>
      </c>
      <c r="AT103" s="3">
        <f t="shared" si="223"/>
        <v>2.1924035182415241E-2</v>
      </c>
      <c r="AU103" s="11">
        <f t="shared" si="232"/>
        <v>0.97220586810033316</v>
      </c>
      <c r="AV103" s="3">
        <v>5.1201536235155097E-3</v>
      </c>
      <c r="AW103" s="11">
        <v>0</v>
      </c>
      <c r="AX103" s="11"/>
      <c r="BA103" s="7">
        <v>1.25</v>
      </c>
      <c r="BB103" s="7">
        <v>0.75</v>
      </c>
      <c r="BC103" s="11">
        <v>-3.7009922267342652E-3</v>
      </c>
      <c r="BD103" s="11">
        <v>1.5041226177446285E-2</v>
      </c>
      <c r="BE103" s="11">
        <v>-1.6316414883555355E-2</v>
      </c>
      <c r="BF103" s="1">
        <v>2.6040513327439976E-2</v>
      </c>
      <c r="BG103" s="3">
        <f t="shared" si="224"/>
        <v>2.1918410182415242E-2</v>
      </c>
      <c r="BH103" s="11">
        <f t="shared" si="233"/>
        <v>0.97220630254561324</v>
      </c>
      <c r="BI103" s="3">
        <v>5.119719178235645E-3</v>
      </c>
      <c r="BJ103" s="11">
        <v>0</v>
      </c>
      <c r="BK103" s="11"/>
      <c r="BN103" s="7">
        <v>1.25</v>
      </c>
      <c r="BO103" s="7">
        <v>0.75</v>
      </c>
      <c r="BP103" s="11">
        <v>-3.705992226734265E-3</v>
      </c>
      <c r="BQ103" s="11">
        <v>1.5057476177446284E-2</v>
      </c>
      <c r="BR103" s="11">
        <v>-1.6332352383555356E-2</v>
      </c>
      <c r="BS103" s="1">
        <v>2.6045435202439977E-2</v>
      </c>
      <c r="BT103" s="3">
        <f t="shared" si="225"/>
        <v>2.1919035182415239E-2</v>
      </c>
      <c r="BU103" s="11">
        <f t="shared" si="234"/>
        <v>0.97220624587881543</v>
      </c>
      <c r="BV103" s="3">
        <v>5.1197758450332986E-3</v>
      </c>
      <c r="BW103" s="11">
        <v>0</v>
      </c>
      <c r="BX103" s="11"/>
      <c r="CA103" s="7">
        <v>1.25</v>
      </c>
      <c r="CB103" s="7">
        <v>0.75</v>
      </c>
      <c r="CC103" s="11">
        <v>-3.705992226734265E-3</v>
      </c>
      <c r="CD103" s="11">
        <v>1.5057476177446284E-2</v>
      </c>
      <c r="CE103" s="11">
        <v>-1.6332352383555356E-2</v>
      </c>
      <c r="CF103" s="1">
        <v>2.6045435202439977E-2</v>
      </c>
      <c r="CG103" s="3">
        <f t="shared" si="226"/>
        <v>2.1919035182415239E-2</v>
      </c>
      <c r="CH103" s="11">
        <f t="shared" si="235"/>
        <v>0.97220624587881543</v>
      </c>
      <c r="CI103" s="3">
        <v>5.1197758450332986E-3</v>
      </c>
      <c r="CJ103" s="11">
        <v>0</v>
      </c>
      <c r="CK103" s="11"/>
      <c r="CN103" s="7">
        <v>1.25</v>
      </c>
      <c r="CO103" s="7">
        <v>0.75</v>
      </c>
      <c r="CP103" s="11">
        <v>-3.705992226734265E-3</v>
      </c>
      <c r="CQ103" s="11">
        <v>1.5057476177446284E-2</v>
      </c>
      <c r="CR103" s="11">
        <v>-1.6332352383555356E-2</v>
      </c>
      <c r="CS103" s="1">
        <v>2.6045435202439977E-2</v>
      </c>
      <c r="CT103" s="3">
        <f t="shared" si="227"/>
        <v>2.1919035182415239E-2</v>
      </c>
      <c r="CU103" s="11">
        <f t="shared" si="236"/>
        <v>0.97220624587881543</v>
      </c>
      <c r="CV103" s="3">
        <v>5.1197758450332986E-3</v>
      </c>
      <c r="CW103" s="11">
        <v>0</v>
      </c>
      <c r="CX103" s="11"/>
      <c r="DA103" s="7">
        <v>1.25</v>
      </c>
      <c r="DB103" s="7">
        <v>0.75</v>
      </c>
      <c r="DC103" s="11">
        <v>-3.705992226734265E-3</v>
      </c>
      <c r="DD103" s="11">
        <v>1.5057476177446284E-2</v>
      </c>
      <c r="DE103" s="11">
        <v>-1.6332352383555356E-2</v>
      </c>
      <c r="DF103" s="1">
        <v>2.6045435202439977E-2</v>
      </c>
      <c r="DG103" s="3">
        <f t="shared" si="228"/>
        <v>2.1919035182415239E-2</v>
      </c>
      <c r="DH103" s="11">
        <f t="shared" si="237"/>
        <v>0.97220624587881543</v>
      </c>
      <c r="DI103" s="3">
        <v>5.1197758450332986E-3</v>
      </c>
      <c r="DJ103" s="11">
        <v>0</v>
      </c>
      <c r="DK103" s="11"/>
    </row>
    <row r="104" spans="1:115" x14ac:dyDescent="0.25">
      <c r="A104" s="7">
        <v>1.5</v>
      </c>
      <c r="B104" s="7">
        <v>0.75</v>
      </c>
      <c r="C104" s="11">
        <v>-3.705992226734265E-3</v>
      </c>
      <c r="D104" s="11">
        <v>1.5057476177446284E-2</v>
      </c>
      <c r="E104" s="11">
        <v>-1.6332352383555356E-2</v>
      </c>
      <c r="F104" s="1">
        <v>2.6045435202439977E-2</v>
      </c>
      <c r="G104" s="3">
        <f t="shared" si="220"/>
        <v>2.2918504261132941E-2</v>
      </c>
      <c r="H104" s="11">
        <f t="shared" si="229"/>
        <v>0.96690782422448307</v>
      </c>
      <c r="I104" s="3">
        <v>5.2984216543322535E-3</v>
      </c>
      <c r="J104" s="11">
        <v>0</v>
      </c>
      <c r="N104" s="7">
        <v>1.5</v>
      </c>
      <c r="O104" s="7">
        <v>0.75</v>
      </c>
      <c r="P104" s="11">
        <v>-3.705992226734265E-3</v>
      </c>
      <c r="Q104" s="11">
        <v>1.5057476177446284E-2</v>
      </c>
      <c r="R104" s="11">
        <v>-1.6332352383555356E-2</v>
      </c>
      <c r="S104" s="1">
        <v>2.6045435202439977E-2</v>
      </c>
      <c r="T104" s="3">
        <f t="shared" si="221"/>
        <v>2.2918504261132941E-2</v>
      </c>
      <c r="U104" s="11">
        <f t="shared" si="230"/>
        <v>0.96690301903403941</v>
      </c>
      <c r="V104" s="3">
        <v>5.2983953230476555E-3</v>
      </c>
      <c r="W104" s="11">
        <v>0</v>
      </c>
      <c r="AA104" s="7">
        <v>1.5</v>
      </c>
      <c r="AB104" s="7">
        <v>0.75</v>
      </c>
      <c r="AC104" s="11">
        <v>-3.6909922267342656E-3</v>
      </c>
      <c r="AD104" s="11">
        <v>1.4998726177446287E-2</v>
      </c>
      <c r="AE104" s="11">
        <v>-1.626953988355536E-2</v>
      </c>
      <c r="AF104" s="1">
        <v>2.6035044577439978E-2</v>
      </c>
      <c r="AG104" s="3">
        <f t="shared" si="222"/>
        <v>2.2920769886132942E-2</v>
      </c>
      <c r="AH104" s="11">
        <f t="shared" si="231"/>
        <v>0.9668995781284937</v>
      </c>
      <c r="AI104" s="3">
        <v>5.2997361702469686E-3</v>
      </c>
      <c r="AJ104" s="11">
        <v>0</v>
      </c>
      <c r="AK104" s="11"/>
      <c r="AN104" s="7">
        <v>1.5</v>
      </c>
      <c r="AO104" s="7">
        <v>0.75</v>
      </c>
      <c r="AP104" s="11">
        <v>-3.7259922267342642E-3</v>
      </c>
      <c r="AQ104" s="11">
        <v>1.5132476177446282E-2</v>
      </c>
      <c r="AR104" s="11">
        <v>-1.6411102383555351E-2</v>
      </c>
      <c r="AS104" s="1">
        <v>2.6070747702439973E-2</v>
      </c>
      <c r="AT104" s="3">
        <f t="shared" si="223"/>
        <v>2.2926941761132941E-2</v>
      </c>
      <c r="AU104" s="11">
        <f t="shared" si="232"/>
        <v>0.96690624645896728</v>
      </c>
      <c r="AV104" s="3">
        <v>5.299621641365865E-3</v>
      </c>
      <c r="AW104" s="11">
        <v>0</v>
      </c>
      <c r="AX104" s="11"/>
      <c r="BA104" s="7">
        <v>1.5</v>
      </c>
      <c r="BB104" s="7">
        <v>0.75</v>
      </c>
      <c r="BC104" s="11">
        <v>-3.7009922267342652E-3</v>
      </c>
      <c r="BD104" s="11">
        <v>1.5041226177446285E-2</v>
      </c>
      <c r="BE104" s="11">
        <v>-1.6316414883555355E-2</v>
      </c>
      <c r="BF104" s="1">
        <v>2.6040513327439976E-2</v>
      </c>
      <c r="BG104" s="3">
        <f t="shared" si="224"/>
        <v>2.2917801136132943E-2</v>
      </c>
      <c r="BH104" s="11">
        <f t="shared" si="233"/>
        <v>0.96690803083846599</v>
      </c>
      <c r="BI104" s="3">
        <v>5.2982717071472256E-3</v>
      </c>
      <c r="BJ104" s="11">
        <v>0</v>
      </c>
      <c r="BK104" s="11"/>
      <c r="BN104" s="7">
        <v>1.5</v>
      </c>
      <c r="BO104" s="7">
        <v>0.75</v>
      </c>
      <c r="BP104" s="11">
        <v>-3.705992226734265E-3</v>
      </c>
      <c r="BQ104" s="11">
        <v>1.5057476177446284E-2</v>
      </c>
      <c r="BR104" s="11">
        <v>-1.6332352383555356E-2</v>
      </c>
      <c r="BS104" s="1">
        <v>2.6045435202439977E-2</v>
      </c>
      <c r="BT104" s="3">
        <f t="shared" si="225"/>
        <v>2.2918504261132941E-2</v>
      </c>
      <c r="BU104" s="11">
        <f t="shared" si="234"/>
        <v>0.96690782422448307</v>
      </c>
      <c r="BV104" s="3">
        <v>5.2984216543322535E-3</v>
      </c>
      <c r="BW104" s="11">
        <v>0</v>
      </c>
      <c r="BX104" s="11"/>
      <c r="CA104" s="7">
        <v>1.5</v>
      </c>
      <c r="CB104" s="7">
        <v>0.75</v>
      </c>
      <c r="CC104" s="11">
        <v>-3.705992226734265E-3</v>
      </c>
      <c r="CD104" s="11">
        <v>1.5057476177446284E-2</v>
      </c>
      <c r="CE104" s="11">
        <v>-1.6332352383555356E-2</v>
      </c>
      <c r="CF104" s="1">
        <v>2.6045435202439977E-2</v>
      </c>
      <c r="CG104" s="3">
        <f t="shared" si="226"/>
        <v>2.2918504261132941E-2</v>
      </c>
      <c r="CH104" s="11">
        <f t="shared" si="235"/>
        <v>0.96690782422448307</v>
      </c>
      <c r="CI104" s="3">
        <v>5.2984216543322535E-3</v>
      </c>
      <c r="CJ104" s="11">
        <v>0</v>
      </c>
      <c r="CK104" s="11"/>
      <c r="CN104" s="7">
        <v>1.5</v>
      </c>
      <c r="CO104" s="7">
        <v>0.75</v>
      </c>
      <c r="CP104" s="11">
        <v>-3.705992226734265E-3</v>
      </c>
      <c r="CQ104" s="11">
        <v>1.5057476177446284E-2</v>
      </c>
      <c r="CR104" s="11">
        <v>-1.6332352383555356E-2</v>
      </c>
      <c r="CS104" s="1">
        <v>2.6045435202439977E-2</v>
      </c>
      <c r="CT104" s="3">
        <f t="shared" si="227"/>
        <v>2.2918504261132941E-2</v>
      </c>
      <c r="CU104" s="11">
        <f t="shared" si="236"/>
        <v>0.96690782422448307</v>
      </c>
      <c r="CV104" s="3">
        <v>5.2984216543322535E-3</v>
      </c>
      <c r="CW104" s="11">
        <v>0</v>
      </c>
      <c r="CX104" s="11"/>
      <c r="DA104" s="7">
        <v>1.5</v>
      </c>
      <c r="DB104" s="7">
        <v>0.75</v>
      </c>
      <c r="DC104" s="11">
        <v>-3.705992226734265E-3</v>
      </c>
      <c r="DD104" s="11">
        <v>1.5057476177446284E-2</v>
      </c>
      <c r="DE104" s="11">
        <v>-1.6332352383555356E-2</v>
      </c>
      <c r="DF104" s="1">
        <v>2.6045435202439977E-2</v>
      </c>
      <c r="DG104" s="3">
        <f t="shared" si="228"/>
        <v>2.2918504261132941E-2</v>
      </c>
      <c r="DH104" s="11">
        <f t="shared" si="237"/>
        <v>0.96690782422448307</v>
      </c>
      <c r="DI104" s="3">
        <v>5.2984216543322535E-3</v>
      </c>
      <c r="DJ104" s="11">
        <v>0</v>
      </c>
      <c r="DK104" s="11"/>
    </row>
    <row r="105" spans="1:115" x14ac:dyDescent="0.25">
      <c r="A105" s="7">
        <v>1.75</v>
      </c>
      <c r="B105" s="7">
        <v>1.75</v>
      </c>
      <c r="C105" s="11">
        <v>2.7357620132243202E-4</v>
      </c>
      <c r="D105" s="11">
        <v>-2.402842044439542E-3</v>
      </c>
      <c r="E105" s="11">
        <v>8.2164764602741351E-3</v>
      </c>
      <c r="F105" s="1">
        <v>1.5229209736147352E-2</v>
      </c>
      <c r="G105" s="3">
        <f t="shared" si="220"/>
        <v>2.3715537234493399E-2</v>
      </c>
      <c r="H105" s="11">
        <f t="shared" si="229"/>
        <v>0.96139936536156068</v>
      </c>
      <c r="I105" s="3">
        <v>5.5084588629223585E-3</v>
      </c>
      <c r="J105" s="11">
        <v>0</v>
      </c>
      <c r="N105" s="7">
        <v>1.75</v>
      </c>
      <c r="O105" s="7">
        <v>1.75</v>
      </c>
      <c r="P105" s="11">
        <v>2.7357620132243202E-4</v>
      </c>
      <c r="Q105" s="11">
        <v>-2.402842044439542E-3</v>
      </c>
      <c r="R105" s="11">
        <v>8.2164764602741351E-3</v>
      </c>
      <c r="S105" s="1">
        <v>1.5229209736147352E-2</v>
      </c>
      <c r="T105" s="3">
        <f t="shared" si="221"/>
        <v>2.3715537234493399E-2</v>
      </c>
      <c r="U105" s="11">
        <f t="shared" si="230"/>
        <v>0.96139458754621243</v>
      </c>
      <c r="V105" s="3">
        <v>5.5084314878270039E-3</v>
      </c>
      <c r="W105" s="11">
        <v>0</v>
      </c>
      <c r="AA105" s="7">
        <v>1.75</v>
      </c>
      <c r="AB105" s="7">
        <v>1.75</v>
      </c>
      <c r="AC105" s="11">
        <v>2.6857620132243222E-4</v>
      </c>
      <c r="AD105" s="11">
        <v>-2.3665920444395435E-3</v>
      </c>
      <c r="AE105" s="11">
        <v>8.1305389602741376E-3</v>
      </c>
      <c r="AF105" s="1">
        <v>1.529538161114735E-2</v>
      </c>
      <c r="AG105" s="3">
        <f t="shared" si="222"/>
        <v>2.3715537234493399E-2</v>
      </c>
      <c r="AH105" s="11">
        <f t="shared" si="231"/>
        <v>0.96139062480801618</v>
      </c>
      <c r="AI105" s="3">
        <v>5.5089533204775278E-3</v>
      </c>
      <c r="AJ105" s="11">
        <v>0</v>
      </c>
      <c r="AK105" s="11"/>
      <c r="AN105" s="7">
        <v>1.75</v>
      </c>
      <c r="AO105" s="7">
        <v>1.75</v>
      </c>
      <c r="AP105" s="11">
        <v>2.8857620132243141E-4</v>
      </c>
      <c r="AQ105" s="11">
        <v>-2.5065920444395377E-3</v>
      </c>
      <c r="AR105" s="11">
        <v>8.4417889602741245E-3</v>
      </c>
      <c r="AS105" s="1">
        <v>1.5082256611147362E-2</v>
      </c>
      <c r="AT105" s="3">
        <f t="shared" si="223"/>
        <v>2.3725537234493402E-2</v>
      </c>
      <c r="AU105" s="11">
        <f t="shared" si="232"/>
        <v>0.96139578019349348</v>
      </c>
      <c r="AV105" s="3">
        <v>5.5104662654737978E-3</v>
      </c>
      <c r="AW105" s="11">
        <v>0</v>
      </c>
      <c r="AX105" s="11"/>
      <c r="BA105" s="7">
        <v>1.75</v>
      </c>
      <c r="BB105" s="7">
        <v>1.75</v>
      </c>
      <c r="BC105" s="11">
        <v>2.5857620132243263E-4</v>
      </c>
      <c r="BD105" s="11">
        <v>-2.304092044439546E-3</v>
      </c>
      <c r="BE105" s="11">
        <v>8.0136639602741422E-3</v>
      </c>
      <c r="BF105" s="1">
        <v>1.5362100361147348E-2</v>
      </c>
      <c r="BG105" s="3">
        <f t="shared" si="224"/>
        <v>2.3715537234493399E-2</v>
      </c>
      <c r="BH105" s="11">
        <f t="shared" si="233"/>
        <v>0.9613997388317469</v>
      </c>
      <c r="BI105" s="3">
        <v>5.5082920067190313E-3</v>
      </c>
      <c r="BJ105" s="11">
        <v>0</v>
      </c>
      <c r="BK105" s="11"/>
      <c r="BN105" s="7">
        <v>1.75</v>
      </c>
      <c r="BO105" s="7">
        <v>1.75</v>
      </c>
      <c r="BP105" s="11">
        <v>2.7857620132243181E-4</v>
      </c>
      <c r="BQ105" s="11">
        <v>-2.4340920444395407E-3</v>
      </c>
      <c r="BR105" s="11">
        <v>8.2799139602741309E-3</v>
      </c>
      <c r="BS105" s="1">
        <v>1.5187100361147355E-2</v>
      </c>
      <c r="BT105" s="3">
        <f t="shared" si="225"/>
        <v>2.3715537234493399E-2</v>
      </c>
      <c r="BU105" s="11">
        <f t="shared" si="234"/>
        <v>0.96139936536156068</v>
      </c>
      <c r="BV105" s="3">
        <v>5.5084588629223585E-3</v>
      </c>
      <c r="BW105" s="11">
        <v>0</v>
      </c>
      <c r="BX105" s="11"/>
      <c r="CA105" s="7">
        <v>1.75</v>
      </c>
      <c r="CB105" s="7">
        <v>1.75</v>
      </c>
      <c r="CC105" s="11">
        <v>2.7357620132243202E-4</v>
      </c>
      <c r="CD105" s="11">
        <v>-2.402842044439542E-3</v>
      </c>
      <c r="CE105" s="11">
        <v>8.2164764602741351E-3</v>
      </c>
      <c r="CF105" s="1">
        <v>1.5229209736147352E-2</v>
      </c>
      <c r="CG105" s="3">
        <f t="shared" si="226"/>
        <v>2.3715537234493399E-2</v>
      </c>
      <c r="CH105" s="11">
        <f t="shared" si="235"/>
        <v>0.96139936536156068</v>
      </c>
      <c r="CI105" s="3">
        <v>5.5084588629223585E-3</v>
      </c>
      <c r="CJ105" s="11">
        <v>0</v>
      </c>
      <c r="CK105" s="11"/>
      <c r="CN105" s="7">
        <v>1.75</v>
      </c>
      <c r="CO105" s="7">
        <v>1.75</v>
      </c>
      <c r="CP105" s="11">
        <v>2.7357620132243202E-4</v>
      </c>
      <c r="CQ105" s="11">
        <v>-2.402842044439542E-3</v>
      </c>
      <c r="CR105" s="11">
        <v>8.2164764602741351E-3</v>
      </c>
      <c r="CS105" s="1">
        <v>1.5229209736147352E-2</v>
      </c>
      <c r="CT105" s="3">
        <f t="shared" si="227"/>
        <v>2.3715537234493399E-2</v>
      </c>
      <c r="CU105" s="11">
        <f t="shared" si="236"/>
        <v>0.96139936536156068</v>
      </c>
      <c r="CV105" s="3">
        <v>5.5084588629223585E-3</v>
      </c>
      <c r="CW105" s="11">
        <v>0</v>
      </c>
      <c r="CX105" s="11"/>
      <c r="DA105" s="7">
        <v>1.75</v>
      </c>
      <c r="DB105" s="7">
        <v>1.75</v>
      </c>
      <c r="DC105" s="11">
        <v>2.7357620132243202E-4</v>
      </c>
      <c r="DD105" s="11">
        <v>-2.402842044439542E-3</v>
      </c>
      <c r="DE105" s="11">
        <v>8.2164764602741351E-3</v>
      </c>
      <c r="DF105" s="1">
        <v>1.5229209736147352E-2</v>
      </c>
      <c r="DG105" s="3">
        <f t="shared" si="228"/>
        <v>2.3715537234493399E-2</v>
      </c>
      <c r="DH105" s="11">
        <f t="shared" si="237"/>
        <v>0.96139936536156068</v>
      </c>
      <c r="DI105" s="3">
        <v>5.5084588629223585E-3</v>
      </c>
      <c r="DJ105" s="11">
        <v>0</v>
      </c>
      <c r="DK105" s="11"/>
    </row>
    <row r="106" spans="1:115" x14ac:dyDescent="0.25">
      <c r="A106" s="7">
        <v>2</v>
      </c>
      <c r="B106" s="7">
        <v>1.75</v>
      </c>
      <c r="C106" s="11">
        <v>2.7357620132243202E-4</v>
      </c>
      <c r="D106" s="11">
        <v>-2.402842044439542E-3</v>
      </c>
      <c r="E106" s="11">
        <v>8.2164764602741351E-3</v>
      </c>
      <c r="F106" s="1">
        <v>1.5229209736147352E-2</v>
      </c>
      <c r="G106" s="3">
        <f t="shared" si="220"/>
        <v>2.423940408951691E-2</v>
      </c>
      <c r="H106" s="11">
        <f t="shared" si="229"/>
        <v>0.95573293535788273</v>
      </c>
      <c r="I106" s="3">
        <v>5.6664300036778853E-3</v>
      </c>
      <c r="J106" s="11">
        <v>0.95573293535788273</v>
      </c>
      <c r="N106" s="7">
        <v>2</v>
      </c>
      <c r="O106" s="7">
        <v>1.75</v>
      </c>
      <c r="P106" s="11">
        <v>2.7357620132243202E-4</v>
      </c>
      <c r="Q106" s="11">
        <v>-2.402842044439542E-3</v>
      </c>
      <c r="R106" s="11">
        <v>8.2164764602741351E-3</v>
      </c>
      <c r="S106" s="1">
        <v>1.5229209736147352E-2</v>
      </c>
      <c r="T106" s="3">
        <f t="shared" si="221"/>
        <v>2.423940408951691E-2</v>
      </c>
      <c r="U106" s="11">
        <f t="shared" si="230"/>
        <v>0.95572818570269069</v>
      </c>
      <c r="V106" s="3">
        <v>5.6664018435217452E-3</v>
      </c>
      <c r="W106" s="11">
        <v>0.95572818570269069</v>
      </c>
      <c r="AA106" s="7">
        <v>2</v>
      </c>
      <c r="AB106" s="7">
        <v>1.75</v>
      </c>
      <c r="AC106" s="11">
        <v>2.6857620132243222E-4</v>
      </c>
      <c r="AD106" s="11">
        <v>-2.3665920444395435E-3</v>
      </c>
      <c r="AE106" s="11">
        <v>8.1305389602741376E-3</v>
      </c>
      <c r="AF106" s="1">
        <v>1.529538161114735E-2</v>
      </c>
      <c r="AG106" s="3">
        <f t="shared" si="222"/>
        <v>2.4238700964516909E-2</v>
      </c>
      <c r="AH106" s="11">
        <f t="shared" si="231"/>
        <v>0.95572424632063491</v>
      </c>
      <c r="AI106" s="3">
        <v>5.6663784873812895E-3</v>
      </c>
      <c r="AJ106" s="11">
        <v>0.95572424632063491</v>
      </c>
      <c r="AK106" s="11"/>
      <c r="AN106" s="7">
        <v>2</v>
      </c>
      <c r="AO106" s="7">
        <v>1.75</v>
      </c>
      <c r="AP106" s="11">
        <v>2.8857620132243141E-4</v>
      </c>
      <c r="AQ106" s="11">
        <v>-2.5065920444395377E-3</v>
      </c>
      <c r="AR106" s="11">
        <v>8.4417889602741245E-3</v>
      </c>
      <c r="AS106" s="1">
        <v>1.5082256611147362E-2</v>
      </c>
      <c r="AT106" s="3">
        <f t="shared" si="223"/>
        <v>2.4248075964516912E-2</v>
      </c>
      <c r="AU106" s="11">
        <f t="shared" si="232"/>
        <v>0.95572699608558376</v>
      </c>
      <c r="AV106" s="3">
        <v>5.6687841079097615E-3</v>
      </c>
      <c r="AW106" s="11">
        <v>0.95572699608558376</v>
      </c>
      <c r="AX106" s="11"/>
      <c r="BA106" s="7">
        <v>2</v>
      </c>
      <c r="BB106" s="7">
        <v>1.75</v>
      </c>
      <c r="BC106" s="11">
        <v>2.5857620132243263E-4</v>
      </c>
      <c r="BD106" s="11">
        <v>-2.304092044439546E-3</v>
      </c>
      <c r="BE106" s="11">
        <v>8.0136639602741422E-3</v>
      </c>
      <c r="BF106" s="1">
        <v>1.5362100361147348E-2</v>
      </c>
      <c r="BG106" s="3">
        <f t="shared" si="224"/>
        <v>2.4241669714516911E-2</v>
      </c>
      <c r="BH106" s="11">
        <f t="shared" si="233"/>
        <v>0.95573330662685818</v>
      </c>
      <c r="BI106" s="3">
        <v>5.6664322048886875E-3</v>
      </c>
      <c r="BJ106" s="11">
        <v>0.95573330662685818</v>
      </c>
      <c r="BK106" s="11"/>
      <c r="BN106" s="7">
        <v>2</v>
      </c>
      <c r="BO106" s="7">
        <v>1.75</v>
      </c>
      <c r="BP106" s="11">
        <v>2.7857620132243181E-4</v>
      </c>
      <c r="BQ106" s="11">
        <v>-2.4340920444395407E-3</v>
      </c>
      <c r="BR106" s="11">
        <v>8.2799139602741309E-3</v>
      </c>
      <c r="BS106" s="1">
        <v>1.5187100361147355E-2</v>
      </c>
      <c r="BT106" s="3">
        <f t="shared" si="225"/>
        <v>2.4239169714516909E-2</v>
      </c>
      <c r="BU106" s="11">
        <f t="shared" si="234"/>
        <v>0.95573293535788273</v>
      </c>
      <c r="BV106" s="3">
        <v>5.6664300036778853E-3</v>
      </c>
      <c r="BW106" s="11">
        <v>0.95573293535788273</v>
      </c>
      <c r="BX106" s="11"/>
      <c r="CA106" s="7">
        <v>2</v>
      </c>
      <c r="CB106" s="7">
        <v>1.75</v>
      </c>
      <c r="CC106" s="11">
        <v>2.7357620132243202E-4</v>
      </c>
      <c r="CD106" s="11">
        <v>-2.402842044439542E-3</v>
      </c>
      <c r="CE106" s="11">
        <v>8.2164764602741351E-3</v>
      </c>
      <c r="CF106" s="1">
        <v>1.5229209736147352E-2</v>
      </c>
      <c r="CG106" s="3">
        <f t="shared" si="226"/>
        <v>2.423940408951691E-2</v>
      </c>
      <c r="CH106" s="11">
        <f t="shared" si="235"/>
        <v>0.95573293535788273</v>
      </c>
      <c r="CI106" s="3">
        <v>5.6664300036778853E-3</v>
      </c>
      <c r="CJ106" s="11">
        <v>0.95573293535788273</v>
      </c>
      <c r="CK106" s="11"/>
      <c r="CN106" s="7">
        <v>2</v>
      </c>
      <c r="CO106" s="7">
        <v>1.75</v>
      </c>
      <c r="CP106" s="11">
        <v>2.7357620132243202E-4</v>
      </c>
      <c r="CQ106" s="11">
        <v>-2.402842044439542E-3</v>
      </c>
      <c r="CR106" s="11">
        <v>8.2164764602741351E-3</v>
      </c>
      <c r="CS106" s="1">
        <v>1.5229209736147352E-2</v>
      </c>
      <c r="CT106" s="3">
        <f t="shared" si="227"/>
        <v>2.423940408951691E-2</v>
      </c>
      <c r="CU106" s="11">
        <f t="shared" si="236"/>
        <v>0.95573293535788273</v>
      </c>
      <c r="CV106" s="3">
        <v>5.6664300036778853E-3</v>
      </c>
      <c r="CW106" s="11">
        <v>0.95573293535788273</v>
      </c>
      <c r="CX106" s="11"/>
      <c r="DA106" s="7">
        <v>2</v>
      </c>
      <c r="DB106" s="7">
        <v>1.75</v>
      </c>
      <c r="DC106" s="11">
        <v>2.7357620132243202E-4</v>
      </c>
      <c r="DD106" s="11">
        <v>-2.402842044439542E-3</v>
      </c>
      <c r="DE106" s="11">
        <v>8.2164764602741351E-3</v>
      </c>
      <c r="DF106" s="1">
        <v>1.5229209736147352E-2</v>
      </c>
      <c r="DG106" s="3">
        <f t="shared" si="228"/>
        <v>2.423940408951691E-2</v>
      </c>
      <c r="DH106" s="11">
        <f t="shared" si="237"/>
        <v>0.95573293535788273</v>
      </c>
      <c r="DI106" s="3">
        <v>5.6664300036778853E-3</v>
      </c>
      <c r="DJ106" s="11">
        <v>0.95573293535788273</v>
      </c>
      <c r="DK106" s="11"/>
    </row>
    <row r="107" spans="1:115" x14ac:dyDescent="0.25">
      <c r="A107" s="7">
        <v>2.25</v>
      </c>
      <c r="B107" s="7">
        <v>1.75</v>
      </c>
      <c r="C107" s="11">
        <v>2.7357620132243202E-4</v>
      </c>
      <c r="D107" s="11">
        <v>-2.402842044439542E-3</v>
      </c>
      <c r="E107" s="11">
        <v>8.2164764602741351E-3</v>
      </c>
      <c r="F107" s="1">
        <v>1.5229209736147352E-2</v>
      </c>
      <c r="G107" s="3">
        <f t="shared" si="220"/>
        <v>2.4668097839977303E-2</v>
      </c>
      <c r="H107" s="11">
        <f t="shared" si="229"/>
        <v>0.94997622098391732</v>
      </c>
      <c r="I107" s="3">
        <v>5.7567143739653461E-3</v>
      </c>
      <c r="J107" s="11">
        <v>0</v>
      </c>
      <c r="N107" s="7">
        <v>2.25</v>
      </c>
      <c r="O107" s="7">
        <v>1.75</v>
      </c>
      <c r="P107" s="11">
        <v>2.7357620132243202E-4</v>
      </c>
      <c r="Q107" s="11">
        <v>-2.402842044439542E-3</v>
      </c>
      <c r="R107" s="11">
        <v>8.2164764602741351E-3</v>
      </c>
      <c r="S107" s="1">
        <v>1.5229209736147352E-2</v>
      </c>
      <c r="T107" s="3">
        <f t="shared" si="221"/>
        <v>2.4668097839977303E-2</v>
      </c>
      <c r="U107" s="11">
        <f t="shared" si="230"/>
        <v>0.94997149993756291</v>
      </c>
      <c r="V107" s="3">
        <v>5.7566857651277685E-3</v>
      </c>
      <c r="W107" s="11">
        <v>0</v>
      </c>
      <c r="AA107" s="7">
        <v>2.25</v>
      </c>
      <c r="AB107" s="7">
        <v>1.75</v>
      </c>
      <c r="AC107" s="11">
        <v>2.6857620132243222E-4</v>
      </c>
      <c r="AD107" s="11">
        <v>-2.3665920444395435E-3</v>
      </c>
      <c r="AE107" s="11">
        <v>8.1305389602741376E-3</v>
      </c>
      <c r="AF107" s="1">
        <v>1.529538161114735E-2</v>
      </c>
      <c r="AG107" s="3">
        <f t="shared" si="222"/>
        <v>2.4667472839977299E-2</v>
      </c>
      <c r="AH107" s="11">
        <f t="shared" si="231"/>
        <v>0.94996775026448588</v>
      </c>
      <c r="AI107" s="3">
        <v>5.7564960561489378E-3</v>
      </c>
      <c r="AJ107" s="11">
        <v>0</v>
      </c>
      <c r="AK107" s="11"/>
      <c r="AN107" s="7">
        <v>2.25</v>
      </c>
      <c r="AO107" s="7">
        <v>1.75</v>
      </c>
      <c r="AP107" s="11">
        <v>2.8857620132243141E-4</v>
      </c>
      <c r="AQ107" s="11">
        <v>-2.5065920444395377E-3</v>
      </c>
      <c r="AR107" s="11">
        <v>8.4417889602741245E-3</v>
      </c>
      <c r="AS107" s="1">
        <v>1.5082256611147362E-2</v>
      </c>
      <c r="AT107" s="3">
        <f t="shared" si="223"/>
        <v>2.4673722839977305E-2</v>
      </c>
      <c r="AU107" s="11">
        <f t="shared" si="232"/>
        <v>0.94996827038951248</v>
      </c>
      <c r="AV107" s="3">
        <v>5.7587256960714098E-3</v>
      </c>
      <c r="AW107" s="11">
        <v>0</v>
      </c>
      <c r="AX107" s="11"/>
      <c r="BA107" s="7">
        <v>2.25</v>
      </c>
      <c r="BB107" s="7">
        <v>1.75</v>
      </c>
      <c r="BC107" s="11">
        <v>2.5857620132243263E-4</v>
      </c>
      <c r="BD107" s="11">
        <v>-2.304092044439546E-3</v>
      </c>
      <c r="BE107" s="11">
        <v>8.0136639602741422E-3</v>
      </c>
      <c r="BF107" s="1">
        <v>1.5362100361147348E-2</v>
      </c>
      <c r="BG107" s="3">
        <f t="shared" si="224"/>
        <v>2.4673722839977298E-2</v>
      </c>
      <c r="BH107" s="11">
        <f t="shared" si="233"/>
        <v>0.9499760551852332</v>
      </c>
      <c r="BI107" s="3">
        <v>5.7572514416250288E-3</v>
      </c>
      <c r="BJ107" s="11">
        <v>0</v>
      </c>
      <c r="BK107" s="11"/>
      <c r="BN107" s="7">
        <v>2.25</v>
      </c>
      <c r="BO107" s="7">
        <v>1.75</v>
      </c>
      <c r="BP107" s="11">
        <v>2.7857620132243181E-4</v>
      </c>
      <c r="BQ107" s="11">
        <v>-2.4340920444395407E-3</v>
      </c>
      <c r="BR107" s="11">
        <v>8.2799139602741309E-3</v>
      </c>
      <c r="BS107" s="1">
        <v>1.5187100361147355E-2</v>
      </c>
      <c r="BT107" s="3">
        <f t="shared" si="225"/>
        <v>2.4667472839977299E-2</v>
      </c>
      <c r="BU107" s="11">
        <f t="shared" si="234"/>
        <v>0.94997627631131409</v>
      </c>
      <c r="BV107" s="3">
        <v>5.756659046568688E-3</v>
      </c>
      <c r="BW107" s="11">
        <v>0</v>
      </c>
      <c r="BX107" s="11"/>
      <c r="CA107" s="7">
        <v>2.25</v>
      </c>
      <c r="CB107" s="7">
        <v>1.75</v>
      </c>
      <c r="CC107" s="11">
        <v>2.7357620132243202E-4</v>
      </c>
      <c r="CD107" s="11">
        <v>-2.402842044439542E-3</v>
      </c>
      <c r="CE107" s="11">
        <v>8.2164764602741351E-3</v>
      </c>
      <c r="CF107" s="1">
        <v>1.5229209736147352E-2</v>
      </c>
      <c r="CG107" s="3">
        <f t="shared" si="226"/>
        <v>2.4668097839977303E-2</v>
      </c>
      <c r="CH107" s="11">
        <f t="shared" si="235"/>
        <v>0.94997622098391732</v>
      </c>
      <c r="CI107" s="3">
        <v>5.7567143739653461E-3</v>
      </c>
      <c r="CJ107" s="11">
        <v>0</v>
      </c>
      <c r="CK107" s="11"/>
      <c r="CN107" s="7">
        <v>2.25</v>
      </c>
      <c r="CO107" s="7">
        <v>1.75</v>
      </c>
      <c r="CP107" s="11">
        <v>2.7357620132243202E-4</v>
      </c>
      <c r="CQ107" s="11">
        <v>-2.402842044439542E-3</v>
      </c>
      <c r="CR107" s="11">
        <v>8.2164764602741351E-3</v>
      </c>
      <c r="CS107" s="1">
        <v>1.5229209736147352E-2</v>
      </c>
      <c r="CT107" s="3">
        <f t="shared" si="227"/>
        <v>2.4668097839977303E-2</v>
      </c>
      <c r="CU107" s="11">
        <f t="shared" si="236"/>
        <v>0.94997622098391732</v>
      </c>
      <c r="CV107" s="3">
        <v>5.7567143739653461E-3</v>
      </c>
      <c r="CW107" s="11">
        <v>0</v>
      </c>
      <c r="CX107" s="11"/>
      <c r="DA107" s="7">
        <v>2.25</v>
      </c>
      <c r="DB107" s="7">
        <v>1.75</v>
      </c>
      <c r="DC107" s="11">
        <v>2.7357620132243202E-4</v>
      </c>
      <c r="DD107" s="11">
        <v>-2.402842044439542E-3</v>
      </c>
      <c r="DE107" s="11">
        <v>8.2164764602741351E-3</v>
      </c>
      <c r="DF107" s="1">
        <v>1.5229209736147352E-2</v>
      </c>
      <c r="DG107" s="3">
        <f t="shared" si="228"/>
        <v>2.4668097839977303E-2</v>
      </c>
      <c r="DH107" s="11">
        <f t="shared" si="237"/>
        <v>0.94997622098391732</v>
      </c>
      <c r="DI107" s="3">
        <v>5.7567143739653461E-3</v>
      </c>
      <c r="DJ107" s="11">
        <v>0</v>
      </c>
      <c r="DK107" s="11"/>
    </row>
    <row r="108" spans="1:115" x14ac:dyDescent="0.25">
      <c r="A108" s="7">
        <v>2.5</v>
      </c>
      <c r="B108" s="7">
        <v>1.75</v>
      </c>
      <c r="C108" s="11">
        <v>2.7357620132243202E-4</v>
      </c>
      <c r="D108" s="11">
        <v>-2.402842044439542E-3</v>
      </c>
      <c r="E108" s="11">
        <v>8.2164764602741351E-3</v>
      </c>
      <c r="F108" s="1">
        <v>1.5229209736147352E-2</v>
      </c>
      <c r="G108" s="3">
        <f t="shared" si="220"/>
        <v>2.5027266254748555E-2</v>
      </c>
      <c r="H108" s="11">
        <f t="shared" si="229"/>
        <v>0.94415360262255232</v>
      </c>
      <c r="I108" s="3">
        <v>5.8226183613650428E-3</v>
      </c>
      <c r="J108" s="11">
        <v>0</v>
      </c>
      <c r="N108" s="7">
        <v>2.5</v>
      </c>
      <c r="O108" s="7">
        <v>1.75</v>
      </c>
      <c r="P108" s="11">
        <v>2.7357620132243202E-4</v>
      </c>
      <c r="Q108" s="11">
        <v>-2.402842044439542E-3</v>
      </c>
      <c r="R108" s="11">
        <v>8.2164764602741351E-3</v>
      </c>
      <c r="S108" s="1">
        <v>1.5229209736147352E-2</v>
      </c>
      <c r="T108" s="3">
        <f t="shared" si="221"/>
        <v>2.5027266254748555E-2</v>
      </c>
      <c r="U108" s="11">
        <f t="shared" si="230"/>
        <v>0.94414891051255501</v>
      </c>
      <c r="V108" s="3">
        <v>5.8225894250079208E-3</v>
      </c>
      <c r="W108" s="11">
        <v>0</v>
      </c>
      <c r="AA108" s="7">
        <v>2.5</v>
      </c>
      <c r="AB108" s="7">
        <v>1.75</v>
      </c>
      <c r="AC108" s="11">
        <v>2.6857620132243222E-4</v>
      </c>
      <c r="AD108" s="11">
        <v>-2.3665920444395435E-3</v>
      </c>
      <c r="AE108" s="11">
        <v>8.1305389602741376E-3</v>
      </c>
      <c r="AF108" s="1">
        <v>1.529538161114735E-2</v>
      </c>
      <c r="AG108" s="3">
        <f t="shared" si="222"/>
        <v>2.502703187974855E-2</v>
      </c>
      <c r="AH108" s="11">
        <f t="shared" si="231"/>
        <v>0.94414533044057736</v>
      </c>
      <c r="AI108" s="3">
        <v>5.8224198239085834E-3</v>
      </c>
      <c r="AJ108" s="11">
        <v>0</v>
      </c>
      <c r="AK108" s="11"/>
      <c r="AN108" s="7">
        <v>2.5</v>
      </c>
      <c r="AO108" s="7">
        <v>1.75</v>
      </c>
      <c r="AP108" s="11">
        <v>2.8857620132243141E-4</v>
      </c>
      <c r="AQ108" s="11">
        <v>-2.5065920444395377E-3</v>
      </c>
      <c r="AR108" s="11">
        <v>8.4417889602741245E-3</v>
      </c>
      <c r="AS108" s="1">
        <v>1.5082256611147362E-2</v>
      </c>
      <c r="AT108" s="3">
        <f t="shared" si="223"/>
        <v>2.5029531879748552E-2</v>
      </c>
      <c r="AU108" s="11">
        <f t="shared" si="232"/>
        <v>0.94414438119388755</v>
      </c>
      <c r="AV108" s="3">
        <v>5.8238891956249655E-3</v>
      </c>
      <c r="AW108" s="11">
        <v>0</v>
      </c>
      <c r="AX108" s="11"/>
      <c r="BA108" s="7">
        <v>2.5</v>
      </c>
      <c r="BB108" s="7">
        <v>1.75</v>
      </c>
      <c r="BC108" s="11">
        <v>2.5857620132243263E-4</v>
      </c>
      <c r="BD108" s="11">
        <v>-2.304092044439546E-3</v>
      </c>
      <c r="BE108" s="11">
        <v>8.0136639602741422E-3</v>
      </c>
      <c r="BF108" s="1">
        <v>1.5362100361147348E-2</v>
      </c>
      <c r="BG108" s="3">
        <f t="shared" si="224"/>
        <v>2.5035938129748553E-2</v>
      </c>
      <c r="BH108" s="11">
        <f t="shared" si="233"/>
        <v>0.94415211826402723</v>
      </c>
      <c r="BI108" s="3">
        <v>5.8239369212060186E-3</v>
      </c>
      <c r="BJ108" s="11">
        <v>0</v>
      </c>
      <c r="BK108" s="11"/>
      <c r="BN108" s="7">
        <v>2.5</v>
      </c>
      <c r="BO108" s="7">
        <v>1.75</v>
      </c>
      <c r="BP108" s="11">
        <v>2.7857620132243181E-4</v>
      </c>
      <c r="BQ108" s="11">
        <v>-2.4340920444395407E-3</v>
      </c>
      <c r="BR108" s="11">
        <v>8.2799139602741309E-3</v>
      </c>
      <c r="BS108" s="1">
        <v>1.5187100361147355E-2</v>
      </c>
      <c r="BT108" s="3">
        <f t="shared" si="225"/>
        <v>2.5026563129748554E-2</v>
      </c>
      <c r="BU108" s="11">
        <f t="shared" si="234"/>
        <v>0.94415380423065898</v>
      </c>
      <c r="BV108" s="3">
        <v>5.8224720806552563E-3</v>
      </c>
      <c r="BW108" s="11">
        <v>0</v>
      </c>
      <c r="BX108" s="11"/>
      <c r="CA108" s="7">
        <v>2.5</v>
      </c>
      <c r="CB108" s="7">
        <v>1.75</v>
      </c>
      <c r="CC108" s="11">
        <v>2.7357620132243202E-4</v>
      </c>
      <c r="CD108" s="11">
        <v>-2.402842044439542E-3</v>
      </c>
      <c r="CE108" s="11">
        <v>8.2164764602741351E-3</v>
      </c>
      <c r="CF108" s="1">
        <v>1.5229209736147352E-2</v>
      </c>
      <c r="CG108" s="3">
        <f t="shared" si="226"/>
        <v>2.5027266254748555E-2</v>
      </c>
      <c r="CH108" s="11">
        <f t="shared" si="235"/>
        <v>0.94415360262255232</v>
      </c>
      <c r="CI108" s="3">
        <v>5.8226183613650428E-3</v>
      </c>
      <c r="CJ108" s="11">
        <v>0</v>
      </c>
      <c r="CK108" s="11"/>
      <c r="CN108" s="7">
        <v>2.5</v>
      </c>
      <c r="CO108" s="7">
        <v>1.75</v>
      </c>
      <c r="CP108" s="11">
        <v>2.7357620132243202E-4</v>
      </c>
      <c r="CQ108" s="11">
        <v>-2.402842044439542E-3</v>
      </c>
      <c r="CR108" s="11">
        <v>8.2164764602741351E-3</v>
      </c>
      <c r="CS108" s="1">
        <v>1.5229209736147352E-2</v>
      </c>
      <c r="CT108" s="3">
        <f t="shared" si="227"/>
        <v>2.5027266254748555E-2</v>
      </c>
      <c r="CU108" s="11">
        <f t="shared" si="236"/>
        <v>0.94415360262255232</v>
      </c>
      <c r="CV108" s="3">
        <v>5.8226183613650428E-3</v>
      </c>
      <c r="CW108" s="11">
        <v>0</v>
      </c>
      <c r="CX108" s="11"/>
      <c r="DA108" s="7">
        <v>2.5</v>
      </c>
      <c r="DB108" s="7">
        <v>1.75</v>
      </c>
      <c r="DC108" s="11">
        <v>2.7357620132243202E-4</v>
      </c>
      <c r="DD108" s="11">
        <v>-2.402842044439542E-3</v>
      </c>
      <c r="DE108" s="11">
        <v>8.2164764602741351E-3</v>
      </c>
      <c r="DF108" s="1">
        <v>1.5229209736147352E-2</v>
      </c>
      <c r="DG108" s="3">
        <f t="shared" si="228"/>
        <v>2.5027266254748555E-2</v>
      </c>
      <c r="DH108" s="11">
        <f t="shared" si="237"/>
        <v>0.94415360262255232</v>
      </c>
      <c r="DI108" s="3">
        <v>5.8226183613650428E-3</v>
      </c>
      <c r="DJ108" s="11">
        <v>0</v>
      </c>
      <c r="DK108" s="11"/>
    </row>
    <row r="109" spans="1:115" x14ac:dyDescent="0.25">
      <c r="A109" s="7">
        <v>2.75</v>
      </c>
      <c r="B109" s="7">
        <v>2.75</v>
      </c>
      <c r="C109" s="11">
        <v>7.6955269905695095E-4</v>
      </c>
      <c r="D109" s="11">
        <v>-7.5377770511287061E-3</v>
      </c>
      <c r="E109" s="11">
        <v>2.5206152204712642E-2</v>
      </c>
      <c r="F109" s="1">
        <v>-2.9742137992943146E-3</v>
      </c>
      <c r="G109" s="3">
        <f t="shared" si="220"/>
        <v>2.5342557102704638E-2</v>
      </c>
      <c r="H109" s="11">
        <f t="shared" si="229"/>
        <v>0.93828293839219501</v>
      </c>
      <c r="I109" s="3">
        <v>5.8706642303573246E-3</v>
      </c>
      <c r="J109" s="11">
        <v>0</v>
      </c>
      <c r="N109" s="7">
        <v>2.75</v>
      </c>
      <c r="O109" s="7">
        <v>2.75</v>
      </c>
      <c r="P109" s="11">
        <v>7.6955269905695095E-4</v>
      </c>
      <c r="Q109" s="11">
        <v>-7.5377770511287061E-3</v>
      </c>
      <c r="R109" s="11">
        <v>2.5206152204712642E-2</v>
      </c>
      <c r="S109" s="1">
        <v>-2.9742137992943146E-3</v>
      </c>
      <c r="T109" s="3">
        <f t="shared" si="221"/>
        <v>2.5342557102704638E-2</v>
      </c>
      <c r="U109" s="11">
        <f t="shared" si="230"/>
        <v>0.93827827545732578</v>
      </c>
      <c r="V109" s="3">
        <v>5.8706350552291996E-3</v>
      </c>
      <c r="W109" s="11">
        <v>0</v>
      </c>
      <c r="AA109" s="7">
        <v>2.75</v>
      </c>
      <c r="AB109" s="7">
        <v>2.75</v>
      </c>
      <c r="AC109" s="11">
        <v>7.6955269905695095E-4</v>
      </c>
      <c r="AD109" s="11">
        <v>-7.5377770511287061E-3</v>
      </c>
      <c r="AE109" s="11">
        <v>2.5206152204712642E-2</v>
      </c>
      <c r="AF109" s="1">
        <v>-2.9742137992943146E-3</v>
      </c>
      <c r="AG109" s="3">
        <f t="shared" si="222"/>
        <v>2.5342557102704638E-2</v>
      </c>
      <c r="AH109" s="11">
        <f t="shared" si="231"/>
        <v>0.93827477228111655</v>
      </c>
      <c r="AI109" s="3">
        <v>5.8705581594608288E-3</v>
      </c>
      <c r="AJ109" s="11">
        <v>0</v>
      </c>
      <c r="AK109" s="11"/>
      <c r="AN109" s="7">
        <v>2.75</v>
      </c>
      <c r="AO109" s="7">
        <v>2.75</v>
      </c>
      <c r="AP109" s="11">
        <v>7.6455269905695115E-4</v>
      </c>
      <c r="AQ109" s="11">
        <v>-7.4865270511287087E-3</v>
      </c>
      <c r="AR109" s="11">
        <v>2.503271470471265E-2</v>
      </c>
      <c r="AS109" s="1">
        <v>-2.7808544242943212E-3</v>
      </c>
      <c r="AT109" s="3">
        <f t="shared" si="223"/>
        <v>2.5342557102704631E-2</v>
      </c>
      <c r="AU109" s="11">
        <f t="shared" si="232"/>
        <v>0.93827324616220464</v>
      </c>
      <c r="AV109" s="3">
        <v>5.871135031683016E-3</v>
      </c>
      <c r="AW109" s="11">
        <v>0</v>
      </c>
      <c r="AX109" s="11"/>
      <c r="BA109" s="7">
        <v>2.75</v>
      </c>
      <c r="BB109" s="7">
        <v>2.75</v>
      </c>
      <c r="BC109" s="11">
        <v>7.8455269905695034E-4</v>
      </c>
      <c r="BD109" s="11">
        <v>-7.6865270511287005E-3</v>
      </c>
      <c r="BE109" s="11">
        <v>2.5683964704712622E-2</v>
      </c>
      <c r="BF109" s="1">
        <v>-3.4652294242942805E-3</v>
      </c>
      <c r="BG109" s="3">
        <f t="shared" si="224"/>
        <v>2.5352557102704634E-2</v>
      </c>
      <c r="BH109" s="11">
        <f t="shared" si="233"/>
        <v>0.93827944175100386</v>
      </c>
      <c r="BI109" s="3">
        <v>5.8726765130232856E-3</v>
      </c>
      <c r="BJ109" s="11">
        <v>0</v>
      </c>
      <c r="BK109" s="11"/>
      <c r="BN109" s="7">
        <v>2.75</v>
      </c>
      <c r="BO109" s="7">
        <v>2.75</v>
      </c>
      <c r="BP109" s="11">
        <v>7.5455269905695156E-4</v>
      </c>
      <c r="BQ109" s="11">
        <v>-7.3940270511287116E-3</v>
      </c>
      <c r="BR109" s="11">
        <v>2.4760839704712649E-2</v>
      </c>
      <c r="BS109" s="1">
        <v>-2.5247606742943157E-3</v>
      </c>
      <c r="BT109" s="3">
        <f t="shared" si="225"/>
        <v>2.5342557102704638E-2</v>
      </c>
      <c r="BU109" s="11">
        <f t="shared" si="234"/>
        <v>0.93828330265379545</v>
      </c>
      <c r="BV109" s="3">
        <v>5.870501576863545E-3</v>
      </c>
      <c r="BW109" s="11">
        <v>0</v>
      </c>
      <c r="BX109" s="11"/>
      <c r="CA109" s="7">
        <v>2.75</v>
      </c>
      <c r="CB109" s="7">
        <v>2.75</v>
      </c>
      <c r="CC109" s="11">
        <v>7.7455269905695075E-4</v>
      </c>
      <c r="CD109" s="11">
        <v>-7.5840270511287038E-3</v>
      </c>
      <c r="CE109" s="11">
        <v>2.5347089704712632E-2</v>
      </c>
      <c r="CF109" s="1">
        <v>-3.1160106742943033E-3</v>
      </c>
      <c r="CG109" s="3">
        <f t="shared" si="226"/>
        <v>2.5342557102704631E-2</v>
      </c>
      <c r="CH109" s="11">
        <f t="shared" si="235"/>
        <v>0.93828293839219501</v>
      </c>
      <c r="CI109" s="3">
        <v>5.8706642303573246E-3</v>
      </c>
      <c r="CJ109" s="11">
        <v>0</v>
      </c>
      <c r="CK109" s="11"/>
      <c r="CN109" s="7">
        <v>2.75</v>
      </c>
      <c r="CO109" s="7">
        <v>2.75</v>
      </c>
      <c r="CP109" s="11">
        <v>7.6955269905695095E-4</v>
      </c>
      <c r="CQ109" s="11">
        <v>-7.5377770511287061E-3</v>
      </c>
      <c r="CR109" s="11">
        <v>2.5206152204712642E-2</v>
      </c>
      <c r="CS109" s="1">
        <v>-2.9742137992943146E-3</v>
      </c>
      <c r="CT109" s="3">
        <f t="shared" si="227"/>
        <v>2.5342557102704638E-2</v>
      </c>
      <c r="CU109" s="11">
        <f t="shared" si="236"/>
        <v>0.93828293839219501</v>
      </c>
      <c r="CV109" s="3">
        <v>5.8706642303573246E-3</v>
      </c>
      <c r="CW109" s="11">
        <v>0</v>
      </c>
      <c r="CX109" s="11"/>
      <c r="DA109" s="7">
        <v>2.75</v>
      </c>
      <c r="DB109" s="7">
        <v>2.75</v>
      </c>
      <c r="DC109" s="11">
        <v>7.6955269905695095E-4</v>
      </c>
      <c r="DD109" s="11">
        <v>-7.5377770511287061E-3</v>
      </c>
      <c r="DE109" s="11">
        <v>2.5206152204712642E-2</v>
      </c>
      <c r="DF109" s="1">
        <v>-2.9742137992943146E-3</v>
      </c>
      <c r="DG109" s="3">
        <f t="shared" si="228"/>
        <v>2.5342557102704638E-2</v>
      </c>
      <c r="DH109" s="11">
        <f t="shared" si="237"/>
        <v>0.93828293839219501</v>
      </c>
      <c r="DI109" s="3">
        <v>5.8706642303573246E-3</v>
      </c>
      <c r="DJ109" s="11">
        <v>0</v>
      </c>
      <c r="DK109" s="11"/>
    </row>
    <row r="110" spans="1:115" x14ac:dyDescent="0.25">
      <c r="A110" s="7">
        <v>3</v>
      </c>
      <c r="B110" s="7">
        <v>2.75</v>
      </c>
      <c r="C110" s="11">
        <v>7.6955269905695095E-4</v>
      </c>
      <c r="D110" s="11">
        <v>-7.5377770511287061E-3</v>
      </c>
      <c r="E110" s="11">
        <v>2.5206152204712642E-2</v>
      </c>
      <c r="F110" s="1">
        <v>-2.9742137992943146E-3</v>
      </c>
      <c r="G110" s="3">
        <f t="shared" si="220"/>
        <v>2.5582172229222926E-2</v>
      </c>
      <c r="H110" s="11">
        <f t="shared" si="229"/>
        <v>0.93237574202135676</v>
      </c>
      <c r="I110" s="3">
        <v>5.9071963708382108E-3</v>
      </c>
      <c r="J110" s="11">
        <v>0.93237574202135676</v>
      </c>
      <c r="N110" s="7">
        <v>3</v>
      </c>
      <c r="O110" s="7">
        <v>2.75</v>
      </c>
      <c r="P110" s="11">
        <v>7.6955269905695095E-4</v>
      </c>
      <c r="Q110" s="11">
        <v>-7.5377770511287061E-3</v>
      </c>
      <c r="R110" s="11">
        <v>2.5206152204712642E-2</v>
      </c>
      <c r="S110" s="1">
        <v>-2.9742137992943146E-3</v>
      </c>
      <c r="T110" s="3">
        <f t="shared" si="221"/>
        <v>2.5582172229222926E-2</v>
      </c>
      <c r="U110" s="11">
        <f t="shared" si="230"/>
        <v>0.93237110844316751</v>
      </c>
      <c r="V110" s="3">
        <v>5.907167014158248E-3</v>
      </c>
      <c r="W110" s="11">
        <v>0.93237110844316751</v>
      </c>
      <c r="AA110" s="7">
        <v>3</v>
      </c>
      <c r="AB110" s="7">
        <v>2.75</v>
      </c>
      <c r="AC110" s="11">
        <v>7.6955269905695095E-4</v>
      </c>
      <c r="AD110" s="11">
        <v>-7.5377770511287061E-3</v>
      </c>
      <c r="AE110" s="11">
        <v>2.5206152204712642E-2</v>
      </c>
      <c r="AF110" s="1">
        <v>-2.9742137992943146E-3</v>
      </c>
      <c r="AG110" s="3">
        <f t="shared" si="222"/>
        <v>2.5582172229222926E-2</v>
      </c>
      <c r="AH110" s="11">
        <f t="shared" si="231"/>
        <v>0.93236762732208578</v>
      </c>
      <c r="AI110" s="3">
        <v>5.9071449590307988E-3</v>
      </c>
      <c r="AJ110" s="11">
        <v>0.93236762732208578</v>
      </c>
      <c r="AK110" s="11"/>
      <c r="AN110" s="7">
        <v>3</v>
      </c>
      <c r="AO110" s="7">
        <v>2.75</v>
      </c>
      <c r="AP110" s="11">
        <v>7.6455269905695115E-4</v>
      </c>
      <c r="AQ110" s="11">
        <v>-7.4865270511287087E-3</v>
      </c>
      <c r="AR110" s="11">
        <v>2.503271470471265E-2</v>
      </c>
      <c r="AS110" s="1">
        <v>-2.7808544242943212E-3</v>
      </c>
      <c r="AT110" s="3">
        <f t="shared" si="223"/>
        <v>2.5581469104222938E-2</v>
      </c>
      <c r="AU110" s="11">
        <f t="shared" si="232"/>
        <v>0.93236611081123955</v>
      </c>
      <c r="AV110" s="3">
        <v>5.9071353509651181E-3</v>
      </c>
      <c r="AW110" s="11">
        <v>0.93236611081123955</v>
      </c>
      <c r="AX110" s="11"/>
      <c r="BA110" s="7">
        <v>3</v>
      </c>
      <c r="BB110" s="7">
        <v>2.75</v>
      </c>
      <c r="BC110" s="11">
        <v>7.8455269905695034E-4</v>
      </c>
      <c r="BD110" s="11">
        <v>-7.6865270511287005E-3</v>
      </c>
      <c r="BE110" s="11">
        <v>2.5683964704712622E-2</v>
      </c>
      <c r="BF110" s="1">
        <v>-3.4652294242942805E-3</v>
      </c>
      <c r="BG110" s="3">
        <f t="shared" si="224"/>
        <v>2.5590844104222937E-2</v>
      </c>
      <c r="BH110" s="11">
        <f t="shared" si="233"/>
        <v>0.93236995114419663</v>
      </c>
      <c r="BI110" s="3">
        <v>5.9094906068072935E-3</v>
      </c>
      <c r="BJ110" s="11">
        <v>0.93236995114419663</v>
      </c>
      <c r="BK110" s="11"/>
      <c r="BN110" s="7">
        <v>3</v>
      </c>
      <c r="BO110" s="7">
        <v>2.75</v>
      </c>
      <c r="BP110" s="11">
        <v>7.5455269905695156E-4</v>
      </c>
      <c r="BQ110" s="11">
        <v>-7.3940270511287116E-3</v>
      </c>
      <c r="BR110" s="11">
        <v>2.4760839704712649E-2</v>
      </c>
      <c r="BS110" s="1">
        <v>-2.5247606742943157E-3</v>
      </c>
      <c r="BT110" s="3">
        <f t="shared" si="225"/>
        <v>2.5584437854222916E-2</v>
      </c>
      <c r="BU110" s="11">
        <f t="shared" si="234"/>
        <v>0.93237610398965665</v>
      </c>
      <c r="BV110" s="3">
        <v>5.907198664138788E-3</v>
      </c>
      <c r="BW110" s="11">
        <v>0.93237610398965665</v>
      </c>
      <c r="BX110" s="11"/>
      <c r="CA110" s="7">
        <v>3</v>
      </c>
      <c r="CB110" s="7">
        <v>2.75</v>
      </c>
      <c r="CC110" s="11">
        <v>7.7455269905695075E-4</v>
      </c>
      <c r="CD110" s="11">
        <v>-7.5840270511287038E-3</v>
      </c>
      <c r="CE110" s="11">
        <v>2.5347089704712632E-2</v>
      </c>
      <c r="CF110" s="1">
        <v>-3.1160106742943033E-3</v>
      </c>
      <c r="CG110" s="3">
        <f t="shared" si="226"/>
        <v>2.5581937854222921E-2</v>
      </c>
      <c r="CH110" s="11">
        <f t="shared" si="235"/>
        <v>0.93237574202135676</v>
      </c>
      <c r="CI110" s="3">
        <v>5.9071963708382091E-3</v>
      </c>
      <c r="CJ110" s="11">
        <v>0.93237574202135676</v>
      </c>
      <c r="CK110" s="11"/>
      <c r="CN110" s="7">
        <v>3</v>
      </c>
      <c r="CO110" s="7">
        <v>2.75</v>
      </c>
      <c r="CP110" s="11">
        <v>7.6955269905695095E-4</v>
      </c>
      <c r="CQ110" s="11">
        <v>-7.5377770511287061E-3</v>
      </c>
      <c r="CR110" s="11">
        <v>2.5206152204712642E-2</v>
      </c>
      <c r="CS110" s="1">
        <v>-2.9742137992943146E-3</v>
      </c>
      <c r="CT110" s="3">
        <f t="shared" si="227"/>
        <v>2.5582172229222926E-2</v>
      </c>
      <c r="CU110" s="11">
        <f t="shared" si="236"/>
        <v>0.93237574202135676</v>
      </c>
      <c r="CV110" s="3">
        <v>5.9071963708382108E-3</v>
      </c>
      <c r="CW110" s="11">
        <v>0.93237574202135676</v>
      </c>
      <c r="CX110" s="11"/>
      <c r="DA110" s="7">
        <v>3</v>
      </c>
      <c r="DB110" s="7">
        <v>2.75</v>
      </c>
      <c r="DC110" s="11">
        <v>7.6955269905695095E-4</v>
      </c>
      <c r="DD110" s="11">
        <v>-7.5377770511287061E-3</v>
      </c>
      <c r="DE110" s="11">
        <v>2.5206152204712642E-2</v>
      </c>
      <c r="DF110" s="1">
        <v>-2.9742137992943146E-3</v>
      </c>
      <c r="DG110" s="3">
        <f t="shared" si="228"/>
        <v>2.5582172229222926E-2</v>
      </c>
      <c r="DH110" s="11">
        <f t="shared" si="237"/>
        <v>0.93237574202135676</v>
      </c>
      <c r="DI110" s="3">
        <v>5.9071963708382108E-3</v>
      </c>
      <c r="DJ110" s="11">
        <v>0.93237574202135676</v>
      </c>
      <c r="DK110" s="11"/>
    </row>
    <row r="111" spans="1:115" x14ac:dyDescent="0.25">
      <c r="A111" s="7">
        <v>3.25</v>
      </c>
      <c r="B111" s="7">
        <v>2.75</v>
      </c>
      <c r="C111" s="11">
        <v>7.6955269905695095E-4</v>
      </c>
      <c r="D111" s="11">
        <v>-7.5377770511287061E-3</v>
      </c>
      <c r="E111" s="11">
        <v>2.5206152204712642E-2</v>
      </c>
      <c r="F111" s="1">
        <v>-2.9742137992943146E-3</v>
      </c>
      <c r="G111" s="3">
        <f t="shared" si="220"/>
        <v>2.5745312010789209E-2</v>
      </c>
      <c r="H111" s="11">
        <f t="shared" si="229"/>
        <v>0.92645058739917918</v>
      </c>
      <c r="I111" s="3">
        <v>5.9251546221776369E-3</v>
      </c>
      <c r="J111" s="11">
        <v>0</v>
      </c>
      <c r="N111" s="7">
        <v>3.25</v>
      </c>
      <c r="O111" s="7">
        <v>2.75</v>
      </c>
      <c r="P111" s="11">
        <v>7.6955269905695095E-4</v>
      </c>
      <c r="Q111" s="11">
        <v>-7.5377770511287061E-3</v>
      </c>
      <c r="R111" s="11">
        <v>2.5206152204712642E-2</v>
      </c>
      <c r="S111" s="1">
        <v>-2.9742137992943146E-3</v>
      </c>
      <c r="T111" s="3">
        <f t="shared" si="221"/>
        <v>2.5745312010789209E-2</v>
      </c>
      <c r="U111" s="11">
        <f t="shared" si="230"/>
        <v>0.92644598326691596</v>
      </c>
      <c r="V111" s="3">
        <v>5.9251251762515063E-3</v>
      </c>
      <c r="W111" s="11">
        <v>0</v>
      </c>
      <c r="AA111" s="7">
        <v>3.25</v>
      </c>
      <c r="AB111" s="7">
        <v>2.75</v>
      </c>
      <c r="AC111" s="11">
        <v>7.6955269905695095E-4</v>
      </c>
      <c r="AD111" s="11">
        <v>-7.5377770511287061E-3</v>
      </c>
      <c r="AE111" s="11">
        <v>2.5206152204712642E-2</v>
      </c>
      <c r="AF111" s="1">
        <v>-2.9742137992943146E-3</v>
      </c>
      <c r="AG111" s="3">
        <f t="shared" si="222"/>
        <v>2.5745312010789209E-2</v>
      </c>
      <c r="AH111" s="11">
        <f t="shared" si="231"/>
        <v>0.92644252426801077</v>
      </c>
      <c r="AI111" s="3">
        <v>5.9251030540750727E-3</v>
      </c>
      <c r="AJ111" s="11">
        <v>0</v>
      </c>
      <c r="AK111" s="11"/>
      <c r="AN111" s="7">
        <v>3.25</v>
      </c>
      <c r="AO111" s="7">
        <v>2.75</v>
      </c>
      <c r="AP111" s="11">
        <v>7.6455269905695115E-4</v>
      </c>
      <c r="AQ111" s="11">
        <v>-7.4865270511287087E-3</v>
      </c>
      <c r="AR111" s="11">
        <v>2.503271470471265E-2</v>
      </c>
      <c r="AS111" s="1">
        <v>-2.7808544242943212E-3</v>
      </c>
      <c r="AT111" s="3">
        <f t="shared" si="223"/>
        <v>2.5744687010789205E-2</v>
      </c>
      <c r="AU111" s="11">
        <f t="shared" si="232"/>
        <v>0.92644117921052604</v>
      </c>
      <c r="AV111" s="3">
        <v>5.9249316007134846E-3</v>
      </c>
      <c r="AW111" s="11">
        <v>0</v>
      </c>
      <c r="AX111" s="11"/>
      <c r="BA111" s="7">
        <v>3.25</v>
      </c>
      <c r="BB111" s="7">
        <v>2.75</v>
      </c>
      <c r="BC111" s="11">
        <v>7.8455269905695034E-4</v>
      </c>
      <c r="BD111" s="11">
        <v>-7.6865270511287005E-3</v>
      </c>
      <c r="BE111" s="11">
        <v>2.5683964704712622E-2</v>
      </c>
      <c r="BF111" s="1">
        <v>-3.4652294242942805E-3</v>
      </c>
      <c r="BG111" s="3">
        <f t="shared" si="224"/>
        <v>2.5750937010789204E-2</v>
      </c>
      <c r="BH111" s="11">
        <f t="shared" si="233"/>
        <v>0.92644283758715484</v>
      </c>
      <c r="BI111" s="3">
        <v>5.9271135570417022E-3</v>
      </c>
      <c r="BJ111" s="11">
        <v>0</v>
      </c>
      <c r="BK111" s="11"/>
      <c r="BN111" s="7">
        <v>3.25</v>
      </c>
      <c r="BO111" s="7">
        <v>2.75</v>
      </c>
      <c r="BP111" s="11">
        <v>7.5455269905695156E-4</v>
      </c>
      <c r="BQ111" s="11">
        <v>-7.3940270511287116E-3</v>
      </c>
      <c r="BR111" s="11">
        <v>2.4760839704712649E-2</v>
      </c>
      <c r="BS111" s="1">
        <v>-2.5247606742943157E-3</v>
      </c>
      <c r="BT111" s="3">
        <f t="shared" si="225"/>
        <v>2.5750937010789191E-2</v>
      </c>
      <c r="BU111" s="11">
        <f t="shared" si="234"/>
        <v>0.926450425654612</v>
      </c>
      <c r="BV111" s="3">
        <v>5.925678335044697E-3</v>
      </c>
      <c r="BW111" s="11">
        <v>0</v>
      </c>
      <c r="BX111" s="11"/>
      <c r="CA111" s="7">
        <v>3.25</v>
      </c>
      <c r="CB111" s="7">
        <v>2.75</v>
      </c>
      <c r="CC111" s="11">
        <v>7.7455269905695075E-4</v>
      </c>
      <c r="CD111" s="11">
        <v>-7.5840270511287038E-3</v>
      </c>
      <c r="CE111" s="11">
        <v>2.5347089704712632E-2</v>
      </c>
      <c r="CF111" s="1">
        <v>-3.1160106742943033E-3</v>
      </c>
      <c r="CG111" s="3">
        <f t="shared" si="226"/>
        <v>2.5744687010789205E-2</v>
      </c>
      <c r="CH111" s="11">
        <f t="shared" si="235"/>
        <v>0.9264506413384257</v>
      </c>
      <c r="CI111" s="3">
        <v>5.9251006829311439E-3</v>
      </c>
      <c r="CJ111" s="11">
        <v>0</v>
      </c>
      <c r="CK111" s="11"/>
      <c r="CN111" s="7">
        <v>3.25</v>
      </c>
      <c r="CO111" s="7">
        <v>2.75</v>
      </c>
      <c r="CP111" s="11">
        <v>7.6955269905695095E-4</v>
      </c>
      <c r="CQ111" s="11">
        <v>-7.5377770511287061E-3</v>
      </c>
      <c r="CR111" s="11">
        <v>2.5206152204712642E-2</v>
      </c>
      <c r="CS111" s="1">
        <v>-2.9742137992943146E-3</v>
      </c>
      <c r="CT111" s="3">
        <f t="shared" si="227"/>
        <v>2.5745312010789209E-2</v>
      </c>
      <c r="CU111" s="11">
        <f t="shared" si="236"/>
        <v>0.92645058739917918</v>
      </c>
      <c r="CV111" s="3">
        <v>5.9251546221776369E-3</v>
      </c>
      <c r="CW111" s="11">
        <v>0</v>
      </c>
      <c r="CX111" s="11"/>
      <c r="DA111" s="7">
        <v>3.25</v>
      </c>
      <c r="DB111" s="7">
        <v>2.75</v>
      </c>
      <c r="DC111" s="11">
        <v>7.6955269905695095E-4</v>
      </c>
      <c r="DD111" s="11">
        <v>-7.5377770511287061E-3</v>
      </c>
      <c r="DE111" s="11">
        <v>2.5206152204712642E-2</v>
      </c>
      <c r="DF111" s="1">
        <v>-2.9742137992943146E-3</v>
      </c>
      <c r="DG111" s="3">
        <f t="shared" si="228"/>
        <v>2.5745312010789209E-2</v>
      </c>
      <c r="DH111" s="11">
        <f t="shared" si="237"/>
        <v>0.92645058739917918</v>
      </c>
      <c r="DI111" s="3">
        <v>5.9251546221776369E-3</v>
      </c>
      <c r="DJ111" s="11">
        <v>0</v>
      </c>
      <c r="DK111" s="11"/>
    </row>
    <row r="112" spans="1:115" x14ac:dyDescent="0.25">
      <c r="A112" s="7">
        <v>3.5</v>
      </c>
      <c r="B112" s="7">
        <v>2.75</v>
      </c>
      <c r="C112" s="11">
        <v>7.6955269905695095E-4</v>
      </c>
      <c r="D112" s="11">
        <v>-7.5377770511287061E-3</v>
      </c>
      <c r="E112" s="11">
        <v>2.5206152204712642E-2</v>
      </c>
      <c r="F112" s="1">
        <v>-2.9742137992943146E-3</v>
      </c>
      <c r="G112" s="3">
        <f t="shared" si="220"/>
        <v>2.5904122012940053E-2</v>
      </c>
      <c r="H112" s="11">
        <f t="shared" si="229"/>
        <v>0.92052578153428521</v>
      </c>
      <c r="I112" s="3">
        <v>5.9248058648939395E-3</v>
      </c>
      <c r="J112" s="11">
        <v>0</v>
      </c>
      <c r="N112" s="7">
        <v>3.5</v>
      </c>
      <c r="O112" s="7">
        <v>2.75</v>
      </c>
      <c r="P112" s="11">
        <v>7.6955269905695095E-4</v>
      </c>
      <c r="Q112" s="11">
        <v>-7.5377770511287061E-3</v>
      </c>
      <c r="R112" s="11">
        <v>2.5206152204712642E-2</v>
      </c>
      <c r="S112" s="1">
        <v>-2.9742137992943146E-3</v>
      </c>
      <c r="T112" s="3">
        <f t="shared" si="221"/>
        <v>2.5904122012940053E-2</v>
      </c>
      <c r="U112" s="11">
        <f t="shared" si="230"/>
        <v>0.92052120684621497</v>
      </c>
      <c r="V112" s="3">
        <v>5.9247764207010093E-3</v>
      </c>
      <c r="W112" s="11">
        <v>0</v>
      </c>
      <c r="AA112" s="7">
        <v>3.5</v>
      </c>
      <c r="AB112" s="7">
        <v>2.75</v>
      </c>
      <c r="AC112" s="11">
        <v>7.6955269905695095E-4</v>
      </c>
      <c r="AD112" s="11">
        <v>-7.5377770511287061E-3</v>
      </c>
      <c r="AE112" s="11">
        <v>2.5206152204712642E-2</v>
      </c>
      <c r="AF112" s="1">
        <v>-2.9742137992943146E-3</v>
      </c>
      <c r="AG112" s="3">
        <f t="shared" si="222"/>
        <v>2.5904122012940053E-2</v>
      </c>
      <c r="AH112" s="11">
        <f t="shared" si="231"/>
        <v>0.92051776996818402</v>
      </c>
      <c r="AI112" s="3">
        <v>5.9247542998266964E-3</v>
      </c>
      <c r="AJ112" s="11">
        <v>0</v>
      </c>
      <c r="AK112" s="11"/>
      <c r="AN112" s="7">
        <v>3.5</v>
      </c>
      <c r="AO112" s="7">
        <v>2.75</v>
      </c>
      <c r="AP112" s="11">
        <v>7.6455269905695115E-4</v>
      </c>
      <c r="AQ112" s="11">
        <v>-7.4865270511287087E-3</v>
      </c>
      <c r="AR112" s="11">
        <v>2.503271470471265E-2</v>
      </c>
      <c r="AS112" s="1">
        <v>-2.7808544242943212E-3</v>
      </c>
      <c r="AT112" s="3">
        <f t="shared" si="223"/>
        <v>2.5903887637940042E-2</v>
      </c>
      <c r="AU112" s="11">
        <f t="shared" si="232"/>
        <v>0.92051657642345974</v>
      </c>
      <c r="AV112" s="3">
        <v>5.9246027870662986E-3</v>
      </c>
      <c r="AW112" s="11">
        <v>0</v>
      </c>
      <c r="AX112" s="11"/>
      <c r="BA112" s="7">
        <v>3.5</v>
      </c>
      <c r="BB112" s="7">
        <v>2.75</v>
      </c>
      <c r="BC112" s="11">
        <v>7.8455269905695034E-4</v>
      </c>
      <c r="BD112" s="11">
        <v>-7.6865270511287005E-3</v>
      </c>
      <c r="BE112" s="11">
        <v>2.5683964704712622E-2</v>
      </c>
      <c r="BF112" s="1">
        <v>-3.4652294242942805E-3</v>
      </c>
      <c r="BG112" s="3">
        <f t="shared" si="224"/>
        <v>2.5906387637940058E-2</v>
      </c>
      <c r="BH112" s="11">
        <f t="shared" si="233"/>
        <v>0.9205167950852513</v>
      </c>
      <c r="BI112" s="3">
        <v>5.9260425019034653E-3</v>
      </c>
      <c r="BJ112" s="11">
        <v>0</v>
      </c>
      <c r="BK112" s="11"/>
      <c r="BN112" s="7">
        <v>3.5</v>
      </c>
      <c r="BO112" s="7">
        <v>2.75</v>
      </c>
      <c r="BP112" s="11">
        <v>7.5455269905695156E-4</v>
      </c>
      <c r="BQ112" s="11">
        <v>-7.3940270511287116E-3</v>
      </c>
      <c r="BR112" s="11">
        <v>2.4760839704712649E-2</v>
      </c>
      <c r="BS112" s="1">
        <v>-2.5247606742943157E-3</v>
      </c>
      <c r="BT112" s="3">
        <f t="shared" si="225"/>
        <v>2.5912793887940037E-2</v>
      </c>
      <c r="BU112" s="11">
        <f t="shared" si="234"/>
        <v>0.92052433461521821</v>
      </c>
      <c r="BV112" s="3">
        <v>5.9260910393937787E-3</v>
      </c>
      <c r="BW112" s="11">
        <v>0</v>
      </c>
      <c r="BX112" s="11"/>
      <c r="CA112" s="7">
        <v>3.5</v>
      </c>
      <c r="CB112" s="7">
        <v>2.75</v>
      </c>
      <c r="CC112" s="11">
        <v>7.7455269905695075E-4</v>
      </c>
      <c r="CD112" s="11">
        <v>-7.5840270511287038E-3</v>
      </c>
      <c r="CE112" s="11">
        <v>2.5347089704712632E-2</v>
      </c>
      <c r="CF112" s="1">
        <v>-3.1160106742943033E-3</v>
      </c>
      <c r="CG112" s="3">
        <f t="shared" si="226"/>
        <v>2.5903418887940052E-2</v>
      </c>
      <c r="CH112" s="11">
        <f t="shared" si="235"/>
        <v>0.92052597804093461</v>
      </c>
      <c r="CI112" s="3">
        <v>5.9246632974911196E-3</v>
      </c>
      <c r="CJ112" s="11">
        <v>0</v>
      </c>
      <c r="CK112" s="11"/>
      <c r="CN112" s="7">
        <v>3.5</v>
      </c>
      <c r="CO112" s="7">
        <v>2.75</v>
      </c>
      <c r="CP112" s="11">
        <v>7.6955269905695095E-4</v>
      </c>
      <c r="CQ112" s="11">
        <v>-7.5377770511287061E-3</v>
      </c>
      <c r="CR112" s="11">
        <v>2.5206152204712642E-2</v>
      </c>
      <c r="CS112" s="1">
        <v>-2.9742137992943146E-3</v>
      </c>
      <c r="CT112" s="3">
        <f t="shared" si="227"/>
        <v>2.5904122012940053E-2</v>
      </c>
      <c r="CU112" s="11">
        <f t="shared" si="236"/>
        <v>0.92052578153428521</v>
      </c>
      <c r="CV112" s="3">
        <v>5.9248058648939395E-3</v>
      </c>
      <c r="CW112" s="11">
        <v>0</v>
      </c>
      <c r="CX112" s="11"/>
      <c r="DA112" s="7">
        <v>3.5</v>
      </c>
      <c r="DB112" s="7">
        <v>2.75</v>
      </c>
      <c r="DC112" s="11">
        <v>7.6955269905695095E-4</v>
      </c>
      <c r="DD112" s="11">
        <v>-7.5377770511287061E-3</v>
      </c>
      <c r="DE112" s="11">
        <v>2.5206152204712642E-2</v>
      </c>
      <c r="DF112" s="1">
        <v>-2.9742137992943146E-3</v>
      </c>
      <c r="DG112" s="3">
        <f t="shared" si="228"/>
        <v>2.5904122012940053E-2</v>
      </c>
      <c r="DH112" s="11">
        <f t="shared" si="237"/>
        <v>0.92052578153428521</v>
      </c>
      <c r="DI112" s="3">
        <v>5.9248058648939395E-3</v>
      </c>
      <c r="DJ112" s="11">
        <v>0</v>
      </c>
      <c r="DK112" s="11"/>
    </row>
    <row r="113" spans="1:115" x14ac:dyDescent="0.25">
      <c r="A113" s="7">
        <v>3.75</v>
      </c>
      <c r="B113" s="7">
        <v>3.75</v>
      </c>
      <c r="C113" s="11">
        <v>-9.9386098284090681E-4</v>
      </c>
      <c r="D113" s="11">
        <v>1.2524935154006149E-2</v>
      </c>
      <c r="E113" s="11">
        <v>-5.0870174628732896E-2</v>
      </c>
      <c r="F113" s="1">
        <v>9.3172639822749898E-2</v>
      </c>
      <c r="G113" s="3">
        <f t="shared" si="220"/>
        <v>2.6130747801212051E-2</v>
      </c>
      <c r="H113" s="11">
        <f t="shared" si="229"/>
        <v>0.91460278599384537</v>
      </c>
      <c r="I113" s="3">
        <v>5.9229955404398677E-3</v>
      </c>
      <c r="J113" s="11">
        <v>0</v>
      </c>
      <c r="N113" s="7">
        <v>3.75</v>
      </c>
      <c r="O113" s="7">
        <v>3.75</v>
      </c>
      <c r="P113" s="11">
        <v>-9.9386098284090681E-4</v>
      </c>
      <c r="Q113" s="11">
        <v>1.2524935154006149E-2</v>
      </c>
      <c r="R113" s="11">
        <v>-5.0870174628732896E-2</v>
      </c>
      <c r="S113" s="1">
        <v>9.3172639822749898E-2</v>
      </c>
      <c r="T113" s="3">
        <f t="shared" si="221"/>
        <v>2.6130747801212051E-2</v>
      </c>
      <c r="U113" s="11">
        <f t="shared" si="230"/>
        <v>0.9145982407409714</v>
      </c>
      <c r="V113" s="3">
        <v>5.9229661052436107E-3</v>
      </c>
      <c r="W113" s="11">
        <v>0</v>
      </c>
      <c r="AA113" s="7">
        <v>3.75</v>
      </c>
      <c r="AB113" s="7">
        <v>3.75</v>
      </c>
      <c r="AC113" s="11">
        <v>-9.9386098284090681E-4</v>
      </c>
      <c r="AD113" s="11">
        <v>1.2524935154006149E-2</v>
      </c>
      <c r="AE113" s="11">
        <v>-5.0870174628732896E-2</v>
      </c>
      <c r="AF113" s="1">
        <v>9.3172639822749898E-2</v>
      </c>
      <c r="AG113" s="3">
        <f t="shared" si="222"/>
        <v>2.6130747801212051E-2</v>
      </c>
      <c r="AH113" s="11">
        <f t="shared" si="231"/>
        <v>0.91459482597705577</v>
      </c>
      <c r="AI113" s="3">
        <v>5.9229439911283321E-3</v>
      </c>
      <c r="AJ113" s="11">
        <v>0</v>
      </c>
      <c r="AK113" s="11"/>
      <c r="AN113" s="7">
        <v>3.75</v>
      </c>
      <c r="AO113" s="7">
        <v>3.75</v>
      </c>
      <c r="AP113" s="11">
        <v>-9.9386098284090681E-4</v>
      </c>
      <c r="AQ113" s="11">
        <v>1.2524935154006149E-2</v>
      </c>
      <c r="AR113" s="11">
        <v>-5.0870174628732896E-2</v>
      </c>
      <c r="AS113" s="1">
        <v>9.3172639822749898E-2</v>
      </c>
      <c r="AT113" s="3">
        <f t="shared" si="223"/>
        <v>2.6130747801212051E-2</v>
      </c>
      <c r="AU113" s="11">
        <f t="shared" si="232"/>
        <v>0.91459369335668972</v>
      </c>
      <c r="AV113" s="3">
        <v>5.9228830667700698E-3</v>
      </c>
      <c r="AW113" s="11">
        <v>0</v>
      </c>
      <c r="AX113" s="11"/>
      <c r="BA113" s="7">
        <v>3.75</v>
      </c>
      <c r="BB113" s="7">
        <v>3.75</v>
      </c>
      <c r="BC113" s="11">
        <v>-9.988609828409066E-4</v>
      </c>
      <c r="BD113" s="11">
        <v>1.2591185154006148E-2</v>
      </c>
      <c r="BE113" s="11">
        <v>-5.1161112128732908E-2</v>
      </c>
      <c r="BF113" s="1">
        <v>9.3595686697749966E-2</v>
      </c>
      <c r="BG113" s="3">
        <f t="shared" si="224"/>
        <v>2.6130747801212065E-2</v>
      </c>
      <c r="BH113" s="11">
        <f t="shared" si="233"/>
        <v>0.91459334266868764</v>
      </c>
      <c r="BI113" s="3">
        <v>5.923452416563591E-3</v>
      </c>
      <c r="BJ113" s="11">
        <v>0</v>
      </c>
      <c r="BK113" s="11"/>
      <c r="BN113" s="7">
        <v>3.75</v>
      </c>
      <c r="BO113" s="7">
        <v>3.75</v>
      </c>
      <c r="BP113" s="11">
        <v>-9.7886098284090742E-4</v>
      </c>
      <c r="BQ113" s="11">
        <v>1.2331185154006157E-2</v>
      </c>
      <c r="BR113" s="11">
        <v>-5.0049862128732928E-2</v>
      </c>
      <c r="BS113" s="1">
        <v>9.204006169774992E-2</v>
      </c>
      <c r="BT113" s="3">
        <f t="shared" si="225"/>
        <v>2.6140747801212061E-2</v>
      </c>
      <c r="BU113" s="11">
        <f t="shared" si="234"/>
        <v>0.9145993783201064</v>
      </c>
      <c r="BV113" s="3">
        <v>5.9249562951117531E-3</v>
      </c>
      <c r="BW113" s="11">
        <v>0</v>
      </c>
      <c r="BX113" s="11"/>
      <c r="CA113" s="7">
        <v>3.75</v>
      </c>
      <c r="CB113" s="7">
        <v>3.75</v>
      </c>
      <c r="CC113" s="11">
        <v>-1.0063609828409063E-3</v>
      </c>
      <c r="CD113" s="11">
        <v>1.2683060154006142E-2</v>
      </c>
      <c r="CE113" s="11">
        <v>-5.1523768378732869E-2</v>
      </c>
      <c r="CF113" s="1">
        <v>9.4059163260249878E-2</v>
      </c>
      <c r="CG113" s="3">
        <f t="shared" si="226"/>
        <v>2.6130747801212051E-2</v>
      </c>
      <c r="CH113" s="11">
        <f t="shared" si="235"/>
        <v>0.91460314097173057</v>
      </c>
      <c r="CI113" s="3">
        <v>5.9228370692041062E-3</v>
      </c>
      <c r="CJ113" s="11">
        <v>0</v>
      </c>
      <c r="CK113" s="11"/>
      <c r="CN113" s="7">
        <v>3.75</v>
      </c>
      <c r="CO113" s="7">
        <v>3.75</v>
      </c>
      <c r="CP113" s="11">
        <v>-9.9136098284090691E-4</v>
      </c>
      <c r="CQ113" s="11">
        <v>1.2494310154006151E-2</v>
      </c>
      <c r="CR113" s="11">
        <v>-5.0745955878732915E-2</v>
      </c>
      <c r="CS113" s="1">
        <v>9.3005647635249933E-2</v>
      </c>
      <c r="CT113" s="3">
        <f t="shared" si="227"/>
        <v>2.6130747801212051E-2</v>
      </c>
      <c r="CU113" s="11">
        <f t="shared" si="236"/>
        <v>0.91460278599384537</v>
      </c>
      <c r="CV113" s="3">
        <v>5.9229955404398677E-3</v>
      </c>
      <c r="CW113" s="11">
        <v>0</v>
      </c>
      <c r="CX113" s="11"/>
      <c r="DA113" s="7">
        <v>3.75</v>
      </c>
      <c r="DB113" s="7">
        <v>3.75</v>
      </c>
      <c r="DC113" s="11">
        <v>-9.9386098284090681E-4</v>
      </c>
      <c r="DD113" s="11">
        <v>1.2524935154006149E-2</v>
      </c>
      <c r="DE113" s="11">
        <v>-5.0870174628732896E-2</v>
      </c>
      <c r="DF113" s="1">
        <v>9.3172639822749898E-2</v>
      </c>
      <c r="DG113" s="3">
        <f t="shared" si="228"/>
        <v>2.6130747801212051E-2</v>
      </c>
      <c r="DH113" s="11">
        <f t="shared" si="237"/>
        <v>0.91460278599384537</v>
      </c>
      <c r="DI113" s="3">
        <v>5.9229955404398677E-3</v>
      </c>
      <c r="DJ113" s="11">
        <v>0</v>
      </c>
      <c r="DK113" s="11"/>
    </row>
    <row r="114" spans="1:115" x14ac:dyDescent="0.25">
      <c r="A114" s="7">
        <v>4</v>
      </c>
      <c r="B114" s="7">
        <v>3.75</v>
      </c>
      <c r="C114" s="11">
        <v>-9.9386098284090681E-4</v>
      </c>
      <c r="D114" s="11">
        <v>1.2524935154006149E-2</v>
      </c>
      <c r="E114" s="11">
        <v>-5.0870174628732896E-2</v>
      </c>
      <c r="F114" s="1">
        <v>9.3172639822749898E-2</v>
      </c>
      <c r="G114" s="3">
        <f t="shared" si="220"/>
        <v>2.6483800870098662E-2</v>
      </c>
      <c r="H114" s="11">
        <f t="shared" si="229"/>
        <v>0.90866675057022095</v>
      </c>
      <c r="I114" s="3">
        <v>5.936035423624325E-3</v>
      </c>
      <c r="J114" s="11">
        <v>0.90866675057022095</v>
      </c>
      <c r="N114" s="7">
        <v>4</v>
      </c>
      <c r="O114" s="7">
        <v>3.75</v>
      </c>
      <c r="P114" s="11">
        <v>-9.9386098284090681E-4</v>
      </c>
      <c r="Q114" s="11">
        <v>1.2524935154006149E-2</v>
      </c>
      <c r="R114" s="11">
        <v>-5.0870174628732896E-2</v>
      </c>
      <c r="S114" s="1">
        <v>9.3172639822749898E-2</v>
      </c>
      <c r="T114" s="3">
        <f t="shared" si="221"/>
        <v>2.6483800870098662E-2</v>
      </c>
      <c r="U114" s="11">
        <f t="shared" si="230"/>
        <v>0.90866223481734687</v>
      </c>
      <c r="V114" s="3">
        <v>5.9360059236244541E-3</v>
      </c>
      <c r="W114" s="11">
        <v>0.90866223481734687</v>
      </c>
      <c r="AA114" s="7">
        <v>4</v>
      </c>
      <c r="AB114" s="7">
        <v>3.75</v>
      </c>
      <c r="AC114" s="11">
        <v>-9.9386098284090681E-4</v>
      </c>
      <c r="AD114" s="11">
        <v>1.2524935154006149E-2</v>
      </c>
      <c r="AE114" s="11">
        <v>-5.0870174628732896E-2</v>
      </c>
      <c r="AF114" s="1">
        <v>9.3172639822749898E-2</v>
      </c>
      <c r="AG114" s="3">
        <f t="shared" si="222"/>
        <v>2.6483800870098662E-2</v>
      </c>
      <c r="AH114" s="11">
        <f t="shared" si="231"/>
        <v>0.90865884221623228</v>
      </c>
      <c r="AI114" s="3">
        <v>5.9359837608234248E-3</v>
      </c>
      <c r="AJ114" s="11">
        <v>0.90865884221623228</v>
      </c>
      <c r="AK114" s="11"/>
      <c r="AN114" s="7">
        <v>4</v>
      </c>
      <c r="AO114" s="7">
        <v>3.75</v>
      </c>
      <c r="AP114" s="11">
        <v>-9.9386098284090681E-4</v>
      </c>
      <c r="AQ114" s="11">
        <v>1.2524935154006149E-2</v>
      </c>
      <c r="AR114" s="11">
        <v>-5.0870174628732896E-2</v>
      </c>
      <c r="AS114" s="1">
        <v>9.3172639822749898E-2</v>
      </c>
      <c r="AT114" s="3">
        <f t="shared" si="223"/>
        <v>2.6483800870098662E-2</v>
      </c>
      <c r="AU114" s="11">
        <f t="shared" si="232"/>
        <v>0.90865771694689856</v>
      </c>
      <c r="AV114" s="3">
        <v>5.9359764097911332E-3</v>
      </c>
      <c r="AW114" s="11">
        <v>0.90865771694689856</v>
      </c>
      <c r="AX114" s="11"/>
      <c r="BA114" s="7">
        <v>4</v>
      </c>
      <c r="BB114" s="7">
        <v>3.75</v>
      </c>
      <c r="BC114" s="11">
        <v>-9.988609828409066E-4</v>
      </c>
      <c r="BD114" s="11">
        <v>1.2591185154006148E-2</v>
      </c>
      <c r="BE114" s="11">
        <v>-5.1161112128732908E-2</v>
      </c>
      <c r="BF114" s="1">
        <v>9.3595686697749966E-2</v>
      </c>
      <c r="BG114" s="3">
        <f t="shared" si="224"/>
        <v>2.6483097745098674E-2</v>
      </c>
      <c r="BH114" s="11">
        <f t="shared" si="233"/>
        <v>0.9086573685349626</v>
      </c>
      <c r="BI114" s="3">
        <v>5.9359741337250286E-3</v>
      </c>
      <c r="BJ114" s="11">
        <v>0.9086573685349626</v>
      </c>
      <c r="BK114" s="11"/>
      <c r="BN114" s="7">
        <v>4</v>
      </c>
      <c r="BO114" s="7">
        <v>3.75</v>
      </c>
      <c r="BP114" s="11">
        <v>-9.7886098284090742E-4</v>
      </c>
      <c r="BQ114" s="11">
        <v>1.2331185154006157E-2</v>
      </c>
      <c r="BR114" s="11">
        <v>-5.0049862128732928E-2</v>
      </c>
      <c r="BS114" s="1">
        <v>9.204006169774992E-2</v>
      </c>
      <c r="BT114" s="3">
        <f t="shared" si="225"/>
        <v>2.6492472745098639E-2</v>
      </c>
      <c r="BU114" s="11">
        <f t="shared" si="234"/>
        <v>0.90866110810417611</v>
      </c>
      <c r="BV114" s="3">
        <v>5.9382702159302891E-3</v>
      </c>
      <c r="BW114" s="11">
        <v>0.90866110810417611</v>
      </c>
      <c r="BX114" s="11"/>
      <c r="CA114" s="7">
        <v>4</v>
      </c>
      <c r="CB114" s="7">
        <v>3.75</v>
      </c>
      <c r="CC114" s="11">
        <v>-1.0063609828409063E-3</v>
      </c>
      <c r="CD114" s="11">
        <v>1.2683060154006142E-2</v>
      </c>
      <c r="CE114" s="11">
        <v>-5.1523768378732869E-2</v>
      </c>
      <c r="CF114" s="1">
        <v>9.4059163260249878E-2</v>
      </c>
      <c r="CG114" s="3">
        <f t="shared" si="226"/>
        <v>2.6485949307598677E-2</v>
      </c>
      <c r="CH114" s="11">
        <f t="shared" si="235"/>
        <v>0.90866710324419753</v>
      </c>
      <c r="CI114" s="3">
        <v>5.9360377275330094E-3</v>
      </c>
      <c r="CJ114" s="11">
        <v>0.90866710324419753</v>
      </c>
      <c r="CK114" s="11"/>
      <c r="CN114" s="7">
        <v>4</v>
      </c>
      <c r="CO114" s="7">
        <v>3.75</v>
      </c>
      <c r="CP114" s="11">
        <v>-9.9136098284090691E-4</v>
      </c>
      <c r="CQ114" s="11">
        <v>1.2494310154006151E-2</v>
      </c>
      <c r="CR114" s="11">
        <v>-5.0745955878732915E-2</v>
      </c>
      <c r="CS114" s="1">
        <v>9.3005647635249933E-2</v>
      </c>
      <c r="CT114" s="3">
        <f t="shared" si="227"/>
        <v>2.6483683682598652E-2</v>
      </c>
      <c r="CU114" s="11">
        <f t="shared" si="236"/>
        <v>0.90866675057022095</v>
      </c>
      <c r="CV114" s="3">
        <v>5.936035423624325E-3</v>
      </c>
      <c r="CW114" s="11">
        <v>0.90866675057022095</v>
      </c>
      <c r="CX114" s="11"/>
      <c r="DA114" s="7">
        <v>4</v>
      </c>
      <c r="DB114" s="7">
        <v>3.75</v>
      </c>
      <c r="DC114" s="11">
        <v>-9.9386098284090681E-4</v>
      </c>
      <c r="DD114" s="11">
        <v>1.2524935154006149E-2</v>
      </c>
      <c r="DE114" s="11">
        <v>-5.0870174628732896E-2</v>
      </c>
      <c r="DF114" s="1">
        <v>9.3172639822749898E-2</v>
      </c>
      <c r="DG114" s="3">
        <f t="shared" si="228"/>
        <v>2.6483800870098662E-2</v>
      </c>
      <c r="DH114" s="11">
        <f t="shared" si="237"/>
        <v>0.90866675057022095</v>
      </c>
      <c r="DI114" s="3">
        <v>5.936035423624325E-3</v>
      </c>
      <c r="DJ114" s="11">
        <v>0.90866675057022095</v>
      </c>
      <c r="DK114" s="11"/>
    </row>
    <row r="115" spans="1:115" x14ac:dyDescent="0.25">
      <c r="A115" s="7">
        <v>4.25</v>
      </c>
      <c r="B115" s="7">
        <v>3.75</v>
      </c>
      <c r="C115" s="11">
        <v>-9.9386098284090681E-4</v>
      </c>
      <c r="D115" s="11">
        <v>1.2524935154006149E-2</v>
      </c>
      <c r="E115" s="11">
        <v>-5.0870174628732896E-2</v>
      </c>
      <c r="F115" s="1">
        <v>9.3172639822749898E-2</v>
      </c>
      <c r="G115" s="3">
        <f t="shared" si="220"/>
        <v>2.6911679358974677E-2</v>
      </c>
      <c r="H115" s="11">
        <f t="shared" si="229"/>
        <v>0.90269008445916366</v>
      </c>
      <c r="I115" s="3">
        <v>5.9766661110572583E-3</v>
      </c>
      <c r="J115" s="11">
        <v>0</v>
      </c>
      <c r="N115" s="7">
        <v>4.25</v>
      </c>
      <c r="O115" s="7">
        <v>3.75</v>
      </c>
      <c r="P115" s="11">
        <v>-9.9386098284090681E-4</v>
      </c>
      <c r="Q115" s="11">
        <v>1.2524935154006149E-2</v>
      </c>
      <c r="R115" s="11">
        <v>-5.0870174628732896E-2</v>
      </c>
      <c r="S115" s="1">
        <v>9.3172639822749898E-2</v>
      </c>
      <c r="T115" s="3">
        <f t="shared" si="221"/>
        <v>2.6911679358974677E-2</v>
      </c>
      <c r="U115" s="11">
        <f t="shared" si="230"/>
        <v>0.90268559840820961</v>
      </c>
      <c r="V115" s="3">
        <v>5.9766364091372185E-3</v>
      </c>
      <c r="W115" s="11">
        <v>0</v>
      </c>
      <c r="AA115" s="7">
        <v>4.25</v>
      </c>
      <c r="AB115" s="7">
        <v>3.75</v>
      </c>
      <c r="AC115" s="11">
        <v>-9.9386098284090681E-4</v>
      </c>
      <c r="AD115" s="11">
        <v>1.2524935154006149E-2</v>
      </c>
      <c r="AE115" s="11">
        <v>-5.0870174628732896E-2</v>
      </c>
      <c r="AF115" s="1">
        <v>9.3172639822749898E-2</v>
      </c>
      <c r="AG115" s="3">
        <f t="shared" si="222"/>
        <v>2.6911679358974677E-2</v>
      </c>
      <c r="AH115" s="11">
        <f t="shared" si="231"/>
        <v>0.90268222812159493</v>
      </c>
      <c r="AI115" s="3">
        <v>5.9766140946373239E-3</v>
      </c>
      <c r="AJ115" s="11">
        <v>0</v>
      </c>
      <c r="AK115" s="11"/>
      <c r="AN115" s="7">
        <v>4.25</v>
      </c>
      <c r="AO115" s="7">
        <v>3.75</v>
      </c>
      <c r="AP115" s="11">
        <v>-9.9386098284090681E-4</v>
      </c>
      <c r="AQ115" s="11">
        <v>1.2524935154006149E-2</v>
      </c>
      <c r="AR115" s="11">
        <v>-5.0870174628732896E-2</v>
      </c>
      <c r="AS115" s="1">
        <v>9.3172639822749898E-2</v>
      </c>
      <c r="AT115" s="3">
        <f t="shared" si="223"/>
        <v>2.6911679358974677E-2</v>
      </c>
      <c r="AU115" s="11">
        <f t="shared" si="232"/>
        <v>0.90268111025360942</v>
      </c>
      <c r="AV115" s="3">
        <v>5.9766066932890414E-3</v>
      </c>
      <c r="AW115" s="11">
        <v>0</v>
      </c>
      <c r="AX115" s="11"/>
      <c r="BA115" s="7">
        <v>4.25</v>
      </c>
      <c r="BB115" s="7">
        <v>3.75</v>
      </c>
      <c r="BC115" s="11">
        <v>-9.988609828409066E-4</v>
      </c>
      <c r="BD115" s="11">
        <v>1.2591185154006148E-2</v>
      </c>
      <c r="BE115" s="11">
        <v>-5.1161112128732908E-2</v>
      </c>
      <c r="BF115" s="1">
        <v>9.3595686697749966E-2</v>
      </c>
      <c r="BG115" s="3">
        <f t="shared" si="224"/>
        <v>2.6911054358974687E-2</v>
      </c>
      <c r="BH115" s="11">
        <f t="shared" si="233"/>
        <v>0.90268092176403436</v>
      </c>
      <c r="BI115" s="3">
        <v>5.9764467709281727E-3</v>
      </c>
      <c r="BJ115" s="11">
        <v>0</v>
      </c>
      <c r="BK115" s="11"/>
      <c r="BN115" s="7">
        <v>4.25</v>
      </c>
      <c r="BO115" s="7">
        <v>3.75</v>
      </c>
      <c r="BP115" s="11">
        <v>-9.7886098284090742E-4</v>
      </c>
      <c r="BQ115" s="11">
        <v>1.2331185154006157E-2</v>
      </c>
      <c r="BR115" s="11">
        <v>-5.0049862128732928E-2</v>
      </c>
      <c r="BS115" s="1">
        <v>9.204006169774992E-2</v>
      </c>
      <c r="BT115" s="3">
        <f t="shared" si="225"/>
        <v>2.6917304358974631E-2</v>
      </c>
      <c r="BU115" s="11">
        <f t="shared" si="234"/>
        <v>0.90268253499024975</v>
      </c>
      <c r="BV115" s="3">
        <v>5.9785731139264352E-3</v>
      </c>
      <c r="BW115" s="11">
        <v>0</v>
      </c>
      <c r="BX115" s="11"/>
      <c r="CA115" s="7">
        <v>4.25</v>
      </c>
      <c r="CB115" s="7">
        <v>3.75</v>
      </c>
      <c r="CC115" s="11">
        <v>-1.0063609828409063E-3</v>
      </c>
      <c r="CD115" s="11">
        <v>1.2683060154006142E-2</v>
      </c>
      <c r="CE115" s="11">
        <v>-5.1523768378732869E-2</v>
      </c>
      <c r="CF115" s="1">
        <v>9.4059163260249878E-2</v>
      </c>
      <c r="CG115" s="3">
        <f t="shared" si="226"/>
        <v>2.6916991858974698E-2</v>
      </c>
      <c r="CH115" s="11">
        <f t="shared" si="235"/>
        <v>0.90268995315923395</v>
      </c>
      <c r="CI115" s="3">
        <v>5.9771500849635237E-3</v>
      </c>
      <c r="CJ115" s="11">
        <v>0</v>
      </c>
      <c r="CK115" s="11"/>
      <c r="CN115" s="7">
        <v>4.25</v>
      </c>
      <c r="CO115" s="7">
        <v>3.75</v>
      </c>
      <c r="CP115" s="11">
        <v>-9.9136098284090691E-4</v>
      </c>
      <c r="CQ115" s="11">
        <v>1.2494310154006151E-2</v>
      </c>
      <c r="CR115" s="11">
        <v>-5.0745955878732915E-2</v>
      </c>
      <c r="CS115" s="1">
        <v>9.3005647635249933E-2</v>
      </c>
      <c r="CT115" s="3">
        <f t="shared" si="227"/>
        <v>2.6911366858974661E-2</v>
      </c>
      <c r="CU115" s="11">
        <f t="shared" si="236"/>
        <v>0.90269011073121719</v>
      </c>
      <c r="CV115" s="3">
        <v>5.9766398390038765E-3</v>
      </c>
      <c r="CW115" s="11">
        <v>0</v>
      </c>
      <c r="CX115" s="11"/>
      <c r="DA115" s="7">
        <v>4.25</v>
      </c>
      <c r="DB115" s="7">
        <v>3.75</v>
      </c>
      <c r="DC115" s="11">
        <v>-9.9386098284090681E-4</v>
      </c>
      <c r="DD115" s="11">
        <v>1.2524935154006149E-2</v>
      </c>
      <c r="DE115" s="11">
        <v>-5.0870174628732896E-2</v>
      </c>
      <c r="DF115" s="1">
        <v>9.3172639822749898E-2</v>
      </c>
      <c r="DG115" s="3">
        <f t="shared" si="228"/>
        <v>2.6911679358974677E-2</v>
      </c>
      <c r="DH115" s="11">
        <f t="shared" si="237"/>
        <v>0.90269008445916366</v>
      </c>
      <c r="DI115" s="3">
        <v>5.9766661110572583E-3</v>
      </c>
      <c r="DJ115" s="11">
        <v>0</v>
      </c>
      <c r="DK115" s="11"/>
    </row>
    <row r="116" spans="1:115" x14ac:dyDescent="0.25">
      <c r="A116" s="7">
        <v>4.5</v>
      </c>
      <c r="B116" s="7">
        <v>3.75</v>
      </c>
      <c r="C116" s="11">
        <v>-9.9386098284090681E-4</v>
      </c>
      <c r="D116" s="11">
        <v>1.2524935154006149E-2</v>
      </c>
      <c r="E116" s="11">
        <v>-5.0870174628732896E-2</v>
      </c>
      <c r="F116" s="1">
        <v>9.3172639822749898E-2</v>
      </c>
      <c r="G116" s="3">
        <f t="shared" si="220"/>
        <v>2.7321208800698743E-2</v>
      </c>
      <c r="H116" s="11">
        <f t="shared" si="229"/>
        <v>0.89665744504519029</v>
      </c>
      <c r="I116" s="3">
        <v>6.0326394139734044E-3</v>
      </c>
      <c r="J116" s="11">
        <v>0</v>
      </c>
      <c r="N116" s="7">
        <v>4.5</v>
      </c>
      <c r="O116" s="7">
        <v>3.75</v>
      </c>
      <c r="P116" s="11">
        <v>-9.9386098284090681E-4</v>
      </c>
      <c r="Q116" s="11">
        <v>1.2524935154006149E-2</v>
      </c>
      <c r="R116" s="11">
        <v>-5.0870174628732896E-2</v>
      </c>
      <c r="S116" s="1">
        <v>9.3172639822749898E-2</v>
      </c>
      <c r="T116" s="3">
        <f t="shared" si="221"/>
        <v>2.7321208800698743E-2</v>
      </c>
      <c r="U116" s="11">
        <f t="shared" si="230"/>
        <v>0.89665298897432377</v>
      </c>
      <c r="V116" s="3">
        <v>6.0326094338858148E-3</v>
      </c>
      <c r="W116" s="11">
        <v>0</v>
      </c>
      <c r="AA116" s="7">
        <v>4.5</v>
      </c>
      <c r="AB116" s="7">
        <v>3.75</v>
      </c>
      <c r="AC116" s="11">
        <v>-9.9386098284090681E-4</v>
      </c>
      <c r="AD116" s="11">
        <v>1.2524935154006149E-2</v>
      </c>
      <c r="AE116" s="11">
        <v>-5.0870174628732896E-2</v>
      </c>
      <c r="AF116" s="1">
        <v>9.3172639822749898E-2</v>
      </c>
      <c r="AG116" s="3">
        <f t="shared" si="222"/>
        <v>2.7321208800698743E-2</v>
      </c>
      <c r="AH116" s="11">
        <f t="shared" si="231"/>
        <v>0.89664964121119117</v>
      </c>
      <c r="AI116" s="3">
        <v>6.0325869104038161E-3</v>
      </c>
      <c r="AJ116" s="11">
        <v>0</v>
      </c>
      <c r="AK116" s="11"/>
      <c r="AN116" s="7">
        <v>4.5</v>
      </c>
      <c r="AO116" s="7">
        <v>3.75</v>
      </c>
      <c r="AP116" s="11">
        <v>-9.9386098284090681E-4</v>
      </c>
      <c r="AQ116" s="11">
        <v>1.2524935154006149E-2</v>
      </c>
      <c r="AR116" s="11">
        <v>-5.0870174628732896E-2</v>
      </c>
      <c r="AS116" s="1">
        <v>9.3172639822749898E-2</v>
      </c>
      <c r="AT116" s="3">
        <f t="shared" si="223"/>
        <v>2.7321208800698743E-2</v>
      </c>
      <c r="AU116" s="11">
        <f t="shared" si="232"/>
        <v>0.89664853081386975</v>
      </c>
      <c r="AV116" s="3">
        <v>6.0325794397396472E-3</v>
      </c>
      <c r="AW116" s="11">
        <v>0</v>
      </c>
      <c r="AX116" s="11"/>
      <c r="BA116" s="7">
        <v>4.5</v>
      </c>
      <c r="BB116" s="7">
        <v>3.75</v>
      </c>
      <c r="BC116" s="11">
        <v>-9.988609828409066E-4</v>
      </c>
      <c r="BD116" s="11">
        <v>1.2591185154006148E-2</v>
      </c>
      <c r="BE116" s="11">
        <v>-5.1161112128732908E-2</v>
      </c>
      <c r="BF116" s="1">
        <v>9.3595686697749966E-2</v>
      </c>
      <c r="BG116" s="3">
        <f t="shared" si="224"/>
        <v>2.7320974425698766E-2</v>
      </c>
      <c r="BH116" s="11">
        <f t="shared" si="233"/>
        <v>0.89664848274899678</v>
      </c>
      <c r="BI116" s="3">
        <v>6.0324390150376071E-3</v>
      </c>
      <c r="BJ116" s="11">
        <v>0</v>
      </c>
      <c r="BK116" s="11"/>
      <c r="BN116" s="7">
        <v>4.5</v>
      </c>
      <c r="BO116" s="7">
        <v>3.75</v>
      </c>
      <c r="BP116" s="11">
        <v>-9.7886098284090742E-4</v>
      </c>
      <c r="BQ116" s="11">
        <v>1.2331185154006157E-2</v>
      </c>
      <c r="BR116" s="11">
        <v>-5.0049862128732928E-2</v>
      </c>
      <c r="BS116" s="1">
        <v>9.204006169774992E-2</v>
      </c>
      <c r="BT116" s="3">
        <f t="shared" si="225"/>
        <v>2.7323474425698741E-2</v>
      </c>
      <c r="BU116" s="11">
        <f t="shared" si="234"/>
        <v>0.89664869354345322</v>
      </c>
      <c r="BV116" s="3">
        <v>6.033841446796525E-3</v>
      </c>
      <c r="BW116" s="11">
        <v>0</v>
      </c>
      <c r="BX116" s="11"/>
      <c r="CA116" s="7">
        <v>4.5</v>
      </c>
      <c r="CB116" s="7">
        <v>3.75</v>
      </c>
      <c r="CC116" s="11">
        <v>-1.0063609828409063E-3</v>
      </c>
      <c r="CD116" s="11">
        <v>1.2683060154006142E-2</v>
      </c>
      <c r="CE116" s="11">
        <v>-5.1523768378732869E-2</v>
      </c>
      <c r="CF116" s="1">
        <v>9.4059163260249878E-2</v>
      </c>
      <c r="CG116" s="3">
        <f t="shared" si="226"/>
        <v>2.7329529113198803E-2</v>
      </c>
      <c r="CH116" s="11">
        <f t="shared" si="235"/>
        <v>0.89665613170985059</v>
      </c>
      <c r="CI116" s="3">
        <v>6.033821449383448E-3</v>
      </c>
      <c r="CJ116" s="11">
        <v>0</v>
      </c>
      <c r="CK116" s="11"/>
      <c r="CN116" s="7">
        <v>4.5</v>
      </c>
      <c r="CO116" s="7">
        <v>3.75</v>
      </c>
      <c r="CP116" s="11">
        <v>-9.9136098284090691E-4</v>
      </c>
      <c r="CQ116" s="11">
        <v>1.2494310154006151E-2</v>
      </c>
      <c r="CR116" s="11">
        <v>-5.0745955878732915E-2</v>
      </c>
      <c r="CS116" s="1">
        <v>9.3005647635249933E-2</v>
      </c>
      <c r="CT116" s="3">
        <f t="shared" si="227"/>
        <v>2.7320857238198742E-2</v>
      </c>
      <c r="CU116" s="11">
        <f t="shared" si="236"/>
        <v>0.8966575407248889</v>
      </c>
      <c r="CV116" s="3">
        <v>6.0325700063283746E-3</v>
      </c>
      <c r="CW116" s="11">
        <v>0</v>
      </c>
      <c r="CX116" s="11"/>
      <c r="DA116" s="7">
        <v>4.5</v>
      </c>
      <c r="DB116" s="7">
        <v>3.75</v>
      </c>
      <c r="DC116" s="11">
        <v>-9.9386098284090681E-4</v>
      </c>
      <c r="DD116" s="11">
        <v>1.2524935154006149E-2</v>
      </c>
      <c r="DE116" s="11">
        <v>-5.0870174628732896E-2</v>
      </c>
      <c r="DF116" s="1">
        <v>9.3172639822749898E-2</v>
      </c>
      <c r="DG116" s="3">
        <f t="shared" si="228"/>
        <v>2.7321208800698743E-2</v>
      </c>
      <c r="DH116" s="11">
        <f t="shared" si="237"/>
        <v>0.89665744504519029</v>
      </c>
      <c r="DI116" s="3">
        <v>6.0326394139734044E-3</v>
      </c>
      <c r="DJ116" s="11">
        <v>0</v>
      </c>
      <c r="DK116" s="11"/>
    </row>
    <row r="117" spans="1:115" x14ac:dyDescent="0.25">
      <c r="A117" s="7">
        <v>4.75</v>
      </c>
      <c r="B117" s="7">
        <v>4.75</v>
      </c>
      <c r="C117" s="11">
        <v>2.714988368595232E-4</v>
      </c>
      <c r="D117" s="11">
        <v>-4.7337175332851852E-3</v>
      </c>
      <c r="E117" s="11">
        <v>2.7437983104561917E-2</v>
      </c>
      <c r="F117" s="1">
        <v>-2.500374258034678E-2</v>
      </c>
      <c r="G117" s="3">
        <f t="shared" si="220"/>
        <v>2.761921472812956E-2</v>
      </c>
      <c r="H117" s="11">
        <f t="shared" si="229"/>
        <v>0.89057455172512257</v>
      </c>
      <c r="I117" s="3">
        <v>6.0828933200676892E-3</v>
      </c>
      <c r="J117" s="11">
        <v>0</v>
      </c>
      <c r="N117" s="7">
        <v>4.75</v>
      </c>
      <c r="O117" s="7">
        <v>4.75</v>
      </c>
      <c r="P117" s="11">
        <v>2.714988368595232E-4</v>
      </c>
      <c r="Q117" s="11">
        <v>-4.7337175332851852E-3</v>
      </c>
      <c r="R117" s="11">
        <v>2.7437983104561917E-2</v>
      </c>
      <c r="S117" s="1">
        <v>-2.500374258034678E-2</v>
      </c>
      <c r="T117" s="3">
        <f t="shared" si="221"/>
        <v>2.761921472812956E-2</v>
      </c>
      <c r="U117" s="11">
        <f t="shared" si="230"/>
        <v>0.89057012588408779</v>
      </c>
      <c r="V117" s="3">
        <v>6.0828630902359316E-3</v>
      </c>
      <c r="W117" s="11">
        <v>0</v>
      </c>
      <c r="AA117" s="7">
        <v>4.75</v>
      </c>
      <c r="AB117" s="7">
        <v>4.75</v>
      </c>
      <c r="AC117" s="11">
        <v>2.714988368595232E-4</v>
      </c>
      <c r="AD117" s="11">
        <v>-4.7337175332851852E-3</v>
      </c>
      <c r="AE117" s="11">
        <v>2.7437983104561917E-2</v>
      </c>
      <c r="AF117" s="1">
        <v>-2.500374258034678E-2</v>
      </c>
      <c r="AG117" s="3">
        <f t="shared" si="222"/>
        <v>2.761921472812956E-2</v>
      </c>
      <c r="AH117" s="11">
        <f t="shared" si="231"/>
        <v>0.8905668008320653</v>
      </c>
      <c r="AI117" s="3">
        <v>6.0828403791257871E-3</v>
      </c>
      <c r="AJ117" s="11">
        <v>0</v>
      </c>
      <c r="AK117" s="11"/>
      <c r="AN117" s="7">
        <v>4.75</v>
      </c>
      <c r="AO117" s="7">
        <v>4.75</v>
      </c>
      <c r="AP117" s="11">
        <v>2.714988368595232E-4</v>
      </c>
      <c r="AQ117" s="11">
        <v>-4.7337175332851852E-3</v>
      </c>
      <c r="AR117" s="11">
        <v>2.7437983104561917E-2</v>
      </c>
      <c r="AS117" s="1">
        <v>-2.500374258034678E-2</v>
      </c>
      <c r="AT117" s="3">
        <f t="shared" si="223"/>
        <v>2.761921472812956E-2</v>
      </c>
      <c r="AU117" s="11">
        <f t="shared" si="232"/>
        <v>0.89056569796764118</v>
      </c>
      <c r="AV117" s="3">
        <v>6.0828328462284838E-3</v>
      </c>
      <c r="AW117" s="11">
        <v>0</v>
      </c>
      <c r="AX117" s="11"/>
      <c r="BA117" s="7">
        <v>4.75</v>
      </c>
      <c r="BB117" s="7">
        <v>4.75</v>
      </c>
      <c r="BC117" s="11">
        <v>2.714988368595232E-4</v>
      </c>
      <c r="BD117" s="11">
        <v>-4.7337175332851852E-3</v>
      </c>
      <c r="BE117" s="11">
        <v>2.7437983104561917E-2</v>
      </c>
      <c r="BF117" s="1">
        <v>-2.500374258034678E-2</v>
      </c>
      <c r="BG117" s="3">
        <f t="shared" si="224"/>
        <v>2.761921472812956E-2</v>
      </c>
      <c r="BH117" s="11">
        <f t="shared" si="233"/>
        <v>0.89056570205642471</v>
      </c>
      <c r="BI117" s="3">
        <v>6.0827806925720113E-3</v>
      </c>
      <c r="BJ117" s="11">
        <v>0</v>
      </c>
      <c r="BK117" s="11"/>
      <c r="BN117" s="7">
        <v>4.75</v>
      </c>
      <c r="BO117" s="7">
        <v>4.75</v>
      </c>
      <c r="BP117" s="11">
        <v>2.7024883685952325E-4</v>
      </c>
      <c r="BQ117" s="11">
        <v>-4.7109050332851858E-3</v>
      </c>
      <c r="BR117" s="11">
        <v>2.7300873729561925E-2</v>
      </c>
      <c r="BS117" s="1">
        <v>-2.4733215236596801E-2</v>
      </c>
      <c r="BT117" s="3">
        <f t="shared" si="225"/>
        <v>2.761921472812956E-2</v>
      </c>
      <c r="BU117" s="11">
        <f t="shared" si="234"/>
        <v>0.89056535859346775</v>
      </c>
      <c r="BV117" s="3">
        <v>6.0833349499854611E-3</v>
      </c>
      <c r="BW117" s="11">
        <v>0</v>
      </c>
      <c r="BX117" s="11"/>
      <c r="CA117" s="7">
        <v>4.75</v>
      </c>
      <c r="CB117" s="7">
        <v>4.75</v>
      </c>
      <c r="CC117" s="11">
        <v>2.739988368595231E-4</v>
      </c>
      <c r="CD117" s="11">
        <v>-4.7780925332851828E-3</v>
      </c>
      <c r="CE117" s="11">
        <v>2.7692826854561901E-2</v>
      </c>
      <c r="CF117" s="1">
        <v>-2.5470969142846731E-2</v>
      </c>
      <c r="CG117" s="3">
        <f t="shared" si="226"/>
        <v>2.7629214728129556E-2</v>
      </c>
      <c r="CH117" s="11">
        <f t="shared" si="235"/>
        <v>0.89057140740831364</v>
      </c>
      <c r="CI117" s="3">
        <v>6.0847243015369852E-3</v>
      </c>
      <c r="CJ117" s="11">
        <v>0</v>
      </c>
      <c r="CK117" s="11"/>
      <c r="CN117" s="7">
        <v>4.75</v>
      </c>
      <c r="CO117" s="7">
        <v>4.75</v>
      </c>
      <c r="CP117" s="11">
        <v>2.6983217019285657E-4</v>
      </c>
      <c r="CQ117" s="11">
        <v>-4.7053841999518519E-3</v>
      </c>
      <c r="CR117" s="11">
        <v>2.7284128937895249E-2</v>
      </c>
      <c r="CS117" s="1">
        <v>-2.4733586330346752E-2</v>
      </c>
      <c r="CT117" s="3">
        <f t="shared" si="227"/>
        <v>2.761921472812956E-2</v>
      </c>
      <c r="CU117" s="11">
        <f t="shared" si="236"/>
        <v>0.89057472449789998</v>
      </c>
      <c r="CV117" s="3">
        <v>6.0828162269888257E-3</v>
      </c>
      <c r="CW117" s="11">
        <v>0</v>
      </c>
      <c r="CX117" s="11"/>
      <c r="DA117" s="7">
        <v>4.75</v>
      </c>
      <c r="DB117" s="7">
        <v>4.75</v>
      </c>
      <c r="DC117" s="11">
        <v>2.7191550352619E-4</v>
      </c>
      <c r="DD117" s="11">
        <v>-4.7404883666185204E-3</v>
      </c>
      <c r="DE117" s="11">
        <v>2.7474102896228595E-2</v>
      </c>
      <c r="DF117" s="1">
        <v>-2.5067199611596785E-2</v>
      </c>
      <c r="DG117" s="3">
        <f t="shared" si="228"/>
        <v>2.761921472812956E-2</v>
      </c>
      <c r="DH117" s="11">
        <f t="shared" si="237"/>
        <v>0.89057455172512257</v>
      </c>
      <c r="DI117" s="3">
        <v>6.0828933200676892E-3</v>
      </c>
      <c r="DJ117" s="11">
        <v>0</v>
      </c>
      <c r="DK117" s="11"/>
    </row>
    <row r="118" spans="1:115" x14ac:dyDescent="0.25">
      <c r="A118" s="7">
        <v>5</v>
      </c>
      <c r="B118" s="7">
        <v>4.75</v>
      </c>
      <c r="C118" s="11">
        <v>2.714988368595232E-4</v>
      </c>
      <c r="D118" s="11">
        <v>-4.7337175332851852E-3</v>
      </c>
      <c r="E118" s="11">
        <v>2.7437983104561917E-2</v>
      </c>
      <c r="F118" s="1">
        <v>-2.500374258034678E-2</v>
      </c>
      <c r="G118" s="3">
        <f t="shared" si="220"/>
        <v>2.7780589217773585E-2</v>
      </c>
      <c r="H118" s="11">
        <f t="shared" si="229"/>
        <v>0.88446747743032372</v>
      </c>
      <c r="I118" s="3">
        <v>6.1070742947987987E-3</v>
      </c>
      <c r="J118" s="11">
        <v>0.88446747743032372</v>
      </c>
      <c r="N118" s="7">
        <v>5</v>
      </c>
      <c r="O118" s="7">
        <v>4.75</v>
      </c>
      <c r="P118" s="11">
        <v>2.714988368595232E-4</v>
      </c>
      <c r="Q118" s="11">
        <v>-4.7337175332851852E-3</v>
      </c>
      <c r="R118" s="11">
        <v>2.7437983104561917E-2</v>
      </c>
      <c r="S118" s="1">
        <v>-2.500374258034678E-2</v>
      </c>
      <c r="T118" s="3">
        <f t="shared" si="221"/>
        <v>2.7780589217773585E-2</v>
      </c>
      <c r="U118" s="11">
        <f t="shared" si="230"/>
        <v>0.88446308193929157</v>
      </c>
      <c r="V118" s="3">
        <v>6.1070439447961358E-3</v>
      </c>
      <c r="W118" s="11">
        <v>0.88446308193929157</v>
      </c>
      <c r="AA118" s="7">
        <v>5</v>
      </c>
      <c r="AB118" s="7">
        <v>4.75</v>
      </c>
      <c r="AC118" s="11">
        <v>2.714988368595232E-4</v>
      </c>
      <c r="AD118" s="11">
        <v>-4.7337175332851852E-3</v>
      </c>
      <c r="AE118" s="11">
        <v>2.7437983104561917E-2</v>
      </c>
      <c r="AF118" s="1">
        <v>-2.500374258034678E-2</v>
      </c>
      <c r="AG118" s="3">
        <f t="shared" si="222"/>
        <v>2.7780589217773585E-2</v>
      </c>
      <c r="AH118" s="11">
        <f t="shared" si="231"/>
        <v>0.88445977968866141</v>
      </c>
      <c r="AI118" s="3">
        <v>6.1070211434038259E-3</v>
      </c>
      <c r="AJ118" s="11">
        <v>0.88445977968866141</v>
      </c>
      <c r="AK118" s="11"/>
      <c r="AN118" s="7">
        <v>5</v>
      </c>
      <c r="AO118" s="7">
        <v>4.75</v>
      </c>
      <c r="AP118" s="11">
        <v>2.714988368595232E-4</v>
      </c>
      <c r="AQ118" s="11">
        <v>-4.7337175332851852E-3</v>
      </c>
      <c r="AR118" s="11">
        <v>2.7437983104561917E-2</v>
      </c>
      <c r="AS118" s="1">
        <v>-2.500374258034678E-2</v>
      </c>
      <c r="AT118" s="3">
        <f t="shared" si="223"/>
        <v>2.7780589217773585E-2</v>
      </c>
      <c r="AU118" s="11">
        <f t="shared" si="232"/>
        <v>0.88445868438707964</v>
      </c>
      <c r="AV118" s="3">
        <v>6.1070135805614311E-3</v>
      </c>
      <c r="AW118" s="11">
        <v>0.88445868438707964</v>
      </c>
      <c r="AX118" s="11"/>
      <c r="BA118" s="7">
        <v>5</v>
      </c>
      <c r="BB118" s="7">
        <v>4.75</v>
      </c>
      <c r="BC118" s="11">
        <v>2.714988368595232E-4</v>
      </c>
      <c r="BD118" s="11">
        <v>-4.7337175332851852E-3</v>
      </c>
      <c r="BE118" s="11">
        <v>2.7437983104561917E-2</v>
      </c>
      <c r="BF118" s="1">
        <v>-2.500374258034678E-2</v>
      </c>
      <c r="BG118" s="3">
        <f t="shared" si="224"/>
        <v>2.7780589217773585E-2</v>
      </c>
      <c r="BH118" s="11">
        <f t="shared" si="233"/>
        <v>0.88445868844782449</v>
      </c>
      <c r="BI118" s="3">
        <v>6.1070136086000771E-3</v>
      </c>
      <c r="BJ118" s="11">
        <v>0.88445868844782449</v>
      </c>
      <c r="BK118" s="11"/>
      <c r="BN118" s="7">
        <v>5</v>
      </c>
      <c r="BO118" s="7">
        <v>4.75</v>
      </c>
      <c r="BP118" s="11">
        <v>2.7024883685952325E-4</v>
      </c>
      <c r="BQ118" s="11">
        <v>-4.7109050332851858E-3</v>
      </c>
      <c r="BR118" s="11">
        <v>2.7300873729561925E-2</v>
      </c>
      <c r="BS118" s="1">
        <v>-2.4733215236596801E-2</v>
      </c>
      <c r="BT118" s="3">
        <f t="shared" si="225"/>
        <v>2.7779632186523587E-2</v>
      </c>
      <c r="BU118" s="11">
        <f t="shared" si="234"/>
        <v>0.88445834734014905</v>
      </c>
      <c r="BV118" s="3">
        <v>6.107011253318544E-3</v>
      </c>
      <c r="BW118" s="11">
        <v>0.88445834734014905</v>
      </c>
      <c r="BX118" s="11"/>
      <c r="CA118" s="7">
        <v>5</v>
      </c>
      <c r="CB118" s="7">
        <v>4.75</v>
      </c>
      <c r="CC118" s="11">
        <v>2.739988368595231E-4</v>
      </c>
      <c r="CD118" s="11">
        <v>-4.7780925332851828E-3</v>
      </c>
      <c r="CE118" s="11">
        <v>2.7692826854561901E-2</v>
      </c>
      <c r="CF118" s="1">
        <v>-2.5470969142846731E-2</v>
      </c>
      <c r="CG118" s="3">
        <f t="shared" si="226"/>
        <v>2.7790706405273605E-2</v>
      </c>
      <c r="CH118" s="11">
        <f t="shared" si="235"/>
        <v>0.88446215868302402</v>
      </c>
      <c r="CI118" s="3">
        <v>6.1092487252895665E-3</v>
      </c>
      <c r="CJ118" s="11">
        <v>0.88446215868302402</v>
      </c>
      <c r="CK118" s="11"/>
      <c r="CN118" s="7">
        <v>5</v>
      </c>
      <c r="CO118" s="7">
        <v>4.75</v>
      </c>
      <c r="CP118" s="11">
        <v>2.6983217019285657E-4</v>
      </c>
      <c r="CQ118" s="11">
        <v>-4.7053841999518519E-3</v>
      </c>
      <c r="CR118" s="11">
        <v>2.7284128937895249E-2</v>
      </c>
      <c r="CS118" s="1">
        <v>-2.4733586330346752E-2</v>
      </c>
      <c r="CT118" s="3">
        <f t="shared" si="227"/>
        <v>2.7781474634440251E-2</v>
      </c>
      <c r="CU118" s="11">
        <f t="shared" si="236"/>
        <v>0.88446764901831965</v>
      </c>
      <c r="CV118" s="3">
        <v>6.1070754795802254E-3</v>
      </c>
      <c r="CW118" s="11">
        <v>0.88446764901831965</v>
      </c>
      <c r="CX118" s="11"/>
      <c r="DA118" s="7">
        <v>5</v>
      </c>
      <c r="DB118" s="7">
        <v>4.75</v>
      </c>
      <c r="DC118" s="11">
        <v>2.7191550352619E-4</v>
      </c>
      <c r="DD118" s="11">
        <v>-4.7404883666185204E-3</v>
      </c>
      <c r="DE118" s="11">
        <v>2.7474102896228595E-2</v>
      </c>
      <c r="DF118" s="1">
        <v>-2.5067199611596785E-2</v>
      </c>
      <c r="DG118" s="3">
        <f t="shared" si="228"/>
        <v>2.7780543644856937E-2</v>
      </c>
      <c r="DH118" s="11">
        <f t="shared" si="237"/>
        <v>0.88446747743032372</v>
      </c>
      <c r="DI118" s="3">
        <v>6.1070742947987987E-3</v>
      </c>
      <c r="DJ118" s="11">
        <v>0.88446747743032372</v>
      </c>
      <c r="DK118" s="11"/>
    </row>
    <row r="119" spans="1:115" x14ac:dyDescent="0.25">
      <c r="A119" s="7">
        <v>5.25</v>
      </c>
      <c r="B119" s="7">
        <v>4.75</v>
      </c>
      <c r="C119" s="11">
        <v>2.714988368595232E-4</v>
      </c>
      <c r="D119" s="11">
        <v>-4.7337175332851852E-3</v>
      </c>
      <c r="E119" s="11">
        <v>2.7437983104561917E-2</v>
      </c>
      <c r="F119" s="1">
        <v>-2.500374258034678E-2</v>
      </c>
      <c r="G119" s="3">
        <f t="shared" si="220"/>
        <v>2.7859309334868562E-2</v>
      </c>
      <c r="H119" s="11">
        <f t="shared" si="229"/>
        <v>0.87836708861253465</v>
      </c>
      <c r="I119" s="3">
        <v>6.1003888177891385E-3</v>
      </c>
      <c r="J119" s="11">
        <v>0</v>
      </c>
      <c r="N119" s="7">
        <v>5.25</v>
      </c>
      <c r="O119" s="7">
        <v>4.75</v>
      </c>
      <c r="P119" s="11">
        <v>2.714988368595232E-4</v>
      </c>
      <c r="Q119" s="11">
        <v>-4.7337175332851852E-3</v>
      </c>
      <c r="R119" s="11">
        <v>2.7437983104561917E-2</v>
      </c>
      <c r="S119" s="1">
        <v>-2.500374258034678E-2</v>
      </c>
      <c r="T119" s="3">
        <f t="shared" si="221"/>
        <v>2.7859309334868562E-2</v>
      </c>
      <c r="U119" s="11">
        <f t="shared" si="230"/>
        <v>0.8783627234382807</v>
      </c>
      <c r="V119" s="3">
        <v>6.100358501010936E-3</v>
      </c>
      <c r="W119" s="11">
        <v>0</v>
      </c>
      <c r="AA119" s="7">
        <v>5.25</v>
      </c>
      <c r="AB119" s="7">
        <v>4.75</v>
      </c>
      <c r="AC119" s="11">
        <v>2.714988368595232E-4</v>
      </c>
      <c r="AD119" s="11">
        <v>-4.7337175332851852E-3</v>
      </c>
      <c r="AE119" s="11">
        <v>2.7437983104561917E-2</v>
      </c>
      <c r="AF119" s="1">
        <v>-2.500374258034678E-2</v>
      </c>
      <c r="AG119" s="3">
        <f t="shared" si="222"/>
        <v>2.7859309334868562E-2</v>
      </c>
      <c r="AH119" s="11">
        <f t="shared" si="231"/>
        <v>0.87835944396408194</v>
      </c>
      <c r="AI119" s="3">
        <v>6.1003357245795441E-3</v>
      </c>
      <c r="AJ119" s="11">
        <v>0</v>
      </c>
      <c r="AK119" s="11"/>
      <c r="AN119" s="7">
        <v>5.25</v>
      </c>
      <c r="AO119" s="7">
        <v>4.75</v>
      </c>
      <c r="AP119" s="11">
        <v>2.714988368595232E-4</v>
      </c>
      <c r="AQ119" s="11">
        <v>-4.7337175332851852E-3</v>
      </c>
      <c r="AR119" s="11">
        <v>2.7437983104561917E-2</v>
      </c>
      <c r="AS119" s="1">
        <v>-2.500374258034678E-2</v>
      </c>
      <c r="AT119" s="3">
        <f t="shared" si="223"/>
        <v>2.7859309334868562E-2</v>
      </c>
      <c r="AU119" s="11">
        <f t="shared" si="232"/>
        <v>0.87835835621706349</v>
      </c>
      <c r="AV119" s="3">
        <v>6.1003281700162714E-3</v>
      </c>
      <c r="AW119" s="11">
        <v>0</v>
      </c>
      <c r="AX119" s="11"/>
      <c r="BA119" s="7">
        <v>5.25</v>
      </c>
      <c r="BB119" s="7">
        <v>4.75</v>
      </c>
      <c r="BC119" s="11">
        <v>2.714988368595232E-4</v>
      </c>
      <c r="BD119" s="11">
        <v>-4.7337175332851852E-3</v>
      </c>
      <c r="BE119" s="11">
        <v>2.7437983104561917E-2</v>
      </c>
      <c r="BF119" s="1">
        <v>-2.500374258034678E-2</v>
      </c>
      <c r="BG119" s="3">
        <f t="shared" si="224"/>
        <v>2.7859309334868562E-2</v>
      </c>
      <c r="BH119" s="11">
        <f t="shared" si="233"/>
        <v>0.87835836024980041</v>
      </c>
      <c r="BI119" s="3">
        <v>6.1003281980242232E-3</v>
      </c>
      <c r="BJ119" s="11">
        <v>0</v>
      </c>
      <c r="BK119" s="11"/>
      <c r="BN119" s="7">
        <v>5.25</v>
      </c>
      <c r="BO119" s="7">
        <v>4.75</v>
      </c>
      <c r="BP119" s="11">
        <v>2.7024883685952325E-4</v>
      </c>
      <c r="BQ119" s="11">
        <v>-4.7109050332851858E-3</v>
      </c>
      <c r="BR119" s="11">
        <v>2.7300873729561925E-2</v>
      </c>
      <c r="BS119" s="1">
        <v>-2.4733215236596801E-2</v>
      </c>
      <c r="BT119" s="3">
        <f t="shared" si="225"/>
        <v>2.7857903084868574E-2</v>
      </c>
      <c r="BU119" s="11">
        <f t="shared" si="234"/>
        <v>0.87835823019941273</v>
      </c>
      <c r="BV119" s="3">
        <v>6.1001171407363752E-3</v>
      </c>
      <c r="BW119" s="11">
        <v>0</v>
      </c>
      <c r="BX119" s="11"/>
      <c r="CA119" s="7">
        <v>5.25</v>
      </c>
      <c r="CB119" s="7">
        <v>4.75</v>
      </c>
      <c r="CC119" s="11">
        <v>2.739988368595231E-4</v>
      </c>
      <c r="CD119" s="11">
        <v>-4.7780925332851828E-3</v>
      </c>
      <c r="CE119" s="11">
        <v>2.7692826854561901E-2</v>
      </c>
      <c r="CF119" s="1">
        <v>-2.5470969142846731E-2</v>
      </c>
      <c r="CG119" s="3">
        <f t="shared" si="226"/>
        <v>2.7868684334868582E-2</v>
      </c>
      <c r="CH119" s="11">
        <f t="shared" si="235"/>
        <v>0.87835960024088711</v>
      </c>
      <c r="CI119" s="3">
        <v>6.1025584421369964E-3</v>
      </c>
      <c r="CJ119" s="11">
        <v>0</v>
      </c>
      <c r="CK119" s="11"/>
      <c r="CN119" s="7">
        <v>5.25</v>
      </c>
      <c r="CO119" s="7">
        <v>4.75</v>
      </c>
      <c r="CP119" s="11">
        <v>2.6983217019285657E-4</v>
      </c>
      <c r="CQ119" s="11">
        <v>-4.7053841999518519E-3</v>
      </c>
      <c r="CR119" s="11">
        <v>2.7284128937895249E-2</v>
      </c>
      <c r="CS119" s="1">
        <v>-2.4733586330346752E-2</v>
      </c>
      <c r="CT119" s="3">
        <f t="shared" si="227"/>
        <v>2.7861496834868577E-2</v>
      </c>
      <c r="CU119" s="11">
        <f t="shared" si="236"/>
        <v>0.87836706592786895</v>
      </c>
      <c r="CV119" s="3">
        <v>6.1005830904506996E-3</v>
      </c>
      <c r="CW119" s="11">
        <v>0</v>
      </c>
      <c r="CX119" s="11"/>
      <c r="DA119" s="7">
        <v>5.25</v>
      </c>
      <c r="DB119" s="7">
        <v>4.75</v>
      </c>
      <c r="DC119" s="11">
        <v>2.7191550352619E-4</v>
      </c>
      <c r="DD119" s="11">
        <v>-4.7404883666185204E-3</v>
      </c>
      <c r="DE119" s="11">
        <v>2.7474102896228595E-2</v>
      </c>
      <c r="DF119" s="1">
        <v>-2.5067199611596785E-2</v>
      </c>
      <c r="DG119" s="3">
        <f t="shared" si="228"/>
        <v>2.7859153084868582E-2</v>
      </c>
      <c r="DH119" s="11">
        <f t="shared" si="237"/>
        <v>0.87836709855094841</v>
      </c>
      <c r="DI119" s="3">
        <v>6.1003788793752437E-3</v>
      </c>
      <c r="DJ119" s="11">
        <v>0</v>
      </c>
      <c r="DK119" s="11"/>
    </row>
    <row r="120" spans="1:115" x14ac:dyDescent="0.25">
      <c r="A120" s="7">
        <v>5.5</v>
      </c>
      <c r="B120" s="7">
        <v>4.75</v>
      </c>
      <c r="C120" s="11">
        <v>2.714988368595232E-4</v>
      </c>
      <c r="D120" s="11">
        <v>-4.7337175332851852E-3</v>
      </c>
      <c r="E120" s="11">
        <v>2.7437983104561917E-2</v>
      </c>
      <c r="F120" s="1">
        <v>-2.500374258034678E-2</v>
      </c>
      <c r="G120" s="3">
        <f t="shared" si="220"/>
        <v>2.7880828095370097E-2</v>
      </c>
      <c r="H120" s="11">
        <f t="shared" si="229"/>
        <v>0.8722917273469335</v>
      </c>
      <c r="I120" s="3">
        <v>6.0753612656012619E-3</v>
      </c>
      <c r="J120" s="11">
        <v>0</v>
      </c>
      <c r="N120" s="7">
        <v>5.5</v>
      </c>
      <c r="O120" s="7">
        <v>4.75</v>
      </c>
      <c r="P120" s="11">
        <v>2.714988368595232E-4</v>
      </c>
      <c r="Q120" s="11">
        <v>-4.7337175332851852E-3</v>
      </c>
      <c r="R120" s="11">
        <v>2.7437983104561917E-2</v>
      </c>
      <c r="S120" s="1">
        <v>-2.500374258034678E-2</v>
      </c>
      <c r="T120" s="3">
        <f t="shared" si="221"/>
        <v>2.7880828095370097E-2</v>
      </c>
      <c r="U120" s="11">
        <f t="shared" si="230"/>
        <v>0.87228739236507957</v>
      </c>
      <c r="V120" s="3">
        <v>6.0753310732011541E-3</v>
      </c>
      <c r="W120" s="11">
        <v>0</v>
      </c>
      <c r="AA120" s="7">
        <v>5.5</v>
      </c>
      <c r="AB120" s="7">
        <v>4.75</v>
      </c>
      <c r="AC120" s="11">
        <v>2.714988368595232E-4</v>
      </c>
      <c r="AD120" s="11">
        <v>-4.7337175332851852E-3</v>
      </c>
      <c r="AE120" s="11">
        <v>2.7437983104561917E-2</v>
      </c>
      <c r="AF120" s="1">
        <v>-2.500374258034678E-2</v>
      </c>
      <c r="AG120" s="3">
        <f t="shared" si="222"/>
        <v>2.7880828095370097E-2</v>
      </c>
      <c r="AH120" s="11">
        <f t="shared" si="231"/>
        <v>0.8722841355738693</v>
      </c>
      <c r="AI120" s="3">
        <v>6.0753083902127126E-3</v>
      </c>
      <c r="AJ120" s="11">
        <v>0</v>
      </c>
      <c r="AK120" s="11"/>
      <c r="AN120" s="7">
        <v>5.5</v>
      </c>
      <c r="AO120" s="7">
        <v>4.75</v>
      </c>
      <c r="AP120" s="11">
        <v>2.714988368595232E-4</v>
      </c>
      <c r="AQ120" s="11">
        <v>-4.7337175332851852E-3</v>
      </c>
      <c r="AR120" s="11">
        <v>2.7437983104561917E-2</v>
      </c>
      <c r="AS120" s="1">
        <v>-2.500374258034678E-2</v>
      </c>
      <c r="AT120" s="3">
        <f t="shared" si="223"/>
        <v>2.7880828095370097E-2</v>
      </c>
      <c r="AU120" s="11">
        <f t="shared" si="232"/>
        <v>0.87228305535042061</v>
      </c>
      <c r="AV120" s="3">
        <v>6.0753008666429107E-3</v>
      </c>
      <c r="AW120" s="11">
        <v>0</v>
      </c>
      <c r="AX120" s="11"/>
      <c r="BA120" s="7">
        <v>5.5</v>
      </c>
      <c r="BB120" s="7">
        <v>4.75</v>
      </c>
      <c r="BC120" s="11">
        <v>2.714988368595232E-4</v>
      </c>
      <c r="BD120" s="11">
        <v>-4.7337175332851852E-3</v>
      </c>
      <c r="BE120" s="11">
        <v>2.7437983104561917E-2</v>
      </c>
      <c r="BF120" s="1">
        <v>-2.500374258034678E-2</v>
      </c>
      <c r="BG120" s="3">
        <f t="shared" si="224"/>
        <v>2.7880828095370097E-2</v>
      </c>
      <c r="BH120" s="11">
        <f t="shared" si="233"/>
        <v>0.87228305935526451</v>
      </c>
      <c r="BI120" s="3">
        <v>6.0753008945359571E-3</v>
      </c>
      <c r="BJ120" s="11">
        <v>0</v>
      </c>
      <c r="BK120" s="11"/>
      <c r="BN120" s="7">
        <v>5.5</v>
      </c>
      <c r="BO120" s="7">
        <v>4.75</v>
      </c>
      <c r="BP120" s="11">
        <v>2.7024883685952325E-4</v>
      </c>
      <c r="BQ120" s="11">
        <v>-4.7109050332851858E-3</v>
      </c>
      <c r="BR120" s="11">
        <v>2.7300873729561925E-2</v>
      </c>
      <c r="BS120" s="1">
        <v>-2.4733215236596801E-2</v>
      </c>
      <c r="BT120" s="3">
        <f t="shared" si="225"/>
        <v>2.7879363251620076E-2</v>
      </c>
      <c r="BU120" s="11">
        <f t="shared" si="234"/>
        <v>0.8722832347453896</v>
      </c>
      <c r="BV120" s="3">
        <v>6.0749954540231816E-3</v>
      </c>
      <c r="BW120" s="11">
        <v>0</v>
      </c>
      <c r="BX120" s="11"/>
      <c r="CA120" s="7">
        <v>5.5</v>
      </c>
      <c r="CB120" s="7">
        <v>4.75</v>
      </c>
      <c r="CC120" s="11">
        <v>2.739988368595231E-4</v>
      </c>
      <c r="CD120" s="11">
        <v>-4.7780925332851828E-3</v>
      </c>
      <c r="CE120" s="11">
        <v>2.7692826854561901E-2</v>
      </c>
      <c r="CF120" s="1">
        <v>-2.5470969142846731E-2</v>
      </c>
      <c r="CG120" s="3">
        <f t="shared" si="226"/>
        <v>2.7888835907870099E-2</v>
      </c>
      <c r="CH120" s="11">
        <f t="shared" si="235"/>
        <v>0.87228226049870117</v>
      </c>
      <c r="CI120" s="3">
        <v>6.0773397421859769E-3</v>
      </c>
      <c r="CJ120" s="11">
        <v>0</v>
      </c>
      <c r="CK120" s="11"/>
      <c r="CN120" s="7">
        <v>5.5</v>
      </c>
      <c r="CO120" s="7">
        <v>4.75</v>
      </c>
      <c r="CP120" s="11">
        <v>2.6983217019285657E-4</v>
      </c>
      <c r="CQ120" s="11">
        <v>-4.7053841999518519E-3</v>
      </c>
      <c r="CR120" s="11">
        <v>2.7284128937895249E-2</v>
      </c>
      <c r="CS120" s="1">
        <v>-2.4733586330346752E-2</v>
      </c>
      <c r="CT120" s="3">
        <f t="shared" si="227"/>
        <v>2.7884578095370122E-2</v>
      </c>
      <c r="CU120" s="11">
        <f t="shared" si="236"/>
        <v>0.87229123108438356</v>
      </c>
      <c r="CV120" s="3">
        <v>6.0758348434852916E-3</v>
      </c>
      <c r="CW120" s="11">
        <v>0</v>
      </c>
      <c r="CX120" s="11"/>
      <c r="DA120" s="7">
        <v>5.5</v>
      </c>
      <c r="DB120" s="7">
        <v>4.75</v>
      </c>
      <c r="DC120" s="11">
        <v>2.7191550352619E-4</v>
      </c>
      <c r="DD120" s="11">
        <v>-4.7404883666185204E-3</v>
      </c>
      <c r="DE120" s="11">
        <v>2.7474102896228595E-2</v>
      </c>
      <c r="DF120" s="1">
        <v>-2.5067199611596785E-2</v>
      </c>
      <c r="DG120" s="3">
        <f t="shared" si="228"/>
        <v>2.7880535126620115E-2</v>
      </c>
      <c r="DH120" s="11">
        <f t="shared" si="237"/>
        <v>0.87229177105482647</v>
      </c>
      <c r="DI120" s="3">
        <v>6.0753274961218868E-3</v>
      </c>
      <c r="DJ120" s="11">
        <v>0</v>
      </c>
      <c r="DK120" s="11"/>
    </row>
    <row r="121" spans="1:115" x14ac:dyDescent="0.25">
      <c r="A121" s="7">
        <v>5.75</v>
      </c>
      <c r="B121" s="7">
        <v>4.75</v>
      </c>
      <c r="C121" s="11">
        <v>2.714988368595232E-4</v>
      </c>
      <c r="D121" s="11">
        <v>-4.7337175332851852E-3</v>
      </c>
      <c r="E121" s="11">
        <v>2.7437983104561917E-2</v>
      </c>
      <c r="F121" s="1">
        <v>-2.500374258034678E-2</v>
      </c>
      <c r="G121" s="3">
        <f t="shared" si="220"/>
        <v>2.7870598515233727E-2</v>
      </c>
      <c r="H121" s="11">
        <f t="shared" si="229"/>
        <v>0.86625375930936543</v>
      </c>
      <c r="I121" s="3">
        <v>6.0379680375681304E-3</v>
      </c>
      <c r="J121" s="11">
        <v>0</v>
      </c>
      <c r="N121" s="7">
        <v>5.75</v>
      </c>
      <c r="O121" s="7">
        <v>4.75</v>
      </c>
      <c r="P121" s="11">
        <v>2.714988368595232E-4</v>
      </c>
      <c r="Q121" s="11">
        <v>-4.7337175332851852E-3</v>
      </c>
      <c r="R121" s="11">
        <v>2.7437983104561917E-2</v>
      </c>
      <c r="S121" s="1">
        <v>-2.500374258034678E-2</v>
      </c>
      <c r="T121" s="3">
        <f t="shared" si="221"/>
        <v>2.7870598515233727E-2</v>
      </c>
      <c r="U121" s="11">
        <f t="shared" si="230"/>
        <v>0.86624945433408052</v>
      </c>
      <c r="V121" s="3">
        <v>6.0379380309991621E-3</v>
      </c>
      <c r="W121" s="11">
        <v>0</v>
      </c>
      <c r="AA121" s="7">
        <v>5.75</v>
      </c>
      <c r="AB121" s="7">
        <v>4.75</v>
      </c>
      <c r="AC121" s="11">
        <v>2.714988368595232E-4</v>
      </c>
      <c r="AD121" s="11">
        <v>-4.7337175332851852E-3</v>
      </c>
      <c r="AE121" s="11">
        <v>2.7437983104561917E-2</v>
      </c>
      <c r="AF121" s="1">
        <v>-2.500374258034678E-2</v>
      </c>
      <c r="AG121" s="3">
        <f t="shared" si="222"/>
        <v>2.7870598515233727E-2</v>
      </c>
      <c r="AH121" s="11">
        <f t="shared" si="231"/>
        <v>0.86624622008624719</v>
      </c>
      <c r="AI121" s="3">
        <v>6.0379154876221974E-3</v>
      </c>
      <c r="AJ121" s="11">
        <v>0</v>
      </c>
      <c r="AK121" s="11"/>
      <c r="AN121" s="7">
        <v>5.75</v>
      </c>
      <c r="AO121" s="7">
        <v>4.75</v>
      </c>
      <c r="AP121" s="11">
        <v>2.714988368595232E-4</v>
      </c>
      <c r="AQ121" s="11">
        <v>-4.7337175332851852E-3</v>
      </c>
      <c r="AR121" s="11">
        <v>2.7437983104561917E-2</v>
      </c>
      <c r="AS121" s="1">
        <v>-2.500374258034678E-2</v>
      </c>
      <c r="AT121" s="3">
        <f t="shared" si="223"/>
        <v>2.7870598515233727E-2</v>
      </c>
      <c r="AU121" s="11">
        <f t="shared" si="232"/>
        <v>0.86624514734006153</v>
      </c>
      <c r="AV121" s="3">
        <v>6.0379080103591994E-3</v>
      </c>
      <c r="AW121" s="11">
        <v>0</v>
      </c>
      <c r="AX121" s="11"/>
      <c r="BA121" s="7">
        <v>5.75</v>
      </c>
      <c r="BB121" s="7">
        <v>4.75</v>
      </c>
      <c r="BC121" s="11">
        <v>2.714988368595232E-4</v>
      </c>
      <c r="BD121" s="11">
        <v>-4.7337175332851852E-3</v>
      </c>
      <c r="BE121" s="11">
        <v>2.7437983104561917E-2</v>
      </c>
      <c r="BF121" s="1">
        <v>-2.500374258034678E-2</v>
      </c>
      <c r="BG121" s="3">
        <f t="shared" si="224"/>
        <v>2.7870598515233727E-2</v>
      </c>
      <c r="BH121" s="11">
        <f t="shared" si="233"/>
        <v>0.86624515131718405</v>
      </c>
      <c r="BI121" s="3">
        <v>6.0379080380805663E-3</v>
      </c>
      <c r="BJ121" s="11">
        <v>0</v>
      </c>
      <c r="BK121" s="11"/>
      <c r="BN121" s="7">
        <v>5.75</v>
      </c>
      <c r="BO121" s="7">
        <v>4.75</v>
      </c>
      <c r="BP121" s="11">
        <v>2.7024883685952325E-4</v>
      </c>
      <c r="BQ121" s="11">
        <v>-4.7109050332851858E-3</v>
      </c>
      <c r="BR121" s="11">
        <v>2.7300873729561925E-2</v>
      </c>
      <c r="BS121" s="1">
        <v>-2.4733215236596801E-2</v>
      </c>
      <c r="BT121" s="3">
        <f t="shared" si="225"/>
        <v>2.7869348515233733E-2</v>
      </c>
      <c r="BU121" s="11">
        <f t="shared" si="234"/>
        <v>0.86624564052605002</v>
      </c>
      <c r="BV121" s="3">
        <v>6.037594219339513E-3</v>
      </c>
      <c r="BW121" s="11">
        <v>0</v>
      </c>
      <c r="BX121" s="11"/>
      <c r="CA121" s="7">
        <v>5.75</v>
      </c>
      <c r="CB121" s="7">
        <v>4.75</v>
      </c>
      <c r="CC121" s="11">
        <v>2.739988368595231E-4</v>
      </c>
      <c r="CD121" s="11">
        <v>-4.7780925332851828E-3</v>
      </c>
      <c r="CE121" s="11">
        <v>2.7692826854561901E-2</v>
      </c>
      <c r="CF121" s="1">
        <v>-2.5470969142846731E-2</v>
      </c>
      <c r="CG121" s="3">
        <f t="shared" si="226"/>
        <v>2.7876848515233713E-2</v>
      </c>
      <c r="CH121" s="11">
        <f t="shared" si="235"/>
        <v>0.86624263581702576</v>
      </c>
      <c r="CI121" s="3">
        <v>6.0396246816754777E-3</v>
      </c>
      <c r="CJ121" s="11">
        <v>0</v>
      </c>
      <c r="CK121" s="11"/>
      <c r="CN121" s="7">
        <v>5.75</v>
      </c>
      <c r="CO121" s="7">
        <v>4.75</v>
      </c>
      <c r="CP121" s="11">
        <v>2.6983217019285657E-4</v>
      </c>
      <c r="CQ121" s="11">
        <v>-4.7053841999518519E-3</v>
      </c>
      <c r="CR121" s="11">
        <v>2.7284128937895249E-2</v>
      </c>
      <c r="CS121" s="1">
        <v>-2.4733586330346752E-2</v>
      </c>
      <c r="CT121" s="3">
        <f t="shared" si="227"/>
        <v>2.7876015181900402E-2</v>
      </c>
      <c r="CU121" s="11">
        <f t="shared" si="236"/>
        <v>0.86625245999164768</v>
      </c>
      <c r="CV121" s="3">
        <v>6.0387710927358954E-3</v>
      </c>
      <c r="CW121" s="11">
        <v>0</v>
      </c>
      <c r="CX121" s="11"/>
      <c r="DA121" s="7">
        <v>5.75</v>
      </c>
      <c r="DB121" s="7">
        <v>4.75</v>
      </c>
      <c r="DC121" s="11">
        <v>2.7191550352619E-4</v>
      </c>
      <c r="DD121" s="11">
        <v>-4.7404883666185204E-3</v>
      </c>
      <c r="DE121" s="11">
        <v>2.7474102896228595E-2</v>
      </c>
      <c r="DF121" s="1">
        <v>-2.5067199611596785E-2</v>
      </c>
      <c r="DG121" s="3">
        <f t="shared" si="228"/>
        <v>2.7870181848567085E-2</v>
      </c>
      <c r="DH121" s="11">
        <f t="shared" si="237"/>
        <v>0.86625386572186924</v>
      </c>
      <c r="DI121" s="3">
        <v>6.0379053329572604E-3</v>
      </c>
      <c r="DJ121" s="11">
        <v>0</v>
      </c>
      <c r="DK121" s="11"/>
    </row>
    <row r="122" spans="1:115" x14ac:dyDescent="0.25">
      <c r="A122" s="7">
        <v>6</v>
      </c>
      <c r="B122" s="7">
        <v>4.75</v>
      </c>
      <c r="C122" s="11">
        <v>2.714988368595232E-4</v>
      </c>
      <c r="D122" s="11">
        <v>-4.7337175332851852E-3</v>
      </c>
      <c r="E122" s="11">
        <v>2.7437983104561917E-2</v>
      </c>
      <c r="F122" s="1">
        <v>-2.500374258034678E-2</v>
      </c>
      <c r="G122" s="3">
        <f t="shared" si="220"/>
        <v>2.7854073610415073E-2</v>
      </c>
      <c r="H122" s="11">
        <f t="shared" si="229"/>
        <v>0.86025977063780212</v>
      </c>
      <c r="I122" s="3">
        <v>5.9939886715633089E-3</v>
      </c>
      <c r="J122" s="11">
        <v>0.86025977063780212</v>
      </c>
      <c r="N122" s="7">
        <v>6</v>
      </c>
      <c r="O122" s="7">
        <v>4.75</v>
      </c>
      <c r="P122" s="11">
        <v>2.714988368595232E-4</v>
      </c>
      <c r="Q122" s="11">
        <v>-4.7337175332851852E-3</v>
      </c>
      <c r="R122" s="11">
        <v>2.7437983104561917E-2</v>
      </c>
      <c r="S122" s="1">
        <v>-2.500374258034678E-2</v>
      </c>
      <c r="T122" s="3">
        <f t="shared" si="221"/>
        <v>2.7854073610415073E-2</v>
      </c>
      <c r="U122" s="11">
        <f t="shared" si="230"/>
        <v>0.86025549545052427</v>
      </c>
      <c r="V122" s="3">
        <v>5.9939588835562592E-3</v>
      </c>
      <c r="W122" s="11">
        <v>0.86025549545052427</v>
      </c>
      <c r="AA122" s="7">
        <v>6</v>
      </c>
      <c r="AB122" s="7">
        <v>4.75</v>
      </c>
      <c r="AC122" s="11">
        <v>2.714988368595232E-4</v>
      </c>
      <c r="AD122" s="11">
        <v>-4.7337175332851852E-3</v>
      </c>
      <c r="AE122" s="11">
        <v>2.7437983104561917E-2</v>
      </c>
      <c r="AF122" s="1">
        <v>-2.500374258034678E-2</v>
      </c>
      <c r="AG122" s="3">
        <f t="shared" si="222"/>
        <v>2.7854073610415073E-2</v>
      </c>
      <c r="AH122" s="11">
        <f t="shared" si="231"/>
        <v>0.86025228358186634</v>
      </c>
      <c r="AI122" s="3">
        <v>5.9939365043807967E-3</v>
      </c>
      <c r="AJ122" s="11">
        <v>0.86025228358186634</v>
      </c>
      <c r="AK122" s="11"/>
      <c r="AN122" s="7">
        <v>6</v>
      </c>
      <c r="AO122" s="7">
        <v>4.75</v>
      </c>
      <c r="AP122" s="11">
        <v>2.714988368595232E-4</v>
      </c>
      <c r="AQ122" s="11">
        <v>-4.7337175332851852E-3</v>
      </c>
      <c r="AR122" s="11">
        <v>2.7437983104561917E-2</v>
      </c>
      <c r="AS122" s="1">
        <v>-2.500374258034678E-2</v>
      </c>
      <c r="AT122" s="3">
        <f t="shared" si="223"/>
        <v>2.7854073610415073E-2</v>
      </c>
      <c r="AU122" s="11">
        <f t="shared" si="232"/>
        <v>0.86025121825848083</v>
      </c>
      <c r="AV122" s="3">
        <v>5.9939290815807051E-3</v>
      </c>
      <c r="AW122" s="11">
        <v>0.86025121825848083</v>
      </c>
      <c r="AX122" s="11"/>
      <c r="BA122" s="7">
        <v>6</v>
      </c>
      <c r="BB122" s="7">
        <v>4.75</v>
      </c>
      <c r="BC122" s="11">
        <v>2.714988368595232E-4</v>
      </c>
      <c r="BD122" s="11">
        <v>-4.7337175332851852E-3</v>
      </c>
      <c r="BE122" s="11">
        <v>2.7437983104561917E-2</v>
      </c>
      <c r="BF122" s="1">
        <v>-2.500374258034678E-2</v>
      </c>
      <c r="BG122" s="3">
        <f t="shared" si="224"/>
        <v>2.7854073610415073E-2</v>
      </c>
      <c r="BH122" s="11">
        <f t="shared" si="233"/>
        <v>0.86025122220808381</v>
      </c>
      <c r="BI122" s="3">
        <v>5.9939291091001545E-3</v>
      </c>
      <c r="BJ122" s="11">
        <v>0.86025122220808381</v>
      </c>
      <c r="BK122" s="11"/>
      <c r="BN122" s="7">
        <v>6</v>
      </c>
      <c r="BO122" s="7">
        <v>4.75</v>
      </c>
      <c r="BP122" s="11">
        <v>2.7024883685952325E-4</v>
      </c>
      <c r="BQ122" s="11">
        <v>-4.7109050332851858E-3</v>
      </c>
      <c r="BR122" s="11">
        <v>2.7300873729561925E-2</v>
      </c>
      <c r="BS122" s="1">
        <v>-2.4733215236596801E-2</v>
      </c>
      <c r="BT122" s="3">
        <f t="shared" si="225"/>
        <v>2.7853194704165057E-2</v>
      </c>
      <c r="BU122" s="11">
        <f t="shared" si="234"/>
        <v>0.86025197500049833</v>
      </c>
      <c r="BV122" s="3">
        <v>5.9936655255517562E-3</v>
      </c>
      <c r="BW122" s="11">
        <v>0.86025197500049833</v>
      </c>
      <c r="BX122" s="11"/>
      <c r="CA122" s="7">
        <v>6</v>
      </c>
      <c r="CB122" s="7">
        <v>4.75</v>
      </c>
      <c r="CC122" s="11">
        <v>2.739988368595231E-4</v>
      </c>
      <c r="CD122" s="11">
        <v>-4.7780925332851828E-3</v>
      </c>
      <c r="CE122" s="11">
        <v>2.7692826854561901E-2</v>
      </c>
      <c r="CF122" s="1">
        <v>-2.5470969142846731E-2</v>
      </c>
      <c r="CG122" s="3">
        <f t="shared" si="226"/>
        <v>2.7858409547915089E-2</v>
      </c>
      <c r="CH122" s="11">
        <f t="shared" si="235"/>
        <v>0.86024738927789435</v>
      </c>
      <c r="CI122" s="3">
        <v>5.9952465391312866E-3</v>
      </c>
      <c r="CJ122" s="11">
        <v>0.86024738927789435</v>
      </c>
      <c r="CK122" s="11"/>
      <c r="CN122" s="7">
        <v>6</v>
      </c>
      <c r="CO122" s="7">
        <v>4.75</v>
      </c>
      <c r="CP122" s="11">
        <v>2.6983217019285657E-4</v>
      </c>
      <c r="CQ122" s="11">
        <v>-4.7053841999518519E-3</v>
      </c>
      <c r="CR122" s="11">
        <v>2.7284128937895249E-2</v>
      </c>
      <c r="CS122" s="1">
        <v>-2.4733586330346752E-2</v>
      </c>
      <c r="CT122" s="3">
        <f t="shared" si="227"/>
        <v>2.786110486041507E-2</v>
      </c>
      <c r="CU122" s="11">
        <f t="shared" si="236"/>
        <v>0.86025732343951256</v>
      </c>
      <c r="CV122" s="3">
        <v>5.9951365521352142E-3</v>
      </c>
      <c r="CW122" s="11">
        <v>0.86025732343951256</v>
      </c>
      <c r="CX122" s="11"/>
      <c r="DA122" s="7">
        <v>6</v>
      </c>
      <c r="DB122" s="7">
        <v>4.75</v>
      </c>
      <c r="DC122" s="11">
        <v>2.7191550352619E-4</v>
      </c>
      <c r="DD122" s="11">
        <v>-4.7404883666185204E-3</v>
      </c>
      <c r="DE122" s="11">
        <v>2.7474102896228595E-2</v>
      </c>
      <c r="DF122" s="1">
        <v>-2.5067199611596785E-2</v>
      </c>
      <c r="DG122" s="3">
        <f t="shared" si="228"/>
        <v>2.7853585329165098E-2</v>
      </c>
      <c r="DH122" s="11">
        <f t="shared" si="237"/>
        <v>0.86025996530435056</v>
      </c>
      <c r="DI122" s="3">
        <v>5.9939004175185657E-3</v>
      </c>
      <c r="DJ122" s="11">
        <v>0.86025996530435056</v>
      </c>
      <c r="DK122" s="11"/>
    </row>
    <row r="123" spans="1:115" x14ac:dyDescent="0.25">
      <c r="A123" s="7">
        <v>6.25</v>
      </c>
      <c r="B123" s="7">
        <v>4.75</v>
      </c>
      <c r="C123" s="11">
        <v>2.714988368595232E-4</v>
      </c>
      <c r="D123" s="11">
        <v>-4.7337175332851852E-3</v>
      </c>
      <c r="E123" s="11">
        <v>2.7437983104561917E-2</v>
      </c>
      <c r="F123" s="1">
        <v>-2.500374258034678E-2</v>
      </c>
      <c r="G123" s="3">
        <f t="shared" si="220"/>
        <v>2.7856706396869699E-2</v>
      </c>
      <c r="H123" s="11">
        <f t="shared" si="229"/>
        <v>0.85431076192559086</v>
      </c>
      <c r="I123" s="3">
        <v>5.9490087122112982E-3</v>
      </c>
      <c r="J123" s="11">
        <v>0</v>
      </c>
      <c r="N123" s="7">
        <v>6.25</v>
      </c>
      <c r="O123" s="7">
        <v>4.75</v>
      </c>
      <c r="P123" s="11">
        <v>2.714988368595232E-4</v>
      </c>
      <c r="Q123" s="11">
        <v>-4.7337175332851852E-3</v>
      </c>
      <c r="R123" s="11">
        <v>2.7437983104561917E-2</v>
      </c>
      <c r="S123" s="1">
        <v>-2.500374258034678E-2</v>
      </c>
      <c r="T123" s="3">
        <f t="shared" si="221"/>
        <v>2.7856706396869699E-2</v>
      </c>
      <c r="U123" s="11">
        <f t="shared" si="230"/>
        <v>0.85430651630278553</v>
      </c>
      <c r="V123" s="3">
        <v>5.9489791477387631E-3</v>
      </c>
      <c r="W123" s="11">
        <v>0</v>
      </c>
      <c r="AA123" s="7">
        <v>6.25</v>
      </c>
      <c r="AB123" s="7">
        <v>4.75</v>
      </c>
      <c r="AC123" s="11">
        <v>2.714988368595232E-4</v>
      </c>
      <c r="AD123" s="11">
        <v>-4.7337175332851852E-3</v>
      </c>
      <c r="AE123" s="11">
        <v>2.7437983104561917E-2</v>
      </c>
      <c r="AF123" s="1">
        <v>-2.500374258034678E-2</v>
      </c>
      <c r="AG123" s="3">
        <f t="shared" si="222"/>
        <v>2.7856706396869699E-2</v>
      </c>
      <c r="AH123" s="11">
        <f t="shared" si="231"/>
        <v>0.85430332664536568</v>
      </c>
      <c r="AI123" s="3">
        <v>5.9489569365006219E-3</v>
      </c>
      <c r="AJ123" s="11">
        <v>0</v>
      </c>
      <c r="AK123" s="11"/>
      <c r="AN123" s="7">
        <v>6.25</v>
      </c>
      <c r="AO123" s="7">
        <v>4.75</v>
      </c>
      <c r="AP123" s="11">
        <v>2.714988368595232E-4</v>
      </c>
      <c r="AQ123" s="11">
        <v>-4.7337175332851852E-3</v>
      </c>
      <c r="AR123" s="11">
        <v>2.7437983104561917E-2</v>
      </c>
      <c r="AS123" s="1">
        <v>-2.500374258034678E-2</v>
      </c>
      <c r="AT123" s="3">
        <f t="shared" si="223"/>
        <v>2.7856706396869699E-2</v>
      </c>
      <c r="AU123" s="11">
        <f t="shared" si="232"/>
        <v>0.85430226868907833</v>
      </c>
      <c r="AV123" s="3">
        <v>5.9489495694025462E-3</v>
      </c>
      <c r="AW123" s="11">
        <v>0</v>
      </c>
      <c r="AX123" s="11"/>
      <c r="BA123" s="7">
        <v>6.25</v>
      </c>
      <c r="BB123" s="7">
        <v>4.75</v>
      </c>
      <c r="BC123" s="11">
        <v>2.714988368595232E-4</v>
      </c>
      <c r="BD123" s="11">
        <v>-4.7337175332851852E-3</v>
      </c>
      <c r="BE123" s="11">
        <v>2.7437983104561917E-2</v>
      </c>
      <c r="BF123" s="1">
        <v>-2.500374258034678E-2</v>
      </c>
      <c r="BG123" s="3">
        <f t="shared" si="224"/>
        <v>2.7856706396869699E-2</v>
      </c>
      <c r="BH123" s="11">
        <f t="shared" si="233"/>
        <v>0.85430227261136826</v>
      </c>
      <c r="BI123" s="3">
        <v>5.9489495967154837E-3</v>
      </c>
      <c r="BJ123" s="11">
        <v>0</v>
      </c>
      <c r="BK123" s="11"/>
      <c r="BN123" s="7">
        <v>6.25</v>
      </c>
      <c r="BO123" s="7">
        <v>4.75</v>
      </c>
      <c r="BP123" s="11">
        <v>2.7024883685952325E-4</v>
      </c>
      <c r="BQ123" s="11">
        <v>-4.7109050332851858E-3</v>
      </c>
      <c r="BR123" s="11">
        <v>2.7300873729561925E-2</v>
      </c>
      <c r="BS123" s="1">
        <v>-2.4733215236596801E-2</v>
      </c>
      <c r="BT123" s="3">
        <f t="shared" si="225"/>
        <v>2.7856237646869689E-2</v>
      </c>
      <c r="BU123" s="11">
        <f t="shared" si="234"/>
        <v>0.85430320661295256</v>
      </c>
      <c r="BV123" s="3">
        <v>5.9487683875457794E-3</v>
      </c>
      <c r="BW123" s="11">
        <v>0</v>
      </c>
      <c r="BX123" s="11"/>
      <c r="CA123" s="7">
        <v>6.25</v>
      </c>
      <c r="CB123" s="7">
        <v>4.75</v>
      </c>
      <c r="CC123" s="11">
        <v>2.739988368595231E-4</v>
      </c>
      <c r="CD123" s="11">
        <v>-4.7780925332851828E-3</v>
      </c>
      <c r="CE123" s="11">
        <v>2.7692826854561901E-2</v>
      </c>
      <c r="CF123" s="1">
        <v>-2.5470969142846731E-2</v>
      </c>
      <c r="CG123" s="3">
        <f t="shared" si="226"/>
        <v>2.7859206396869701E-2</v>
      </c>
      <c r="CH123" s="11">
        <f t="shared" si="235"/>
        <v>0.85429754654602985</v>
      </c>
      <c r="CI123" s="3">
        <v>5.9498427318645884E-3</v>
      </c>
      <c r="CJ123" s="11">
        <v>0</v>
      </c>
      <c r="CK123" s="11"/>
      <c r="CN123" s="7">
        <v>6.25</v>
      </c>
      <c r="CO123" s="7">
        <v>4.75</v>
      </c>
      <c r="CP123" s="11">
        <v>2.6983217019285657E-4</v>
      </c>
      <c r="CQ123" s="11">
        <v>-4.7053841999518519E-3</v>
      </c>
      <c r="CR123" s="11">
        <v>2.7284128937895249E-2</v>
      </c>
      <c r="CS123" s="1">
        <v>-2.4733586330346752E-2</v>
      </c>
      <c r="CT123" s="3">
        <f t="shared" si="227"/>
        <v>2.7865143896869699E-2</v>
      </c>
      <c r="CU123" s="11">
        <f t="shared" si="236"/>
        <v>0.8543068403242019</v>
      </c>
      <c r="CV123" s="3">
        <v>5.9504831153106156E-3</v>
      </c>
      <c r="CW123" s="11">
        <v>0</v>
      </c>
      <c r="CX123" s="11"/>
      <c r="DA123" s="7">
        <v>6.25</v>
      </c>
      <c r="DB123" s="7">
        <v>4.75</v>
      </c>
      <c r="DC123" s="11">
        <v>2.7191550352619E-4</v>
      </c>
      <c r="DD123" s="11">
        <v>-4.7404883666185204E-3</v>
      </c>
      <c r="DE123" s="11">
        <v>2.7474102896228595E-2</v>
      </c>
      <c r="DF123" s="1">
        <v>-2.5067199611596785E-2</v>
      </c>
      <c r="DG123" s="3">
        <f t="shared" si="228"/>
        <v>2.7856237646869689E-2</v>
      </c>
      <c r="DH123" s="11">
        <f t="shared" si="237"/>
        <v>0.85431105881079161</v>
      </c>
      <c r="DI123" s="3">
        <v>5.9489064935589414E-3</v>
      </c>
      <c r="DJ123" s="11">
        <v>0</v>
      </c>
      <c r="DK123" s="11"/>
    </row>
    <row r="124" spans="1:115" x14ac:dyDescent="0.25">
      <c r="A124" s="7">
        <v>6.5</v>
      </c>
      <c r="B124" s="7">
        <v>4.75</v>
      </c>
      <c r="C124" s="11">
        <v>2.714988368595232E-4</v>
      </c>
      <c r="D124" s="11">
        <v>-4.7337175332851852E-3</v>
      </c>
      <c r="E124" s="11">
        <v>2.7437983104561917E-2</v>
      </c>
      <c r="F124" s="1">
        <v>-2.500374258034678E-2</v>
      </c>
      <c r="G124" s="3">
        <f t="shared" si="220"/>
        <v>2.7903949890553184E-2</v>
      </c>
      <c r="H124" s="11">
        <f t="shared" si="229"/>
        <v>0.84840233821507205</v>
      </c>
      <c r="I124" s="3">
        <v>5.9084237105187518E-3</v>
      </c>
      <c r="J124" s="11">
        <v>0</v>
      </c>
      <c r="N124" s="7">
        <v>6.5</v>
      </c>
      <c r="O124" s="7">
        <v>4.75</v>
      </c>
      <c r="P124" s="11">
        <v>2.714988368595232E-4</v>
      </c>
      <c r="Q124" s="11">
        <v>-4.7337175332851852E-3</v>
      </c>
      <c r="R124" s="11">
        <v>2.7437983104561917E-2</v>
      </c>
      <c r="S124" s="1">
        <v>-2.500374258034678E-2</v>
      </c>
      <c r="T124" s="3">
        <f t="shared" si="221"/>
        <v>2.7903949890553184E-2</v>
      </c>
      <c r="U124" s="11">
        <f t="shared" si="230"/>
        <v>0.84839812195504616</v>
      </c>
      <c r="V124" s="3">
        <v>5.9083943477393434E-3</v>
      </c>
      <c r="W124" s="11">
        <v>0</v>
      </c>
      <c r="AA124" s="7">
        <v>6.5</v>
      </c>
      <c r="AB124" s="7">
        <v>4.75</v>
      </c>
      <c r="AC124" s="11">
        <v>2.714988368595232E-4</v>
      </c>
      <c r="AD124" s="11">
        <v>-4.7337175332851852E-3</v>
      </c>
      <c r="AE124" s="11">
        <v>2.7437983104561917E-2</v>
      </c>
      <c r="AF124" s="1">
        <v>-2.500374258034678E-2</v>
      </c>
      <c r="AG124" s="3">
        <f t="shared" si="222"/>
        <v>2.7903949890553184E-2</v>
      </c>
      <c r="AH124" s="11">
        <f t="shared" si="231"/>
        <v>0.84839495435733614</v>
      </c>
      <c r="AI124" s="3">
        <v>5.9083722880294955E-3</v>
      </c>
      <c r="AJ124" s="11">
        <v>0</v>
      </c>
      <c r="AK124" s="11"/>
      <c r="AN124" s="7">
        <v>6.5</v>
      </c>
      <c r="AO124" s="7">
        <v>4.75</v>
      </c>
      <c r="AP124" s="11">
        <v>2.714988368595232E-4</v>
      </c>
      <c r="AQ124" s="11">
        <v>-4.7337175332851852E-3</v>
      </c>
      <c r="AR124" s="11">
        <v>2.7437983104561917E-2</v>
      </c>
      <c r="AS124" s="1">
        <v>-2.500374258034678E-2</v>
      </c>
      <c r="AT124" s="3">
        <f t="shared" si="223"/>
        <v>2.7903949890553184E-2</v>
      </c>
      <c r="AU124" s="11">
        <f t="shared" si="232"/>
        <v>0.84839390371788748</v>
      </c>
      <c r="AV124" s="3">
        <v>5.9083649711908328E-3</v>
      </c>
      <c r="AW124" s="11">
        <v>0</v>
      </c>
      <c r="AX124" s="11"/>
      <c r="BA124" s="7">
        <v>6.5</v>
      </c>
      <c r="BB124" s="7">
        <v>4.75</v>
      </c>
      <c r="BC124" s="11">
        <v>2.714988368595232E-4</v>
      </c>
      <c r="BD124" s="11">
        <v>-4.7337175332851852E-3</v>
      </c>
      <c r="BE124" s="11">
        <v>2.7437983104561917E-2</v>
      </c>
      <c r="BF124" s="1">
        <v>-2.500374258034678E-2</v>
      </c>
      <c r="BG124" s="3">
        <f t="shared" si="224"/>
        <v>2.7903949890553184E-2</v>
      </c>
      <c r="BH124" s="11">
        <f t="shared" si="233"/>
        <v>0.84839390761305078</v>
      </c>
      <c r="BI124" s="3">
        <v>5.9083649983174375E-3</v>
      </c>
      <c r="BJ124" s="11">
        <v>0</v>
      </c>
      <c r="BK124" s="11"/>
      <c r="BN124" s="7">
        <v>6.5</v>
      </c>
      <c r="BO124" s="7">
        <v>4.75</v>
      </c>
      <c r="BP124" s="11">
        <v>2.7024883685952325E-4</v>
      </c>
      <c r="BQ124" s="11">
        <v>-4.7109050332851858E-3</v>
      </c>
      <c r="BR124" s="11">
        <v>2.7300873729561925E-2</v>
      </c>
      <c r="BS124" s="1">
        <v>-2.4733215236596801E-2</v>
      </c>
      <c r="BT124" s="3">
        <f t="shared" si="225"/>
        <v>2.7903813171803182E-2</v>
      </c>
      <c r="BU124" s="11">
        <f t="shared" si="234"/>
        <v>0.84839493388875109</v>
      </c>
      <c r="BV124" s="3">
        <v>5.9082727242013369E-3</v>
      </c>
      <c r="BW124" s="11">
        <v>0</v>
      </c>
      <c r="BX124" s="11"/>
      <c r="CA124" s="7">
        <v>6.5</v>
      </c>
      <c r="CB124" s="7">
        <v>4.75</v>
      </c>
      <c r="CC124" s="11">
        <v>2.739988368595231E-4</v>
      </c>
      <c r="CD124" s="11">
        <v>-4.7780925332851828E-3</v>
      </c>
      <c r="CE124" s="11">
        <v>2.7692826854561901E-2</v>
      </c>
      <c r="CF124" s="1">
        <v>-2.5470969142846731E-2</v>
      </c>
      <c r="CG124" s="3">
        <f t="shared" si="226"/>
        <v>2.7904926453053161E-2</v>
      </c>
      <c r="CH124" s="11">
        <f t="shared" si="235"/>
        <v>0.8483886876574751</v>
      </c>
      <c r="CI124" s="3">
        <v>5.9088588885547553E-3</v>
      </c>
      <c r="CJ124" s="11">
        <v>0</v>
      </c>
      <c r="CK124" s="11"/>
      <c r="CN124" s="7">
        <v>6.5</v>
      </c>
      <c r="CO124" s="7">
        <v>4.75</v>
      </c>
      <c r="CP124" s="11">
        <v>2.6983217019285657E-4</v>
      </c>
      <c r="CQ124" s="11">
        <v>-4.7053841999518519E-3</v>
      </c>
      <c r="CR124" s="11">
        <v>2.7284128937895249E-2</v>
      </c>
      <c r="CS124" s="1">
        <v>-2.4733586330346752E-2</v>
      </c>
      <c r="CT124" s="3">
        <f t="shared" si="227"/>
        <v>2.7913429057219857E-2</v>
      </c>
      <c r="CU124" s="11">
        <f t="shared" si="236"/>
        <v>0.84839666652561174</v>
      </c>
      <c r="CV124" s="3">
        <v>5.9101737985901865E-3</v>
      </c>
      <c r="CW124" s="11">
        <v>0</v>
      </c>
      <c r="CX124" s="11"/>
      <c r="DA124" s="7">
        <v>6.5</v>
      </c>
      <c r="DB124" s="7">
        <v>4.75</v>
      </c>
      <c r="DC124" s="11">
        <v>2.7191550352619E-4</v>
      </c>
      <c r="DD124" s="11">
        <v>-4.7404883666185204E-3</v>
      </c>
      <c r="DE124" s="11">
        <v>2.7474102896228595E-2</v>
      </c>
      <c r="DF124" s="1">
        <v>-2.5067199611596785E-2</v>
      </c>
      <c r="DG124" s="3">
        <f t="shared" si="228"/>
        <v>2.7903630880136504E-2</v>
      </c>
      <c r="DH124" s="11">
        <f t="shared" si="237"/>
        <v>0.84840273178160108</v>
      </c>
      <c r="DI124" s="3">
        <v>5.908327029190431E-3</v>
      </c>
      <c r="DJ124" s="11">
        <v>0</v>
      </c>
      <c r="DK124" s="11"/>
    </row>
    <row r="125" spans="1:115" x14ac:dyDescent="0.25">
      <c r="A125" s="7">
        <v>6.75</v>
      </c>
      <c r="B125" s="7">
        <v>6.75</v>
      </c>
      <c r="C125" s="11">
        <v>-1.0945061693637103E-4</v>
      </c>
      <c r="D125" s="11">
        <v>2.692151003371369E-3</v>
      </c>
      <c r="E125" s="11">
        <v>-2.0740213674575271E-2</v>
      </c>
      <c r="F125" s="1">
        <v>7.9017764525299156E-2</v>
      </c>
      <c r="G125" s="3">
        <f t="shared" si="220"/>
        <v>2.8021257107421108E-2</v>
      </c>
      <c r="H125" s="11">
        <f t="shared" si="229"/>
        <v>0.84252489510145845</v>
      </c>
      <c r="I125" s="3">
        <v>5.8774431136136684E-3</v>
      </c>
      <c r="J125" s="11">
        <v>0</v>
      </c>
      <c r="N125" s="7">
        <v>6.75</v>
      </c>
      <c r="O125" s="7">
        <v>6.75</v>
      </c>
      <c r="P125" s="11">
        <v>-1.0945061693637103E-4</v>
      </c>
      <c r="Q125" s="11">
        <v>2.692151003371369E-3</v>
      </c>
      <c r="R125" s="11">
        <v>-2.0740213674575271E-2</v>
      </c>
      <c r="S125" s="1">
        <v>7.9017764525299156E-2</v>
      </c>
      <c r="T125" s="3">
        <f t="shared" si="221"/>
        <v>2.8021257107421108E-2</v>
      </c>
      <c r="U125" s="11">
        <f t="shared" si="230"/>
        <v>0.84252070805024926</v>
      </c>
      <c r="V125" s="3">
        <v>5.8774139047968856E-3</v>
      </c>
      <c r="W125" s="11">
        <v>0</v>
      </c>
      <c r="AA125" s="7">
        <v>6.75</v>
      </c>
      <c r="AB125" s="7">
        <v>6.75</v>
      </c>
      <c r="AC125" s="11">
        <v>-1.0945061693637103E-4</v>
      </c>
      <c r="AD125" s="11">
        <v>2.692151003371369E-3</v>
      </c>
      <c r="AE125" s="11">
        <v>-2.0740213674575271E-2</v>
      </c>
      <c r="AF125" s="1">
        <v>7.9017764525299156E-2</v>
      </c>
      <c r="AG125" s="3">
        <f t="shared" si="222"/>
        <v>2.8021257107421108E-2</v>
      </c>
      <c r="AH125" s="11">
        <f t="shared" si="231"/>
        <v>0.84251756239657982</v>
      </c>
      <c r="AI125" s="3">
        <v>5.8773919607562949E-3</v>
      </c>
      <c r="AJ125" s="11">
        <v>0</v>
      </c>
      <c r="AK125" s="11"/>
      <c r="AN125" s="7">
        <v>6.75</v>
      </c>
      <c r="AO125" s="7">
        <v>6.75</v>
      </c>
      <c r="AP125" s="11">
        <v>-1.0945061693637103E-4</v>
      </c>
      <c r="AQ125" s="11">
        <v>2.692151003371369E-3</v>
      </c>
      <c r="AR125" s="11">
        <v>-2.0740213674575271E-2</v>
      </c>
      <c r="AS125" s="1">
        <v>7.9017764525299156E-2</v>
      </c>
      <c r="AT125" s="3">
        <f t="shared" si="223"/>
        <v>2.8021257107421108E-2</v>
      </c>
      <c r="AU125" s="11">
        <f t="shared" si="232"/>
        <v>0.84251651903560432</v>
      </c>
      <c r="AV125" s="3">
        <v>5.8773846822831998E-3</v>
      </c>
      <c r="AW125" s="11">
        <v>0</v>
      </c>
      <c r="AX125" s="11"/>
      <c r="BA125" s="7">
        <v>6.75</v>
      </c>
      <c r="BB125" s="7">
        <v>6.75</v>
      </c>
      <c r="BC125" s="11">
        <v>-1.0945061693637103E-4</v>
      </c>
      <c r="BD125" s="11">
        <v>2.692151003371369E-3</v>
      </c>
      <c r="BE125" s="11">
        <v>-2.0740213674575271E-2</v>
      </c>
      <c r="BF125" s="1">
        <v>7.9017764525299156E-2</v>
      </c>
      <c r="BG125" s="3">
        <f t="shared" si="224"/>
        <v>2.8021257107421108E-2</v>
      </c>
      <c r="BH125" s="11">
        <f t="shared" si="233"/>
        <v>0.8425165229037832</v>
      </c>
      <c r="BI125" s="3">
        <v>5.8773847092675677E-3</v>
      </c>
      <c r="BJ125" s="11">
        <v>0</v>
      </c>
      <c r="BK125" s="11"/>
      <c r="BN125" s="7">
        <v>6.75</v>
      </c>
      <c r="BO125" s="7">
        <v>6.75</v>
      </c>
      <c r="BP125" s="11">
        <v>-1.0945061693637103E-4</v>
      </c>
      <c r="BQ125" s="11">
        <v>2.692151003371369E-3</v>
      </c>
      <c r="BR125" s="11">
        <v>-2.0740213674575271E-2</v>
      </c>
      <c r="BS125" s="1">
        <v>7.9017764525299156E-2</v>
      </c>
      <c r="BT125" s="3">
        <f t="shared" si="225"/>
        <v>2.8021257107421108E-2</v>
      </c>
      <c r="BU125" s="11">
        <f t="shared" si="234"/>
        <v>0.84251757066728572</v>
      </c>
      <c r="BV125" s="3">
        <v>5.8773632214653565E-3</v>
      </c>
      <c r="BW125" s="11">
        <v>0</v>
      </c>
      <c r="BX125" s="11"/>
      <c r="CA125" s="7">
        <v>6.75</v>
      </c>
      <c r="CB125" s="7">
        <v>6.75</v>
      </c>
      <c r="CC125" s="11">
        <v>-1.0972839471414879E-4</v>
      </c>
      <c r="CD125" s="11">
        <v>2.6994426700380353E-3</v>
      </c>
      <c r="CE125" s="11">
        <v>-2.0803182424575267E-2</v>
      </c>
      <c r="CF125" s="1">
        <v>7.9196006712799152E-2</v>
      </c>
      <c r="CG125" s="3">
        <f t="shared" si="226"/>
        <v>2.8021257107421108E-2</v>
      </c>
      <c r="CH125" s="11">
        <f t="shared" si="235"/>
        <v>0.84251113484404971</v>
      </c>
      <c r="CI125" s="3">
        <v>5.8775528134253907E-3</v>
      </c>
      <c r="CJ125" s="11">
        <v>0</v>
      </c>
      <c r="CK125" s="11"/>
      <c r="CN125" s="7">
        <v>6.75</v>
      </c>
      <c r="CO125" s="7">
        <v>6.75</v>
      </c>
      <c r="CP125" s="11">
        <v>-1.0880246878822289E-4</v>
      </c>
      <c r="CQ125" s="11">
        <v>2.6756926700380358E-3</v>
      </c>
      <c r="CR125" s="11">
        <v>-2.0605786591241938E-2</v>
      </c>
      <c r="CS125" s="1">
        <v>7.8670928587799144E-2</v>
      </c>
      <c r="CT125" s="3">
        <f t="shared" si="227"/>
        <v>2.8031257107421104E-2</v>
      </c>
      <c r="CU125" s="11">
        <f t="shared" si="236"/>
        <v>0.84251727994480641</v>
      </c>
      <c r="CV125" s="3">
        <v>5.8793865808052992E-3</v>
      </c>
      <c r="CW125" s="11">
        <v>0</v>
      </c>
      <c r="CX125" s="11"/>
      <c r="DA125" s="7">
        <v>6.75</v>
      </c>
      <c r="DB125" s="7">
        <v>6.75</v>
      </c>
      <c r="DC125" s="11">
        <v>-1.0982098730674151E-4</v>
      </c>
      <c r="DD125" s="11">
        <v>2.7013176700380385E-3</v>
      </c>
      <c r="DE125" s="11">
        <v>-2.0811672007908621E-2</v>
      </c>
      <c r="DF125" s="1">
        <v>7.9196358275299195E-2</v>
      </c>
      <c r="DG125" s="3">
        <f t="shared" si="228"/>
        <v>2.8021257107421094E-2</v>
      </c>
      <c r="DH125" s="11">
        <f t="shared" si="237"/>
        <v>0.84252535266958872</v>
      </c>
      <c r="DI125" s="3">
        <v>5.8773791120122583E-3</v>
      </c>
      <c r="DJ125" s="11">
        <v>0</v>
      </c>
      <c r="DK125" s="11"/>
    </row>
    <row r="126" spans="1:115" x14ac:dyDescent="0.25">
      <c r="A126" s="7">
        <v>7</v>
      </c>
      <c r="B126" s="7">
        <v>6.75</v>
      </c>
      <c r="C126" s="11">
        <v>-1.0945061693637103E-4</v>
      </c>
      <c r="D126" s="11">
        <v>2.692151003371369E-3</v>
      </c>
      <c r="E126" s="11">
        <v>-2.0740213674575271E-2</v>
      </c>
      <c r="F126" s="1">
        <v>7.9017764525299156E-2</v>
      </c>
      <c r="G126" s="3">
        <f t="shared" si="220"/>
        <v>2.8210106359294052E-2</v>
      </c>
      <c r="H126" s="11">
        <f t="shared" si="229"/>
        <v>0.83666380222281889</v>
      </c>
      <c r="I126" s="3">
        <v>5.8610928786395327E-3</v>
      </c>
      <c r="J126" s="11">
        <v>0.83666380222281889</v>
      </c>
      <c r="N126" s="7">
        <v>7</v>
      </c>
      <c r="O126" s="7">
        <v>6.75</v>
      </c>
      <c r="P126" s="11">
        <v>-1.0945061693637103E-4</v>
      </c>
      <c r="Q126" s="11">
        <v>2.692151003371369E-3</v>
      </c>
      <c r="R126" s="11">
        <v>-2.0740213674575271E-2</v>
      </c>
      <c r="S126" s="1">
        <v>7.9017764525299156E-2</v>
      </c>
      <c r="T126" s="3">
        <f t="shared" si="221"/>
        <v>2.8210106359294052E-2</v>
      </c>
      <c r="U126" s="11">
        <f t="shared" si="230"/>
        <v>0.8366596442991715</v>
      </c>
      <c r="V126" s="3">
        <v>5.8610637510776442E-3</v>
      </c>
      <c r="W126" s="11">
        <v>0.8366596442991715</v>
      </c>
      <c r="AA126" s="7">
        <v>7</v>
      </c>
      <c r="AB126" s="7">
        <v>6.75</v>
      </c>
      <c r="AC126" s="11">
        <v>-1.0945061693637103E-4</v>
      </c>
      <c r="AD126" s="11">
        <v>2.692151003371369E-3</v>
      </c>
      <c r="AE126" s="11">
        <v>-2.0740213674575271E-2</v>
      </c>
      <c r="AF126" s="1">
        <v>7.9017764525299156E-2</v>
      </c>
      <c r="AG126" s="3">
        <f t="shared" si="222"/>
        <v>2.8210106359294052E-2</v>
      </c>
      <c r="AH126" s="11">
        <f t="shared" si="231"/>
        <v>0.83665652052849737</v>
      </c>
      <c r="AI126" s="3">
        <v>5.861041868082343E-3</v>
      </c>
      <c r="AJ126" s="11">
        <v>0.83665652052849737</v>
      </c>
      <c r="AK126" s="11"/>
      <c r="AN126" s="7">
        <v>7</v>
      </c>
      <c r="AO126" s="7">
        <v>6.75</v>
      </c>
      <c r="AP126" s="11">
        <v>-1.0945061693637103E-4</v>
      </c>
      <c r="AQ126" s="11">
        <v>2.692151003371369E-3</v>
      </c>
      <c r="AR126" s="11">
        <v>-2.0740213674575271E-2</v>
      </c>
      <c r="AS126" s="1">
        <v>7.9017764525299156E-2</v>
      </c>
      <c r="AT126" s="3">
        <f t="shared" si="223"/>
        <v>2.8210106359294052E-2</v>
      </c>
      <c r="AU126" s="11">
        <f t="shared" si="232"/>
        <v>0.83665548442574733</v>
      </c>
      <c r="AV126" s="3">
        <v>5.8610346098569559E-3</v>
      </c>
      <c r="AW126" s="11">
        <v>0.83665548442574733</v>
      </c>
      <c r="AX126" s="11"/>
      <c r="BA126" s="7">
        <v>7</v>
      </c>
      <c r="BB126" s="7">
        <v>6.75</v>
      </c>
      <c r="BC126" s="11">
        <v>-1.0945061693637103E-4</v>
      </c>
      <c r="BD126" s="11">
        <v>2.692151003371369E-3</v>
      </c>
      <c r="BE126" s="11">
        <v>-2.0740213674575271E-2</v>
      </c>
      <c r="BF126" s="1">
        <v>7.9017764525299156E-2</v>
      </c>
      <c r="BG126" s="3">
        <f t="shared" si="224"/>
        <v>2.8210106359294052E-2</v>
      </c>
      <c r="BH126" s="11">
        <f t="shared" si="233"/>
        <v>0.83665548826701686</v>
      </c>
      <c r="BI126" s="3">
        <v>5.8610346367662554E-3</v>
      </c>
      <c r="BJ126" s="11">
        <v>0.83665548826701686</v>
      </c>
      <c r="BK126" s="11"/>
      <c r="BN126" s="7">
        <v>7</v>
      </c>
      <c r="BO126" s="7">
        <v>6.75</v>
      </c>
      <c r="BP126" s="11">
        <v>-1.0945061693637103E-4</v>
      </c>
      <c r="BQ126" s="11">
        <v>2.692151003371369E-3</v>
      </c>
      <c r="BR126" s="11">
        <v>-2.0740213674575271E-2</v>
      </c>
      <c r="BS126" s="1">
        <v>7.9017764525299156E-2</v>
      </c>
      <c r="BT126" s="3">
        <f t="shared" si="225"/>
        <v>2.8210106359294052E-2</v>
      </c>
      <c r="BU126" s="11">
        <f t="shared" si="234"/>
        <v>0.83665652874166752</v>
      </c>
      <c r="BV126" s="3">
        <v>5.8610419256181811E-3</v>
      </c>
      <c r="BW126" s="11">
        <v>0.83665652874166752</v>
      </c>
      <c r="BX126" s="11"/>
      <c r="CA126" s="7">
        <v>7</v>
      </c>
      <c r="CB126" s="7">
        <v>6.75</v>
      </c>
      <c r="CC126" s="11">
        <v>-1.0972839471414879E-4</v>
      </c>
      <c r="CD126" s="11">
        <v>2.6994426700380353E-3</v>
      </c>
      <c r="CE126" s="11">
        <v>-2.0803182424575267E-2</v>
      </c>
      <c r="CF126" s="1">
        <v>7.9196006712799152E-2</v>
      </c>
      <c r="CG126" s="3">
        <f t="shared" si="226"/>
        <v>2.8209581185682966E-2</v>
      </c>
      <c r="CH126" s="11">
        <f t="shared" si="235"/>
        <v>0.8366501376897586</v>
      </c>
      <c r="CI126" s="3">
        <v>5.860997154290999E-3</v>
      </c>
      <c r="CJ126" s="11">
        <v>0.8366501376897586</v>
      </c>
      <c r="CK126" s="11"/>
      <c r="CN126" s="7">
        <v>7</v>
      </c>
      <c r="CO126" s="7">
        <v>6.75</v>
      </c>
      <c r="CP126" s="11">
        <v>-1.0880246878822289E-4</v>
      </c>
      <c r="CQ126" s="11">
        <v>2.6756926700380358E-3</v>
      </c>
      <c r="CR126" s="11">
        <v>-2.0605786591241938E-2</v>
      </c>
      <c r="CS126" s="1">
        <v>7.8670928587799144E-2</v>
      </c>
      <c r="CT126" s="3">
        <f t="shared" si="227"/>
        <v>2.8220116486608868E-2</v>
      </c>
      <c r="CU126" s="11">
        <f t="shared" si="236"/>
        <v>0.83665416295684703</v>
      </c>
      <c r="CV126" s="3">
        <v>5.8631169879593929E-3</v>
      </c>
      <c r="CW126" s="11">
        <v>0.83665416295684703</v>
      </c>
      <c r="CX126" s="11"/>
      <c r="DA126" s="7">
        <v>7</v>
      </c>
      <c r="DB126" s="7">
        <v>6.75</v>
      </c>
      <c r="DC126" s="11">
        <v>-1.0982098730674151E-4</v>
      </c>
      <c r="DD126" s="11">
        <v>2.7013176700380385E-3</v>
      </c>
      <c r="DE126" s="11">
        <v>-2.0811672007908621E-2</v>
      </c>
      <c r="DF126" s="1">
        <v>7.9196358275299195E-2</v>
      </c>
      <c r="DG126" s="3">
        <f t="shared" si="228"/>
        <v>2.8210621405590386E-2</v>
      </c>
      <c r="DH126" s="11">
        <f t="shared" si="237"/>
        <v>0.83666425660783927</v>
      </c>
      <c r="DI126" s="3">
        <v>5.8610960617494004E-3</v>
      </c>
      <c r="DJ126" s="11">
        <v>0.83666425660783927</v>
      </c>
      <c r="DK126" s="11"/>
    </row>
    <row r="127" spans="1:115" x14ac:dyDescent="0.25">
      <c r="A127" s="7">
        <v>7.25</v>
      </c>
      <c r="B127" s="7">
        <v>6.75</v>
      </c>
      <c r="C127" s="11">
        <v>-1.0945061693637103E-4</v>
      </c>
      <c r="D127" s="11">
        <v>2.692151003371369E-3</v>
      </c>
      <c r="E127" s="11">
        <v>-2.0740213674575271E-2</v>
      </c>
      <c r="F127" s="1">
        <v>7.9017764525299156E-2</v>
      </c>
      <c r="G127" s="3">
        <f t="shared" si="220"/>
        <v>2.844816661713051E-2</v>
      </c>
      <c r="H127" s="11">
        <f t="shared" si="229"/>
        <v>0.83080453117575592</v>
      </c>
      <c r="I127" s="3">
        <v>5.8592710470628763E-3</v>
      </c>
      <c r="J127" s="11">
        <v>0</v>
      </c>
      <c r="N127" s="7">
        <v>7.25</v>
      </c>
      <c r="O127" s="7">
        <v>6.75</v>
      </c>
      <c r="P127" s="11">
        <v>-1.0945061693637103E-4</v>
      </c>
      <c r="Q127" s="11">
        <v>2.692151003371369E-3</v>
      </c>
      <c r="R127" s="11">
        <v>-2.0740213674575271E-2</v>
      </c>
      <c r="S127" s="1">
        <v>7.9017764525299156E-2</v>
      </c>
      <c r="T127" s="3">
        <f t="shared" si="221"/>
        <v>2.844816661713051E-2</v>
      </c>
      <c r="U127" s="11">
        <f t="shared" si="230"/>
        <v>0.83080040237061659</v>
      </c>
      <c r="V127" s="3">
        <v>5.859241928554847E-3</v>
      </c>
      <c r="W127" s="11">
        <v>0</v>
      </c>
      <c r="AA127" s="7">
        <v>7.25</v>
      </c>
      <c r="AB127" s="7">
        <v>6.75</v>
      </c>
      <c r="AC127" s="11">
        <v>-1.0945061693637103E-4</v>
      </c>
      <c r="AD127" s="11">
        <v>2.692151003371369E-3</v>
      </c>
      <c r="AE127" s="11">
        <v>-2.0740213674575271E-2</v>
      </c>
      <c r="AF127" s="1">
        <v>7.9017764525299156E-2</v>
      </c>
      <c r="AG127" s="3">
        <f t="shared" si="222"/>
        <v>2.844816661713051E-2</v>
      </c>
      <c r="AH127" s="11">
        <f t="shared" si="231"/>
        <v>0.83079730047613576</v>
      </c>
      <c r="AI127" s="3">
        <v>5.8592200523615422E-3</v>
      </c>
      <c r="AJ127" s="11">
        <v>0</v>
      </c>
      <c r="AK127" s="11"/>
      <c r="AN127" s="7">
        <v>7.25</v>
      </c>
      <c r="AO127" s="7">
        <v>6.75</v>
      </c>
      <c r="AP127" s="11">
        <v>-1.0945061693637103E-4</v>
      </c>
      <c r="AQ127" s="11">
        <v>2.692151003371369E-3</v>
      </c>
      <c r="AR127" s="11">
        <v>-2.0740213674575271E-2</v>
      </c>
      <c r="AS127" s="1">
        <v>7.9017764525299156E-2</v>
      </c>
      <c r="AT127" s="3">
        <f t="shared" si="223"/>
        <v>2.844816661713051E-2</v>
      </c>
      <c r="AU127" s="11">
        <f t="shared" si="232"/>
        <v>0.83079627162935499</v>
      </c>
      <c r="AV127" s="3">
        <v>5.8592127963922637E-3</v>
      </c>
      <c r="AW127" s="11">
        <v>0</v>
      </c>
      <c r="AX127" s="11"/>
      <c r="BA127" s="7">
        <v>7.25</v>
      </c>
      <c r="BB127" s="7">
        <v>6.75</v>
      </c>
      <c r="BC127" s="11">
        <v>-1.0945061693637103E-4</v>
      </c>
      <c r="BD127" s="11">
        <v>2.692151003371369E-3</v>
      </c>
      <c r="BE127" s="11">
        <v>-2.0740213674575271E-2</v>
      </c>
      <c r="BF127" s="1">
        <v>7.9017764525299156E-2</v>
      </c>
      <c r="BG127" s="3">
        <f t="shared" si="224"/>
        <v>2.844816661713051E-2</v>
      </c>
      <c r="BH127" s="11">
        <f t="shared" si="233"/>
        <v>0.83079627544372359</v>
      </c>
      <c r="BI127" s="3">
        <v>5.8592128232932E-3</v>
      </c>
      <c r="BJ127" s="11">
        <v>0</v>
      </c>
      <c r="BK127" s="11"/>
      <c r="BN127" s="7">
        <v>7.25</v>
      </c>
      <c r="BO127" s="7">
        <v>6.75</v>
      </c>
      <c r="BP127" s="11">
        <v>-1.0945061693637103E-4</v>
      </c>
      <c r="BQ127" s="11">
        <v>2.692151003371369E-3</v>
      </c>
      <c r="BR127" s="11">
        <v>-2.0740213674575271E-2</v>
      </c>
      <c r="BS127" s="1">
        <v>7.9017764525299156E-2</v>
      </c>
      <c r="BT127" s="3">
        <f t="shared" si="225"/>
        <v>2.844816661713051E-2</v>
      </c>
      <c r="BU127" s="11">
        <f t="shared" si="234"/>
        <v>0.83079730863178791</v>
      </c>
      <c r="BV127" s="3">
        <v>5.8592201098794953E-3</v>
      </c>
      <c r="BW127" s="11">
        <v>0</v>
      </c>
      <c r="BX127" s="11"/>
      <c r="CA127" s="7">
        <v>7.25</v>
      </c>
      <c r="CB127" s="7">
        <v>6.75</v>
      </c>
      <c r="CC127" s="11">
        <v>-1.0972839471414879E-4</v>
      </c>
      <c r="CD127" s="11">
        <v>2.6994426700380353E-3</v>
      </c>
      <c r="CE127" s="11">
        <v>-2.0803182424575267E-2</v>
      </c>
      <c r="CF127" s="1">
        <v>7.9196006712799152E-2</v>
      </c>
      <c r="CG127" s="3">
        <f t="shared" si="226"/>
        <v>2.8447298561574977E-2</v>
      </c>
      <c r="CH127" s="11">
        <f t="shared" si="235"/>
        <v>0.83079107065079261</v>
      </c>
      <c r="CI127" s="3">
        <v>5.8590670389660022E-3</v>
      </c>
      <c r="CJ127" s="11">
        <v>0</v>
      </c>
      <c r="CK127" s="11"/>
      <c r="CN127" s="7">
        <v>7.25</v>
      </c>
      <c r="CO127" s="7">
        <v>6.75</v>
      </c>
      <c r="CP127" s="11">
        <v>-1.0880246878822289E-4</v>
      </c>
      <c r="CQ127" s="11">
        <v>2.6756926700380358E-3</v>
      </c>
      <c r="CR127" s="11">
        <v>-2.0605786591241938E-2</v>
      </c>
      <c r="CS127" s="1">
        <v>7.8670928587799144E-2</v>
      </c>
      <c r="CT127" s="3">
        <f t="shared" si="227"/>
        <v>2.8457830968982342E-2</v>
      </c>
      <c r="CU127" s="11">
        <f t="shared" si="236"/>
        <v>0.83079289488934094</v>
      </c>
      <c r="CV127" s="3">
        <v>5.8612680675060496E-3</v>
      </c>
      <c r="CW127" s="11">
        <v>0</v>
      </c>
      <c r="CX127" s="11"/>
      <c r="DA127" s="7">
        <v>7.25</v>
      </c>
      <c r="DB127" s="7">
        <v>6.75</v>
      </c>
      <c r="DC127" s="11">
        <v>-1.0982098730674151E-4</v>
      </c>
      <c r="DD127" s="11">
        <v>2.7013176700380385E-3</v>
      </c>
      <c r="DE127" s="11">
        <v>-2.0811672007908621E-2</v>
      </c>
      <c r="DF127" s="1">
        <v>7.9196358275299195E-2</v>
      </c>
      <c r="DG127" s="3">
        <f t="shared" si="228"/>
        <v>2.844937032083425E-2</v>
      </c>
      <c r="DH127" s="11">
        <f t="shared" si="237"/>
        <v>0.8308048761520781</v>
      </c>
      <c r="DI127" s="3">
        <v>5.859380455761171E-3</v>
      </c>
      <c r="DJ127" s="11">
        <v>0</v>
      </c>
      <c r="DK127" s="11"/>
    </row>
    <row r="128" spans="1:115" x14ac:dyDescent="0.25">
      <c r="A128" s="7">
        <v>7.5</v>
      </c>
      <c r="B128" s="7">
        <v>6.75</v>
      </c>
      <c r="C128" s="11">
        <v>-1.0945061693637103E-4</v>
      </c>
      <c r="D128" s="11">
        <v>2.692151003371369E-3</v>
      </c>
      <c r="E128" s="11">
        <v>-2.0740213674575271E-2</v>
      </c>
      <c r="F128" s="1">
        <v>7.9017764525299156E-2</v>
      </c>
      <c r="G128" s="3">
        <f t="shared" si="220"/>
        <v>2.8725176885592618E-2</v>
      </c>
      <c r="H128" s="11">
        <f t="shared" si="229"/>
        <v>0.82493754102182715</v>
      </c>
      <c r="I128" s="3">
        <v>5.8669901539287186E-3</v>
      </c>
      <c r="J128" s="11">
        <v>0</v>
      </c>
      <c r="N128" s="7">
        <v>7.5</v>
      </c>
      <c r="O128" s="7">
        <v>6.75</v>
      </c>
      <c r="P128" s="11">
        <v>-1.0945061693637103E-4</v>
      </c>
      <c r="Q128" s="11">
        <v>2.692151003371369E-3</v>
      </c>
      <c r="R128" s="11">
        <v>-2.0740213674575271E-2</v>
      </c>
      <c r="S128" s="1">
        <v>7.9017764525299156E-2</v>
      </c>
      <c r="T128" s="3">
        <f t="shared" si="221"/>
        <v>2.8725176885592618E-2</v>
      </c>
      <c r="U128" s="11">
        <f t="shared" si="230"/>
        <v>0.82493344137355706</v>
      </c>
      <c r="V128" s="3">
        <v>5.8669609970594542E-3</v>
      </c>
      <c r="W128" s="11">
        <v>0</v>
      </c>
      <c r="AA128" s="7">
        <v>7.5</v>
      </c>
      <c r="AB128" s="7">
        <v>6.75</v>
      </c>
      <c r="AC128" s="11">
        <v>-1.0945061693637103E-4</v>
      </c>
      <c r="AD128" s="11">
        <v>2.692151003371369E-3</v>
      </c>
      <c r="AE128" s="11">
        <v>-2.0740213674575271E-2</v>
      </c>
      <c r="AF128" s="1">
        <v>7.9017764525299156E-2</v>
      </c>
      <c r="AG128" s="3">
        <f t="shared" si="222"/>
        <v>2.8725176885592618E-2</v>
      </c>
      <c r="AH128" s="11">
        <f t="shared" si="231"/>
        <v>0.82493036138408959</v>
      </c>
      <c r="AI128" s="3">
        <v>5.8669390920460668E-3</v>
      </c>
      <c r="AJ128" s="11">
        <v>0</v>
      </c>
      <c r="AK128" s="11"/>
      <c r="AN128" s="7">
        <v>7.5</v>
      </c>
      <c r="AO128" s="7">
        <v>6.75</v>
      </c>
      <c r="AP128" s="11">
        <v>-1.0945061693637103E-4</v>
      </c>
      <c r="AQ128" s="11">
        <v>2.692151003371369E-3</v>
      </c>
      <c r="AR128" s="11">
        <v>-2.0740213674575271E-2</v>
      </c>
      <c r="AS128" s="1">
        <v>7.9017764525299156E-2</v>
      </c>
      <c r="AT128" s="3">
        <f t="shared" si="223"/>
        <v>2.8725176885592618E-2</v>
      </c>
      <c r="AU128" s="11">
        <f t="shared" si="232"/>
        <v>0.82492933980283734</v>
      </c>
      <c r="AV128" s="3">
        <v>5.8669318265176474E-3</v>
      </c>
      <c r="AW128" s="11">
        <v>0</v>
      </c>
      <c r="AX128" s="11"/>
      <c r="BA128" s="7">
        <v>7.5</v>
      </c>
      <c r="BB128" s="7">
        <v>6.75</v>
      </c>
      <c r="BC128" s="11">
        <v>-1.0945061693637103E-4</v>
      </c>
      <c r="BD128" s="11">
        <v>2.692151003371369E-3</v>
      </c>
      <c r="BE128" s="11">
        <v>-2.0740213674575271E-2</v>
      </c>
      <c r="BF128" s="1">
        <v>7.9017764525299156E-2</v>
      </c>
      <c r="BG128" s="3">
        <f t="shared" si="224"/>
        <v>2.8725176885592618E-2</v>
      </c>
      <c r="BH128" s="11">
        <f t="shared" si="233"/>
        <v>0.82492934359026948</v>
      </c>
      <c r="BI128" s="3">
        <v>5.8669318534540224E-3</v>
      </c>
      <c r="BJ128" s="11">
        <v>0</v>
      </c>
      <c r="BK128" s="11"/>
      <c r="BN128" s="7">
        <v>7.5</v>
      </c>
      <c r="BO128" s="7">
        <v>6.75</v>
      </c>
      <c r="BP128" s="11">
        <v>-1.0945061693637103E-4</v>
      </c>
      <c r="BQ128" s="11">
        <v>2.692151003371369E-3</v>
      </c>
      <c r="BR128" s="11">
        <v>-2.0740213674575271E-2</v>
      </c>
      <c r="BS128" s="1">
        <v>7.9017764525299156E-2</v>
      </c>
      <c r="BT128" s="3">
        <f t="shared" si="225"/>
        <v>2.8725176885592618E-2</v>
      </c>
      <c r="BU128" s="11">
        <f t="shared" si="234"/>
        <v>0.82493036948214804</v>
      </c>
      <c r="BV128" s="3">
        <v>5.8669391496397952E-3</v>
      </c>
      <c r="BW128" s="11">
        <v>0</v>
      </c>
      <c r="BX128" s="11"/>
      <c r="CA128" s="7">
        <v>7.5</v>
      </c>
      <c r="CB128" s="7">
        <v>6.75</v>
      </c>
      <c r="CC128" s="11">
        <v>-1.0972839471414879E-4</v>
      </c>
      <c r="CD128" s="11">
        <v>2.6994426700380353E-3</v>
      </c>
      <c r="CE128" s="11">
        <v>-2.0803182424575267E-2</v>
      </c>
      <c r="CF128" s="1">
        <v>7.9196006712799152E-2</v>
      </c>
      <c r="CG128" s="3">
        <f t="shared" si="226"/>
        <v>2.8724122198092603E-2</v>
      </c>
      <c r="CH128" s="11">
        <f t="shared" si="235"/>
        <v>0.82492435330847247</v>
      </c>
      <c r="CI128" s="3">
        <v>5.8667173423200695E-3</v>
      </c>
      <c r="CJ128" s="11">
        <v>0</v>
      </c>
      <c r="CK128" s="11"/>
      <c r="CN128" s="7">
        <v>7.5</v>
      </c>
      <c r="CO128" s="7">
        <v>6.75</v>
      </c>
      <c r="CP128" s="11">
        <v>-1.0880246878822289E-4</v>
      </c>
      <c r="CQ128" s="11">
        <v>2.6756926700380358E-3</v>
      </c>
      <c r="CR128" s="11">
        <v>-2.0605786591241938E-2</v>
      </c>
      <c r="CS128" s="1">
        <v>7.8670928587799144E-2</v>
      </c>
      <c r="CT128" s="3">
        <f t="shared" si="227"/>
        <v>2.8734200323092624E-2</v>
      </c>
      <c r="CU128" s="11">
        <f t="shared" si="236"/>
        <v>0.82492400789461096</v>
      </c>
      <c r="CV128" s="3">
        <v>5.8688869947300737E-3</v>
      </c>
      <c r="CW128" s="11">
        <v>0</v>
      </c>
      <c r="CX128" s="11"/>
      <c r="DA128" s="7">
        <v>7.5</v>
      </c>
      <c r="DB128" s="7">
        <v>6.75</v>
      </c>
      <c r="DC128" s="11">
        <v>-1.0982098730674151E-4</v>
      </c>
      <c r="DD128" s="11">
        <v>2.7013176700380385E-3</v>
      </c>
      <c r="DE128" s="11">
        <v>-2.0811672007908621E-2</v>
      </c>
      <c r="DF128" s="1">
        <v>7.9196358275299195E-2</v>
      </c>
      <c r="DG128" s="3">
        <f t="shared" si="228"/>
        <v>2.8727208135592625E-2</v>
      </c>
      <c r="DH128" s="11">
        <f t="shared" si="237"/>
        <v>0.82493763706992895</v>
      </c>
      <c r="DI128" s="3">
        <v>5.8672390821490929E-3</v>
      </c>
      <c r="DJ128" s="11">
        <v>0</v>
      </c>
      <c r="DK128" s="11"/>
    </row>
    <row r="129" spans="1:115" x14ac:dyDescent="0.25">
      <c r="A129" s="7">
        <v>7.75</v>
      </c>
      <c r="B129" s="7">
        <v>6.75</v>
      </c>
      <c r="C129" s="11">
        <v>-1.0945061693637103E-4</v>
      </c>
      <c r="D129" s="11">
        <v>2.692151003371369E-3</v>
      </c>
      <c r="E129" s="11">
        <v>-2.0740213674575271E-2</v>
      </c>
      <c r="F129" s="1">
        <v>7.9017764525299156E-2</v>
      </c>
      <c r="G129" s="3">
        <f t="shared" si="220"/>
        <v>2.9030876169342551E-2</v>
      </c>
      <c r="H129" s="11">
        <f t="shared" si="229"/>
        <v>0.81905566133408514</v>
      </c>
      <c r="I129" s="3">
        <v>5.8818796877419099E-3</v>
      </c>
      <c r="J129" s="11">
        <v>0</v>
      </c>
      <c r="N129" s="7">
        <v>7.75</v>
      </c>
      <c r="O129" s="7">
        <v>6.75</v>
      </c>
      <c r="P129" s="11">
        <v>-1.0945061693637103E-4</v>
      </c>
      <c r="Q129" s="11">
        <v>2.692151003371369E-3</v>
      </c>
      <c r="R129" s="11">
        <v>-2.0740213674575271E-2</v>
      </c>
      <c r="S129" s="1">
        <v>7.9017764525299156E-2</v>
      </c>
      <c r="T129" s="3">
        <f t="shared" si="221"/>
        <v>2.9030876169342551E-2</v>
      </c>
      <c r="U129" s="11">
        <f t="shared" si="230"/>
        <v>0.81905159091668012</v>
      </c>
      <c r="V129" s="3">
        <v>5.8818504568769201E-3</v>
      </c>
      <c r="W129" s="11">
        <v>0</v>
      </c>
      <c r="AA129" s="7">
        <v>7.75</v>
      </c>
      <c r="AB129" s="7">
        <v>6.75</v>
      </c>
      <c r="AC129" s="11">
        <v>-1.0945061693637103E-4</v>
      </c>
      <c r="AD129" s="11">
        <v>2.692151003371369E-3</v>
      </c>
      <c r="AE129" s="11">
        <v>-2.0740213674575271E-2</v>
      </c>
      <c r="AF129" s="1">
        <v>7.9017764525299156E-2</v>
      </c>
      <c r="AG129" s="3">
        <f t="shared" si="222"/>
        <v>2.9030876169342551E-2</v>
      </c>
      <c r="AH129" s="11">
        <f t="shared" si="231"/>
        <v>0.81904853288781765</v>
      </c>
      <c r="AI129" s="3">
        <v>5.8818284962719215E-3</v>
      </c>
      <c r="AJ129" s="11">
        <v>0</v>
      </c>
      <c r="AK129" s="11"/>
      <c r="AN129" s="7">
        <v>7.75</v>
      </c>
      <c r="AO129" s="7">
        <v>6.75</v>
      </c>
      <c r="AP129" s="11">
        <v>-1.0945061693637103E-4</v>
      </c>
      <c r="AQ129" s="11">
        <v>2.692151003371369E-3</v>
      </c>
      <c r="AR129" s="11">
        <v>-2.0740213674575271E-2</v>
      </c>
      <c r="AS129" s="1">
        <v>7.9017764525299156E-2</v>
      </c>
      <c r="AT129" s="3">
        <f t="shared" si="223"/>
        <v>2.9030876169342551E-2</v>
      </c>
      <c r="AU129" s="11">
        <f t="shared" si="232"/>
        <v>0.8190475185905326</v>
      </c>
      <c r="AV129" s="3">
        <v>5.8818212123046892E-3</v>
      </c>
      <c r="AW129" s="11">
        <v>0</v>
      </c>
      <c r="AX129" s="11"/>
      <c r="BA129" s="7">
        <v>7.75</v>
      </c>
      <c r="BB129" s="7">
        <v>6.75</v>
      </c>
      <c r="BC129" s="11">
        <v>-1.0945061693637103E-4</v>
      </c>
      <c r="BD129" s="11">
        <v>2.692151003371369E-3</v>
      </c>
      <c r="BE129" s="11">
        <v>-2.0740213674575271E-2</v>
      </c>
      <c r="BF129" s="1">
        <v>7.9017764525299156E-2</v>
      </c>
      <c r="BG129" s="3">
        <f t="shared" si="224"/>
        <v>2.9030876169342551E-2</v>
      </c>
      <c r="BH129" s="11">
        <f t="shared" si="233"/>
        <v>0.81904752235096001</v>
      </c>
      <c r="BI129" s="3">
        <v>5.8818212393094253E-3</v>
      </c>
      <c r="BJ129" s="11">
        <v>0</v>
      </c>
      <c r="BK129" s="11"/>
      <c r="BN129" s="7">
        <v>7.75</v>
      </c>
      <c r="BO129" s="7">
        <v>6.75</v>
      </c>
      <c r="BP129" s="11">
        <v>-1.0945061693637103E-4</v>
      </c>
      <c r="BQ129" s="11">
        <v>2.692151003371369E-3</v>
      </c>
      <c r="BR129" s="11">
        <v>-2.0740213674575271E-2</v>
      </c>
      <c r="BS129" s="1">
        <v>7.9017764525299156E-2</v>
      </c>
      <c r="BT129" s="3">
        <f t="shared" si="225"/>
        <v>2.9030876169342551E-2</v>
      </c>
      <c r="BU129" s="11">
        <f t="shared" si="234"/>
        <v>0.81904854092813617</v>
      </c>
      <c r="BV129" s="3">
        <v>5.8818285540118143E-3</v>
      </c>
      <c r="BW129" s="11">
        <v>0</v>
      </c>
      <c r="BX129" s="11"/>
      <c r="CA129" s="7">
        <v>7.75</v>
      </c>
      <c r="CB129" s="7">
        <v>6.75</v>
      </c>
      <c r="CC129" s="11">
        <v>-1.0972839471414879E-4</v>
      </c>
      <c r="CD129" s="11">
        <v>2.6994426700380353E-3</v>
      </c>
      <c r="CE129" s="11">
        <v>-2.0803182424575267E-2</v>
      </c>
      <c r="CF129" s="1">
        <v>7.9196006712799152E-2</v>
      </c>
      <c r="CG129" s="3">
        <f t="shared" si="226"/>
        <v>2.9029765058231474E-2</v>
      </c>
      <c r="CH129" s="11">
        <f t="shared" si="235"/>
        <v>0.819042782069068</v>
      </c>
      <c r="CI129" s="3">
        <v>5.8815712394044099E-3</v>
      </c>
      <c r="CJ129" s="11">
        <v>0</v>
      </c>
      <c r="CK129" s="11"/>
      <c r="CN129" s="7">
        <v>7.75</v>
      </c>
      <c r="CO129" s="7">
        <v>6.75</v>
      </c>
      <c r="CP129" s="11">
        <v>-1.0880246878822289E-4</v>
      </c>
      <c r="CQ129" s="11">
        <v>2.6756926700380358E-3</v>
      </c>
      <c r="CR129" s="11">
        <v>-2.0605786591241938E-2</v>
      </c>
      <c r="CS129" s="1">
        <v>7.8670928587799144E-2</v>
      </c>
      <c r="CT129" s="3">
        <f t="shared" si="227"/>
        <v>2.9039024317490697E-2</v>
      </c>
      <c r="CU129" s="11">
        <f t="shared" si="236"/>
        <v>0.81904039023319486</v>
      </c>
      <c r="CV129" s="3">
        <v>5.8836176614161439E-3</v>
      </c>
      <c r="CW129" s="11">
        <v>0</v>
      </c>
      <c r="CX129" s="11"/>
      <c r="DA129" s="7">
        <v>7.75</v>
      </c>
      <c r="DB129" s="7">
        <v>6.75</v>
      </c>
      <c r="DC129" s="11">
        <v>-1.0982098730674151E-4</v>
      </c>
      <c r="DD129" s="11">
        <v>2.7013176700380385E-3</v>
      </c>
      <c r="DE129" s="11">
        <v>-2.0811672007908621E-2</v>
      </c>
      <c r="DF129" s="1">
        <v>7.9196358275299195E-2</v>
      </c>
      <c r="DG129" s="3">
        <f t="shared" si="228"/>
        <v>2.9033839132305561E-2</v>
      </c>
      <c r="DH129" s="11">
        <f t="shared" si="237"/>
        <v>0.81905534373640776</v>
      </c>
      <c r="DI129" s="3">
        <v>5.8822933335212864E-3</v>
      </c>
      <c r="DJ129" s="11">
        <v>0</v>
      </c>
      <c r="DK129" s="11"/>
    </row>
    <row r="130" spans="1:115" x14ac:dyDescent="0.25">
      <c r="A130" s="7">
        <v>8</v>
      </c>
      <c r="B130" s="7">
        <v>6.75</v>
      </c>
      <c r="C130" s="11">
        <v>-1.0945061693637103E-4</v>
      </c>
      <c r="D130" s="11">
        <v>2.692151003371369E-3</v>
      </c>
      <c r="E130" s="11">
        <v>-2.0740213674575271E-2</v>
      </c>
      <c r="F130" s="1">
        <v>7.9017764525299156E-2</v>
      </c>
      <c r="G130" s="3">
        <f t="shared" si="220"/>
        <v>2.9355003473042637E-2</v>
      </c>
      <c r="H130" s="11">
        <f t="shared" si="229"/>
        <v>0.8131540179337754</v>
      </c>
      <c r="I130" s="3">
        <v>5.9016434003096967E-3</v>
      </c>
      <c r="J130" s="11">
        <v>0.8131540179337754</v>
      </c>
      <c r="N130" s="7">
        <v>8</v>
      </c>
      <c r="O130" s="7">
        <v>6.75</v>
      </c>
      <c r="P130" s="11">
        <v>-1.0945061693637103E-4</v>
      </c>
      <c r="Q130" s="11">
        <v>2.692151003371369E-3</v>
      </c>
      <c r="R130" s="11">
        <v>-2.0740213674575271E-2</v>
      </c>
      <c r="S130" s="1">
        <v>7.9017764525299156E-2</v>
      </c>
      <c r="T130" s="3">
        <f t="shared" si="221"/>
        <v>2.9355003473042637E-2</v>
      </c>
      <c r="U130" s="11">
        <f t="shared" si="230"/>
        <v>0.81314997684545398</v>
      </c>
      <c r="V130" s="3">
        <v>5.9016140712260341E-3</v>
      </c>
      <c r="W130" s="11">
        <v>0.81314997684545398</v>
      </c>
      <c r="AA130" s="7">
        <v>8</v>
      </c>
      <c r="AB130" s="7">
        <v>6.75</v>
      </c>
      <c r="AC130" s="11">
        <v>-1.0945061693637103E-4</v>
      </c>
      <c r="AD130" s="11">
        <v>2.692151003371369E-3</v>
      </c>
      <c r="AE130" s="11">
        <v>-2.0740213674575271E-2</v>
      </c>
      <c r="AF130" s="1">
        <v>7.9017764525299156E-2</v>
      </c>
      <c r="AG130" s="3">
        <f t="shared" si="222"/>
        <v>2.9355003473042637E-2</v>
      </c>
      <c r="AH130" s="11">
        <f t="shared" si="231"/>
        <v>0.81314694085098638</v>
      </c>
      <c r="AI130" s="3">
        <v>5.9015920368311742E-3</v>
      </c>
      <c r="AJ130" s="11">
        <v>0.81314694085098638</v>
      </c>
      <c r="AK130" s="11"/>
      <c r="AN130" s="7">
        <v>8</v>
      </c>
      <c r="AO130" s="7">
        <v>6.75</v>
      </c>
      <c r="AP130" s="11">
        <v>-1.0945061693637103E-4</v>
      </c>
      <c r="AQ130" s="11">
        <v>2.692151003371369E-3</v>
      </c>
      <c r="AR130" s="11">
        <v>-2.0740213674575271E-2</v>
      </c>
      <c r="AS130" s="1">
        <v>7.9017764525299156E-2</v>
      </c>
      <c r="AT130" s="3">
        <f t="shared" si="223"/>
        <v>2.9355003473042637E-2</v>
      </c>
      <c r="AU130" s="11">
        <f t="shared" si="232"/>
        <v>0.8131459338621434</v>
      </c>
      <c r="AV130" s="3">
        <v>5.9015847283890735E-3</v>
      </c>
      <c r="AW130" s="11">
        <v>0.8131459338621434</v>
      </c>
      <c r="AX130" s="11"/>
      <c r="BA130" s="7">
        <v>8</v>
      </c>
      <c r="BB130" s="7">
        <v>6.75</v>
      </c>
      <c r="BC130" s="11">
        <v>-1.0945061693637103E-4</v>
      </c>
      <c r="BD130" s="11">
        <v>2.692151003371369E-3</v>
      </c>
      <c r="BE130" s="11">
        <v>-2.0740213674575271E-2</v>
      </c>
      <c r="BF130" s="1">
        <v>7.9017764525299156E-2</v>
      </c>
      <c r="BG130" s="3">
        <f t="shared" si="224"/>
        <v>2.9355003473042637E-2</v>
      </c>
      <c r="BH130" s="11">
        <f t="shared" si="233"/>
        <v>0.81314593759547538</v>
      </c>
      <c r="BI130" s="3">
        <v>5.9015847554845478E-3</v>
      </c>
      <c r="BJ130" s="11">
        <v>0.81314593759547538</v>
      </c>
      <c r="BK130" s="11"/>
      <c r="BN130" s="7">
        <v>8</v>
      </c>
      <c r="BO130" s="7">
        <v>6.75</v>
      </c>
      <c r="BP130" s="11">
        <v>-1.0945061693637103E-4</v>
      </c>
      <c r="BQ130" s="11">
        <v>2.692151003371369E-3</v>
      </c>
      <c r="BR130" s="11">
        <v>-2.0740213674575271E-2</v>
      </c>
      <c r="BS130" s="1">
        <v>7.9017764525299156E-2</v>
      </c>
      <c r="BT130" s="3">
        <f t="shared" si="225"/>
        <v>2.9355003473042637E-2</v>
      </c>
      <c r="BU130" s="11">
        <f t="shared" si="234"/>
        <v>0.81314694883337102</v>
      </c>
      <c r="BV130" s="3">
        <v>5.9015920947650792E-3</v>
      </c>
      <c r="BW130" s="11">
        <v>0.81314694883337102</v>
      </c>
      <c r="BX130" s="11"/>
      <c r="CA130" s="7">
        <v>8</v>
      </c>
      <c r="CB130" s="7">
        <v>6.75</v>
      </c>
      <c r="CC130" s="11">
        <v>-1.0972839471414879E-4</v>
      </c>
      <c r="CD130" s="11">
        <v>2.6994426700380353E-3</v>
      </c>
      <c r="CE130" s="11">
        <v>-2.0803182424575267E-2</v>
      </c>
      <c r="CF130" s="1">
        <v>7.9196006712799152E-2</v>
      </c>
      <c r="CG130" s="3">
        <f t="shared" si="226"/>
        <v>2.9353940104987084E-2</v>
      </c>
      <c r="CH130" s="11">
        <f t="shared" si="235"/>
        <v>0.81314145571444341</v>
      </c>
      <c r="CI130" s="3">
        <v>5.9013263546246562E-3</v>
      </c>
      <c r="CJ130" s="11">
        <v>0.81314145571444341</v>
      </c>
      <c r="CK130" s="11"/>
      <c r="CN130" s="7">
        <v>8</v>
      </c>
      <c r="CO130" s="7">
        <v>6.75</v>
      </c>
      <c r="CP130" s="11">
        <v>-1.0880246878822289E-4</v>
      </c>
      <c r="CQ130" s="11">
        <v>2.6756926700380358E-3</v>
      </c>
      <c r="CR130" s="11">
        <v>-2.0605786591241938E-2</v>
      </c>
      <c r="CS130" s="1">
        <v>7.8670928587799144E-2</v>
      </c>
      <c r="CT130" s="3">
        <f t="shared" si="227"/>
        <v>2.9362102720727812E-2</v>
      </c>
      <c r="CU130" s="11">
        <f t="shared" si="236"/>
        <v>0.81313721241202264</v>
      </c>
      <c r="CV130" s="3">
        <v>5.9031778211723306E-3</v>
      </c>
      <c r="CW130" s="11">
        <v>0.81313721241202264</v>
      </c>
      <c r="CX130" s="11"/>
      <c r="DA130" s="7">
        <v>8</v>
      </c>
      <c r="DB130" s="7">
        <v>6.75</v>
      </c>
      <c r="DC130" s="11">
        <v>-1.0982098730674151E-4</v>
      </c>
      <c r="DD130" s="11">
        <v>2.7013176700380385E-3</v>
      </c>
      <c r="DE130" s="11">
        <v>-2.0811672007908621E-2</v>
      </c>
      <c r="DF130" s="1">
        <v>7.9196358275299195E-2</v>
      </c>
      <c r="DG130" s="3">
        <f t="shared" si="228"/>
        <v>2.9358967593413027E-2</v>
      </c>
      <c r="DH130" s="11">
        <f t="shared" si="237"/>
        <v>0.81315310462897461</v>
      </c>
      <c r="DI130" s="3">
        <v>5.9022391074331207E-3</v>
      </c>
      <c r="DJ130" s="11">
        <v>0.81315310462897461</v>
      </c>
      <c r="DK130" s="11"/>
    </row>
    <row r="131" spans="1:115" x14ac:dyDescent="0.25">
      <c r="A131" s="7">
        <v>8.25</v>
      </c>
      <c r="B131" s="7">
        <v>6.75</v>
      </c>
      <c r="C131" s="11">
        <v>-1.0945061693637103E-4</v>
      </c>
      <c r="D131" s="11">
        <v>2.692151003371369E-3</v>
      </c>
      <c r="E131" s="11">
        <v>-2.0740213674575271E-2</v>
      </c>
      <c r="F131" s="1">
        <v>7.9017764525299156E-2</v>
      </c>
      <c r="G131" s="3">
        <f t="shared" si="220"/>
        <v>2.9687297801355012E-2</v>
      </c>
      <c r="H131" s="11">
        <f t="shared" si="229"/>
        <v>0.80722995837585843</v>
      </c>
      <c r="I131" s="3">
        <v>5.924059557916847E-3</v>
      </c>
      <c r="J131" s="11">
        <v>0</v>
      </c>
      <c r="N131" s="7">
        <v>8.25</v>
      </c>
      <c r="O131" s="7">
        <v>6.75</v>
      </c>
      <c r="P131" s="11">
        <v>-1.0945061693637103E-4</v>
      </c>
      <c r="Q131" s="11">
        <v>2.692151003371369E-3</v>
      </c>
      <c r="R131" s="11">
        <v>-2.0740213674575271E-2</v>
      </c>
      <c r="S131" s="1">
        <v>7.9017764525299156E-2</v>
      </c>
      <c r="T131" s="3">
        <f t="shared" si="221"/>
        <v>2.9687297801355012E-2</v>
      </c>
      <c r="U131" s="11">
        <f t="shared" si="230"/>
        <v>0.80722594672802106</v>
      </c>
      <c r="V131" s="3">
        <v>5.9240301174327973E-3</v>
      </c>
      <c r="W131" s="11">
        <v>0</v>
      </c>
      <c r="AA131" s="7">
        <v>8.25</v>
      </c>
      <c r="AB131" s="7">
        <v>6.75</v>
      </c>
      <c r="AC131" s="11">
        <v>-1.0945061693637103E-4</v>
      </c>
      <c r="AD131" s="11">
        <v>2.692151003371369E-3</v>
      </c>
      <c r="AE131" s="11">
        <v>-2.0740213674575271E-2</v>
      </c>
      <c r="AF131" s="1">
        <v>7.9017764525299156E-2</v>
      </c>
      <c r="AG131" s="3">
        <f t="shared" si="222"/>
        <v>2.9687297801355012E-2</v>
      </c>
      <c r="AH131" s="11">
        <f t="shared" si="231"/>
        <v>0.80722293285164137</v>
      </c>
      <c r="AI131" s="3">
        <v>5.9240079993448987E-3</v>
      </c>
      <c r="AJ131" s="11">
        <v>0</v>
      </c>
      <c r="AK131" s="11"/>
      <c r="AN131" s="7">
        <v>8.25</v>
      </c>
      <c r="AO131" s="7">
        <v>6.75</v>
      </c>
      <c r="AP131" s="11">
        <v>-1.0945061693637103E-4</v>
      </c>
      <c r="AQ131" s="11">
        <v>2.692151003371369E-3</v>
      </c>
      <c r="AR131" s="11">
        <v>-2.0740213674575271E-2</v>
      </c>
      <c r="AS131" s="1">
        <v>7.9017764525299156E-2</v>
      </c>
      <c r="AT131" s="3">
        <f t="shared" si="223"/>
        <v>2.9687297801355012E-2</v>
      </c>
      <c r="AU131" s="11">
        <f t="shared" si="232"/>
        <v>0.80722193319900015</v>
      </c>
      <c r="AV131" s="3">
        <v>5.9240006631432101E-3</v>
      </c>
      <c r="AW131" s="11">
        <v>0</v>
      </c>
      <c r="AX131" s="11"/>
      <c r="BA131" s="7">
        <v>8.25</v>
      </c>
      <c r="BB131" s="7">
        <v>6.75</v>
      </c>
      <c r="BC131" s="11">
        <v>-1.0945061693637103E-4</v>
      </c>
      <c r="BD131" s="11">
        <v>2.692151003371369E-3</v>
      </c>
      <c r="BE131" s="11">
        <v>-2.0740213674575271E-2</v>
      </c>
      <c r="BF131" s="1">
        <v>7.9017764525299156E-2</v>
      </c>
      <c r="BG131" s="3">
        <f t="shared" si="224"/>
        <v>2.9687297801355012E-2</v>
      </c>
      <c r="BH131" s="11">
        <f t="shared" si="233"/>
        <v>0.80722193690513366</v>
      </c>
      <c r="BI131" s="3">
        <v>5.9240006903416012E-3</v>
      </c>
      <c r="BJ131" s="11">
        <v>0</v>
      </c>
      <c r="BK131" s="11"/>
      <c r="BN131" s="7">
        <v>8.25</v>
      </c>
      <c r="BO131" s="7">
        <v>6.75</v>
      </c>
      <c r="BP131" s="11">
        <v>-1.0945061693637103E-4</v>
      </c>
      <c r="BQ131" s="11">
        <v>2.692151003371369E-3</v>
      </c>
      <c r="BR131" s="11">
        <v>-2.0740213674575271E-2</v>
      </c>
      <c r="BS131" s="1">
        <v>7.9017764525299156E-2</v>
      </c>
      <c r="BT131" s="3">
        <f t="shared" si="225"/>
        <v>2.9687297801355012E-2</v>
      </c>
      <c r="BU131" s="11">
        <f t="shared" si="234"/>
        <v>0.80722294077587209</v>
      </c>
      <c r="BV131" s="3">
        <v>5.9240080574988543E-3</v>
      </c>
      <c r="BW131" s="11">
        <v>0</v>
      </c>
      <c r="BX131" s="11"/>
      <c r="CA131" s="7">
        <v>8.25</v>
      </c>
      <c r="CB131" s="7">
        <v>6.75</v>
      </c>
      <c r="CC131" s="11">
        <v>-1.0972839471414879E-4</v>
      </c>
      <c r="CD131" s="11">
        <v>2.6994426700380353E-3</v>
      </c>
      <c r="CE131" s="11">
        <v>-2.0803182424575267E-2</v>
      </c>
      <c r="CF131" s="1">
        <v>7.9196006712799152E-2</v>
      </c>
      <c r="CG131" s="3">
        <f t="shared" si="226"/>
        <v>2.9686360301355033E-2</v>
      </c>
      <c r="CH131" s="11">
        <f t="shared" si="235"/>
        <v>0.80721770070489918</v>
      </c>
      <c r="CI131" s="3">
        <v>5.9237550095442501E-3</v>
      </c>
      <c r="CJ131" s="11">
        <v>0</v>
      </c>
      <c r="CK131" s="11"/>
      <c r="CN131" s="7">
        <v>8.25</v>
      </c>
      <c r="CO131" s="7">
        <v>6.75</v>
      </c>
      <c r="CP131" s="11">
        <v>-1.0880246878822289E-4</v>
      </c>
      <c r="CQ131" s="11">
        <v>2.6756926700380358E-3</v>
      </c>
      <c r="CR131" s="11">
        <v>-2.0605786591241938E-2</v>
      </c>
      <c r="CS131" s="1">
        <v>7.8670928587799144E-2</v>
      </c>
      <c r="CT131" s="3">
        <f t="shared" si="227"/>
        <v>2.9693235301355009E-2</v>
      </c>
      <c r="CU131" s="11">
        <f t="shared" si="236"/>
        <v>0.80721185307517707</v>
      </c>
      <c r="CV131" s="3">
        <v>5.925359336845599E-3</v>
      </c>
      <c r="CW131" s="11">
        <v>0</v>
      </c>
      <c r="CX131" s="11"/>
      <c r="DA131" s="7">
        <v>8.25</v>
      </c>
      <c r="DB131" s="7">
        <v>6.75</v>
      </c>
      <c r="DC131" s="11">
        <v>-1.0982098730674151E-4</v>
      </c>
      <c r="DD131" s="11">
        <v>2.7013176700380385E-3</v>
      </c>
      <c r="DE131" s="11">
        <v>-2.0811672007908621E-2</v>
      </c>
      <c r="DF131" s="1">
        <v>7.9196358275299195E-2</v>
      </c>
      <c r="DG131" s="3">
        <f t="shared" si="228"/>
        <v>2.9692297801355044E-2</v>
      </c>
      <c r="DH131" s="11">
        <f t="shared" si="237"/>
        <v>0.8072282575653873</v>
      </c>
      <c r="DI131" s="3">
        <v>5.9248470635873676E-3</v>
      </c>
      <c r="DJ131" s="11">
        <v>0</v>
      </c>
      <c r="DK131" s="11"/>
    </row>
    <row r="132" spans="1:115" x14ac:dyDescent="0.25">
      <c r="A132" s="7">
        <v>8.5</v>
      </c>
      <c r="B132" s="7">
        <v>6.75</v>
      </c>
      <c r="C132" s="11">
        <v>-1.0945061693637103E-4</v>
      </c>
      <c r="D132" s="11">
        <v>2.692151003371369E-3</v>
      </c>
      <c r="E132" s="11">
        <v>-2.0740213674575271E-2</v>
      </c>
      <c r="F132" s="1">
        <v>7.9017764525299156E-2</v>
      </c>
      <c r="G132" s="3">
        <f t="shared" si="220"/>
        <v>3.0017498158941891E-2</v>
      </c>
      <c r="H132" s="11">
        <f t="shared" si="229"/>
        <v>0.8012829767870997</v>
      </c>
      <c r="I132" s="3">
        <v>5.9469815887587159E-3</v>
      </c>
      <c r="J132" s="11">
        <v>0</v>
      </c>
      <c r="N132" s="7">
        <v>8.5</v>
      </c>
      <c r="O132" s="7">
        <v>6.75</v>
      </c>
      <c r="P132" s="11">
        <v>-1.0945061693637103E-4</v>
      </c>
      <c r="Q132" s="11">
        <v>2.692151003371369E-3</v>
      </c>
      <c r="R132" s="11">
        <v>-2.0740213674575271E-2</v>
      </c>
      <c r="S132" s="1">
        <v>7.9017764525299156E-2</v>
      </c>
      <c r="T132" s="3">
        <f t="shared" si="221"/>
        <v>3.0017498158941891E-2</v>
      </c>
      <c r="U132" s="11">
        <f t="shared" si="230"/>
        <v>0.80127899469366082</v>
      </c>
      <c r="V132" s="3">
        <v>5.9469520343602674E-3</v>
      </c>
      <c r="W132" s="11">
        <v>0</v>
      </c>
      <c r="AA132" s="7">
        <v>8.5</v>
      </c>
      <c r="AB132" s="7">
        <v>6.75</v>
      </c>
      <c r="AC132" s="11">
        <v>-1.0945061693637103E-4</v>
      </c>
      <c r="AD132" s="11">
        <v>2.692151003371369E-3</v>
      </c>
      <c r="AE132" s="11">
        <v>-2.0740213674575271E-2</v>
      </c>
      <c r="AF132" s="1">
        <v>7.9017764525299156E-2</v>
      </c>
      <c r="AG132" s="3">
        <f t="shared" si="222"/>
        <v>3.0017498158941891E-2</v>
      </c>
      <c r="AH132" s="11">
        <f t="shared" si="231"/>
        <v>0.8012760030209507</v>
      </c>
      <c r="AI132" s="3">
        <v>5.9469298306906006E-3</v>
      </c>
      <c r="AJ132" s="11">
        <v>0</v>
      </c>
      <c r="AK132" s="11"/>
      <c r="AN132" s="7">
        <v>8.5</v>
      </c>
      <c r="AO132" s="7">
        <v>6.75</v>
      </c>
      <c r="AP132" s="11">
        <v>-1.0945061693637103E-4</v>
      </c>
      <c r="AQ132" s="11">
        <v>2.692151003371369E-3</v>
      </c>
      <c r="AR132" s="11">
        <v>-2.0740213674575271E-2</v>
      </c>
      <c r="AS132" s="1">
        <v>7.9017764525299156E-2</v>
      </c>
      <c r="AT132" s="3">
        <f t="shared" si="223"/>
        <v>3.0017498158941891E-2</v>
      </c>
      <c r="AU132" s="11">
        <f t="shared" si="232"/>
        <v>0.80127501073289731</v>
      </c>
      <c r="AV132" s="3">
        <v>5.9469224661028641E-3</v>
      </c>
      <c r="AW132" s="11">
        <v>0</v>
      </c>
      <c r="AX132" s="11"/>
      <c r="BA132" s="7">
        <v>8.5</v>
      </c>
      <c r="BB132" s="7">
        <v>6.75</v>
      </c>
      <c r="BC132" s="11">
        <v>-1.0945061693637103E-4</v>
      </c>
      <c r="BD132" s="11">
        <v>2.692151003371369E-3</v>
      </c>
      <c r="BE132" s="11">
        <v>-2.0740213674575271E-2</v>
      </c>
      <c r="BF132" s="1">
        <v>7.9017764525299156E-2</v>
      </c>
      <c r="BG132" s="3">
        <f t="shared" si="224"/>
        <v>3.0017498158941891E-2</v>
      </c>
      <c r="BH132" s="11">
        <f t="shared" si="233"/>
        <v>0.8012750144117271</v>
      </c>
      <c r="BI132" s="3">
        <v>5.9469224934064931E-3</v>
      </c>
      <c r="BJ132" s="11">
        <v>0</v>
      </c>
      <c r="BK132" s="11"/>
      <c r="BN132" s="7">
        <v>8.5</v>
      </c>
      <c r="BO132" s="7">
        <v>6.75</v>
      </c>
      <c r="BP132" s="11">
        <v>-1.0945061693637103E-4</v>
      </c>
      <c r="BQ132" s="11">
        <v>2.692151003371369E-3</v>
      </c>
      <c r="BR132" s="11">
        <v>-2.0740213674575271E-2</v>
      </c>
      <c r="BS132" s="1">
        <v>7.9017764525299156E-2</v>
      </c>
      <c r="BT132" s="3">
        <f t="shared" si="225"/>
        <v>3.0017498158941891E-2</v>
      </c>
      <c r="BU132" s="11">
        <f t="shared" si="234"/>
        <v>0.80127601088680245</v>
      </c>
      <c r="BV132" s="3">
        <v>5.9469298890695715E-3</v>
      </c>
      <c r="BW132" s="11">
        <v>0</v>
      </c>
      <c r="BX132" s="11"/>
      <c r="CA132" s="7">
        <v>8.5</v>
      </c>
      <c r="CB132" s="7">
        <v>6.75</v>
      </c>
      <c r="CC132" s="11">
        <v>-1.0972839471414879E-4</v>
      </c>
      <c r="CD132" s="11">
        <v>2.6994426700380353E-3</v>
      </c>
      <c r="CE132" s="11">
        <v>-2.0803182424575267E-2</v>
      </c>
      <c r="CF132" s="1">
        <v>7.9196006712799152E-2</v>
      </c>
      <c r="CG132" s="3">
        <f t="shared" si="226"/>
        <v>3.0016738610330843E-2</v>
      </c>
      <c r="CH132" s="11">
        <f t="shared" si="235"/>
        <v>0.80127099583455663</v>
      </c>
      <c r="CI132" s="3">
        <v>5.9467048703425486E-3</v>
      </c>
      <c r="CJ132" s="11">
        <v>0</v>
      </c>
      <c r="CK132" s="11"/>
      <c r="CN132" s="7">
        <v>8.5</v>
      </c>
      <c r="CO132" s="7">
        <v>6.75</v>
      </c>
      <c r="CP132" s="11">
        <v>-1.0880246878822289E-4</v>
      </c>
      <c r="CQ132" s="11">
        <v>2.6756926700380358E-3</v>
      </c>
      <c r="CR132" s="11">
        <v>-2.0605786591241938E-2</v>
      </c>
      <c r="CS132" s="1">
        <v>7.8670928587799144E-2</v>
      </c>
      <c r="CT132" s="3">
        <f t="shared" si="227"/>
        <v>3.0022221827923384E-2</v>
      </c>
      <c r="CU132" s="11">
        <f t="shared" si="236"/>
        <v>0.80126382425714426</v>
      </c>
      <c r="CV132" s="3">
        <v>5.9480288180327381E-3</v>
      </c>
      <c r="CW132" s="11">
        <v>0</v>
      </c>
      <c r="CX132" s="11"/>
      <c r="DA132" s="7">
        <v>8.5</v>
      </c>
      <c r="DB132" s="7">
        <v>6.75</v>
      </c>
      <c r="DC132" s="11">
        <v>-1.0982098730674151E-4</v>
      </c>
      <c r="DD132" s="11">
        <v>2.7013176700380385E-3</v>
      </c>
      <c r="DE132" s="11">
        <v>-2.0811672007908621E-2</v>
      </c>
      <c r="DF132" s="1">
        <v>7.9196358275299195E-2</v>
      </c>
      <c r="DG132" s="3">
        <f t="shared" si="228"/>
        <v>3.0023534038571581E-2</v>
      </c>
      <c r="DH132" s="11">
        <f t="shared" si="237"/>
        <v>0.801280294285318</v>
      </c>
      <c r="DI132" s="3">
        <v>5.9479632800692678E-3</v>
      </c>
      <c r="DJ132" s="11">
        <v>0</v>
      </c>
      <c r="DK132" s="11"/>
    </row>
    <row r="133" spans="1:115" x14ac:dyDescent="0.25">
      <c r="A133" s="7">
        <v>8.75</v>
      </c>
      <c r="B133" s="7">
        <v>6.75</v>
      </c>
      <c r="C133" s="11">
        <v>-1.0945061693637103E-4</v>
      </c>
      <c r="D133" s="11">
        <v>2.692151003371369E-3</v>
      </c>
      <c r="E133" s="11">
        <v>-2.0740213674575271E-2</v>
      </c>
      <c r="F133" s="1">
        <v>7.9017764525299156E-2</v>
      </c>
      <c r="G133" s="3">
        <f t="shared" si="220"/>
        <v>3.0335343550465549E-2</v>
      </c>
      <c r="H133" s="11">
        <f t="shared" si="229"/>
        <v>0.79531463786760714</v>
      </c>
      <c r="I133" s="3">
        <v>5.9683389194926089E-3</v>
      </c>
      <c r="J133" s="11">
        <v>0</v>
      </c>
      <c r="N133" s="7">
        <v>8.75</v>
      </c>
      <c r="O133" s="7">
        <v>6.75</v>
      </c>
      <c r="P133" s="11">
        <v>-1.0945061693637103E-4</v>
      </c>
      <c r="Q133" s="11">
        <v>2.692151003371369E-3</v>
      </c>
      <c r="R133" s="11">
        <v>-2.0740213674575271E-2</v>
      </c>
      <c r="S133" s="1">
        <v>7.9017764525299156E-2</v>
      </c>
      <c r="T133" s="3">
        <f t="shared" si="221"/>
        <v>3.0335343550465549E-2</v>
      </c>
      <c r="U133" s="11">
        <f t="shared" si="230"/>
        <v>0.79531068543470507</v>
      </c>
      <c r="V133" s="3">
        <v>5.9683092589557681E-3</v>
      </c>
      <c r="W133" s="11">
        <v>0</v>
      </c>
      <c r="AA133" s="7">
        <v>8.75</v>
      </c>
      <c r="AB133" s="7">
        <v>6.75</v>
      </c>
      <c r="AC133" s="11">
        <v>-1.0945061693637103E-4</v>
      </c>
      <c r="AD133" s="11">
        <v>2.692151003371369E-3</v>
      </c>
      <c r="AE133" s="11">
        <v>-2.0740213674575271E-2</v>
      </c>
      <c r="AF133" s="1">
        <v>7.9017764525299156E-2</v>
      </c>
      <c r="AG133" s="3">
        <f t="shared" si="222"/>
        <v>3.0335343550465549E-2</v>
      </c>
      <c r="AH133" s="11">
        <f t="shared" si="231"/>
        <v>0.7953077160454044</v>
      </c>
      <c r="AI133" s="3">
        <v>5.9682869755463015E-3</v>
      </c>
      <c r="AJ133" s="11">
        <v>0</v>
      </c>
      <c r="AK133" s="11"/>
      <c r="AN133" s="7">
        <v>8.75</v>
      </c>
      <c r="AO133" s="7">
        <v>6.75</v>
      </c>
      <c r="AP133" s="11">
        <v>-1.0945061693637103E-4</v>
      </c>
      <c r="AQ133" s="11">
        <v>2.692151003371369E-3</v>
      </c>
      <c r="AR133" s="11">
        <v>-2.0740213674575271E-2</v>
      </c>
      <c r="AS133" s="1">
        <v>7.9017764525299156E-2</v>
      </c>
      <c r="AT133" s="3">
        <f t="shared" si="223"/>
        <v>3.0335343550465549E-2</v>
      </c>
      <c r="AU133" s="11">
        <f t="shared" si="232"/>
        <v>0.79530673114838712</v>
      </c>
      <c r="AV133" s="3">
        <v>5.9682795845102006E-3</v>
      </c>
      <c r="AW133" s="11">
        <v>0</v>
      </c>
      <c r="AX133" s="11"/>
      <c r="BA133" s="7">
        <v>8.75</v>
      </c>
      <c r="BB133" s="7">
        <v>6.75</v>
      </c>
      <c r="BC133" s="11">
        <v>-1.0945061693637103E-4</v>
      </c>
      <c r="BD133" s="11">
        <v>2.692151003371369E-3</v>
      </c>
      <c r="BE133" s="11">
        <v>-2.0740213674575271E-2</v>
      </c>
      <c r="BF133" s="1">
        <v>7.9017764525299156E-2</v>
      </c>
      <c r="BG133" s="3">
        <f t="shared" si="224"/>
        <v>3.0335343550465549E-2</v>
      </c>
      <c r="BH133" s="11">
        <f t="shared" si="233"/>
        <v>0.79530673479981528</v>
      </c>
      <c r="BI133" s="3">
        <v>5.9682796119118857E-3</v>
      </c>
      <c r="BJ133" s="11">
        <v>0</v>
      </c>
      <c r="BK133" s="11"/>
      <c r="BN133" s="7">
        <v>8.75</v>
      </c>
      <c r="BO133" s="7">
        <v>6.75</v>
      </c>
      <c r="BP133" s="11">
        <v>-1.0945061693637103E-4</v>
      </c>
      <c r="BQ133" s="11">
        <v>2.692151003371369E-3</v>
      </c>
      <c r="BR133" s="11">
        <v>-2.0740213674575271E-2</v>
      </c>
      <c r="BS133" s="1">
        <v>7.9017764525299156E-2</v>
      </c>
      <c r="BT133" s="3">
        <f t="shared" si="225"/>
        <v>3.0335343550465549E-2</v>
      </c>
      <c r="BU133" s="11">
        <f t="shared" si="234"/>
        <v>0.79530772385266757</v>
      </c>
      <c r="BV133" s="3">
        <v>5.9682870341349285E-3</v>
      </c>
      <c r="BW133" s="11">
        <v>0</v>
      </c>
      <c r="BX133" s="11"/>
      <c r="CA133" s="7">
        <v>8.75</v>
      </c>
      <c r="CB133" s="7">
        <v>6.75</v>
      </c>
      <c r="CC133" s="11">
        <v>-1.0972839471414879E-4</v>
      </c>
      <c r="CD133" s="11">
        <v>2.6994426700380353E-3</v>
      </c>
      <c r="CE133" s="11">
        <v>-2.0803182424575267E-2</v>
      </c>
      <c r="CF133" s="1">
        <v>7.9196006712799152E-2</v>
      </c>
      <c r="CG133" s="3">
        <f t="shared" si="226"/>
        <v>3.0334787994909976E-2</v>
      </c>
      <c r="CH133" s="11">
        <f t="shared" si="235"/>
        <v>0.79530289604787952</v>
      </c>
      <c r="CI133" s="3">
        <v>5.9680997866770804E-3</v>
      </c>
      <c r="CJ133" s="11">
        <v>0</v>
      </c>
      <c r="CK133" s="11"/>
      <c r="CN133" s="7">
        <v>8.75</v>
      </c>
      <c r="CO133" s="7">
        <v>6.75</v>
      </c>
      <c r="CP133" s="11">
        <v>-1.0880246878822289E-4</v>
      </c>
      <c r="CQ133" s="11">
        <v>2.6756926700380358E-3</v>
      </c>
      <c r="CR133" s="11">
        <v>-2.0605786591241938E-2</v>
      </c>
      <c r="CS133" s="1">
        <v>7.8670928587799144E-2</v>
      </c>
      <c r="CT133" s="3">
        <f t="shared" si="227"/>
        <v>3.0338862068984035E-2</v>
      </c>
      <c r="CU133" s="11">
        <f t="shared" si="236"/>
        <v>0.79529469581307644</v>
      </c>
      <c r="CV133" s="3">
        <v>5.969128444067758E-3</v>
      </c>
      <c r="CW133" s="11">
        <v>0</v>
      </c>
      <c r="CX133" s="11"/>
      <c r="DA133" s="7">
        <v>8.75</v>
      </c>
      <c r="DB133" s="7">
        <v>6.75</v>
      </c>
      <c r="DC133" s="11">
        <v>-1.0982098730674151E-4</v>
      </c>
      <c r="DD133" s="11">
        <v>2.7013176700380385E-3</v>
      </c>
      <c r="DE133" s="11">
        <v>-2.0811672007908621E-2</v>
      </c>
      <c r="DF133" s="1">
        <v>7.9196358275299195E-2</v>
      </c>
      <c r="DG133" s="3">
        <f t="shared" si="228"/>
        <v>3.0342380587502604E-2</v>
      </c>
      <c r="DH133" s="11">
        <f t="shared" si="237"/>
        <v>0.79531078418526069</v>
      </c>
      <c r="DI133" s="3">
        <v>5.9695101000573078E-3</v>
      </c>
      <c r="DJ133" s="11">
        <v>0</v>
      </c>
      <c r="DK133" s="11"/>
    </row>
    <row r="134" spans="1:115" x14ac:dyDescent="0.25">
      <c r="A134" s="7">
        <v>9</v>
      </c>
      <c r="B134" s="7">
        <v>6.75</v>
      </c>
      <c r="C134" s="11">
        <v>-1.0945061693637103E-4</v>
      </c>
      <c r="D134" s="11">
        <v>2.692151003371369E-3</v>
      </c>
      <c r="E134" s="11">
        <v>-2.0740213674575271E-2</v>
      </c>
      <c r="F134" s="1">
        <v>7.9017764525299156E-2</v>
      </c>
      <c r="G134" s="3">
        <f t="shared" si="220"/>
        <v>3.0630572980588133E-2</v>
      </c>
      <c r="H134" s="11">
        <f t="shared" si="229"/>
        <v>0.78932850006172073</v>
      </c>
      <c r="I134" s="3">
        <v>5.9861378058864911E-3</v>
      </c>
      <c r="J134" s="11">
        <v>0.78932850006172073</v>
      </c>
      <c r="N134" s="7">
        <v>9</v>
      </c>
      <c r="O134" s="7">
        <v>6.75</v>
      </c>
      <c r="P134" s="11">
        <v>-1.0945061693637103E-4</v>
      </c>
      <c r="Q134" s="11">
        <v>2.692151003371369E-3</v>
      </c>
      <c r="R134" s="11">
        <v>-2.0740213674575271E-2</v>
      </c>
      <c r="S134" s="1">
        <v>7.9017764525299156E-2</v>
      </c>
      <c r="T134" s="3">
        <f t="shared" si="221"/>
        <v>3.0630572980588133E-2</v>
      </c>
      <c r="U134" s="11">
        <f t="shared" si="230"/>
        <v>0.78932457737780959</v>
      </c>
      <c r="V134" s="3">
        <v>5.9861080568954705E-3</v>
      </c>
      <c r="W134" s="11">
        <v>0.78932457737780959</v>
      </c>
      <c r="AA134" s="7">
        <v>9</v>
      </c>
      <c r="AB134" s="7">
        <v>6.75</v>
      </c>
      <c r="AC134" s="11">
        <v>-1.0945061693637103E-4</v>
      </c>
      <c r="AD134" s="11">
        <v>2.692151003371369E-3</v>
      </c>
      <c r="AE134" s="11">
        <v>-2.0740213674575271E-2</v>
      </c>
      <c r="AF134" s="1">
        <v>7.9017764525299156E-2</v>
      </c>
      <c r="AG134" s="3">
        <f t="shared" si="222"/>
        <v>3.0630572980588133E-2</v>
      </c>
      <c r="AH134" s="11">
        <f t="shared" si="231"/>
        <v>0.78932163033837244</v>
      </c>
      <c r="AI134" s="3">
        <v>5.9860857070320244E-3</v>
      </c>
      <c r="AJ134" s="11">
        <v>0.78932163033837244</v>
      </c>
      <c r="AK134" s="11"/>
      <c r="AN134" s="7">
        <v>9</v>
      </c>
      <c r="AO134" s="7">
        <v>6.75</v>
      </c>
      <c r="AP134" s="11">
        <v>-1.0945061693637103E-4</v>
      </c>
      <c r="AQ134" s="11">
        <v>2.692151003371369E-3</v>
      </c>
      <c r="AR134" s="11">
        <v>-2.0740213674575271E-2</v>
      </c>
      <c r="AS134" s="1">
        <v>7.9017764525299156E-2</v>
      </c>
      <c r="AT134" s="3">
        <f t="shared" si="223"/>
        <v>3.0630572980588133E-2</v>
      </c>
      <c r="AU134" s="11">
        <f t="shared" si="232"/>
        <v>0.78932065285443287</v>
      </c>
      <c r="AV134" s="3">
        <v>5.9860782939542443E-3</v>
      </c>
      <c r="AW134" s="11">
        <v>0.78932065285443287</v>
      </c>
      <c r="AX134" s="11"/>
      <c r="BA134" s="7">
        <v>9</v>
      </c>
      <c r="BB134" s="7">
        <v>6.75</v>
      </c>
      <c r="BC134" s="11">
        <v>-1.0945061693637103E-4</v>
      </c>
      <c r="BD134" s="11">
        <v>2.692151003371369E-3</v>
      </c>
      <c r="BE134" s="11">
        <v>-2.0740213674575271E-2</v>
      </c>
      <c r="BF134" s="1">
        <v>7.9017764525299156E-2</v>
      </c>
      <c r="BG134" s="3">
        <f t="shared" si="224"/>
        <v>3.0630572980588133E-2</v>
      </c>
      <c r="BH134" s="11">
        <f t="shared" si="233"/>
        <v>0.78932065647837768</v>
      </c>
      <c r="BI134" s="3">
        <v>5.986078321437647E-3</v>
      </c>
      <c r="BJ134" s="11">
        <v>0.78932065647837768</v>
      </c>
      <c r="BK134" s="11"/>
      <c r="BN134" s="7">
        <v>9</v>
      </c>
      <c r="BO134" s="7">
        <v>6.75</v>
      </c>
      <c r="BP134" s="11">
        <v>-1.0945061693637103E-4</v>
      </c>
      <c r="BQ134" s="11">
        <v>2.692151003371369E-3</v>
      </c>
      <c r="BR134" s="11">
        <v>-2.0740213674575271E-2</v>
      </c>
      <c r="BS134" s="1">
        <v>7.9017764525299156E-2</v>
      </c>
      <c r="BT134" s="3">
        <f t="shared" si="225"/>
        <v>3.0630572980588133E-2</v>
      </c>
      <c r="BU134" s="11">
        <f t="shared" si="234"/>
        <v>0.78932163808687217</v>
      </c>
      <c r="BV134" s="3">
        <v>5.9860857657953745E-3</v>
      </c>
      <c r="BW134" s="11">
        <v>0.78932163808687217</v>
      </c>
      <c r="BX134" s="11"/>
      <c r="CA134" s="7">
        <v>9</v>
      </c>
      <c r="CB134" s="7">
        <v>6.75</v>
      </c>
      <c r="CC134" s="11">
        <v>-1.0972839471414879E-4</v>
      </c>
      <c r="CD134" s="11">
        <v>2.6994426700380353E-3</v>
      </c>
      <c r="CE134" s="11">
        <v>-2.0803182424575267E-2</v>
      </c>
      <c r="CF134" s="1">
        <v>7.9196006712799152E-2</v>
      </c>
      <c r="CG134" s="3">
        <f t="shared" si="226"/>
        <v>3.0630221418088119E-2</v>
      </c>
      <c r="CH134" s="11">
        <f t="shared" si="235"/>
        <v>0.78931695542200098</v>
      </c>
      <c r="CI134" s="3">
        <v>5.9859406258785516E-3</v>
      </c>
      <c r="CJ134" s="11">
        <v>0.78931695542200098</v>
      </c>
      <c r="CK134" s="11"/>
      <c r="CN134" s="7">
        <v>9</v>
      </c>
      <c r="CO134" s="7">
        <v>6.75</v>
      </c>
      <c r="CP134" s="11">
        <v>-1.0880246878822289E-4</v>
      </c>
      <c r="CQ134" s="11">
        <v>2.6756926700380358E-3</v>
      </c>
      <c r="CR134" s="11">
        <v>-2.0605786591241938E-2</v>
      </c>
      <c r="CS134" s="1">
        <v>7.8670928587799144E-2</v>
      </c>
      <c r="CT134" s="3">
        <f t="shared" si="227"/>
        <v>3.0632955793088112E-2</v>
      </c>
      <c r="CU134" s="11">
        <f t="shared" si="236"/>
        <v>0.78930801903322845</v>
      </c>
      <c r="CV134" s="3">
        <v>5.9866767798480358E-3</v>
      </c>
      <c r="CW134" s="11">
        <v>0.78930801903322845</v>
      </c>
      <c r="CX134" s="11"/>
      <c r="DA134" s="7">
        <v>9</v>
      </c>
      <c r="DB134" s="7">
        <v>6.75</v>
      </c>
      <c r="DC134" s="11">
        <v>-1.0982098730674151E-4</v>
      </c>
      <c r="DD134" s="11">
        <v>2.7013176700380385E-3</v>
      </c>
      <c r="DE134" s="11">
        <v>-2.0811672007908621E-2</v>
      </c>
      <c r="DF134" s="1">
        <v>7.9196358275299195E-2</v>
      </c>
      <c r="DG134" s="3">
        <f t="shared" si="228"/>
        <v>3.0638541730588165E-2</v>
      </c>
      <c r="DH134" s="11">
        <f t="shared" si="237"/>
        <v>0.78932329721260874</v>
      </c>
      <c r="DI134" s="3">
        <v>5.9874869726518516E-3</v>
      </c>
      <c r="DJ134" s="11">
        <v>0.78932329721260874</v>
      </c>
      <c r="DK134" s="11"/>
    </row>
    <row r="135" spans="1:115" x14ac:dyDescent="0.25">
      <c r="A135" s="7">
        <v>9.25</v>
      </c>
      <c r="B135" s="7">
        <v>6.75</v>
      </c>
      <c r="C135" s="11">
        <v>-1.0945061693637103E-4</v>
      </c>
      <c r="D135" s="11">
        <v>2.692151003371369E-3</v>
      </c>
      <c r="E135" s="11">
        <v>-2.0740213674575271E-2</v>
      </c>
      <c r="F135" s="1">
        <v>7.9017764525299156E-2</v>
      </c>
      <c r="G135" s="3">
        <f t="shared" si="220"/>
        <v>3.0892925453971876E-2</v>
      </c>
      <c r="H135" s="11">
        <f t="shared" si="229"/>
        <v>0.78333003808684432</v>
      </c>
      <c r="I135" s="3">
        <v>5.9984619748764921E-3</v>
      </c>
      <c r="J135" s="11">
        <v>0</v>
      </c>
      <c r="N135" s="7">
        <v>9.25</v>
      </c>
      <c r="O135" s="7">
        <v>6.75</v>
      </c>
      <c r="P135" s="11">
        <v>-1.0945061693637103E-4</v>
      </c>
      <c r="Q135" s="11">
        <v>2.692151003371369E-3</v>
      </c>
      <c r="R135" s="11">
        <v>-2.0740213674575271E-2</v>
      </c>
      <c r="S135" s="1">
        <v>7.9017764525299156E-2</v>
      </c>
      <c r="T135" s="3">
        <f t="shared" si="221"/>
        <v>3.0892925453971876E-2</v>
      </c>
      <c r="U135" s="11">
        <f t="shared" si="230"/>
        <v>0.7833261452131709</v>
      </c>
      <c r="V135" s="3">
        <v>5.9984321646387026E-3</v>
      </c>
      <c r="W135" s="11">
        <v>0</v>
      </c>
      <c r="AA135" s="7">
        <v>9.25</v>
      </c>
      <c r="AB135" s="7">
        <v>6.75</v>
      </c>
      <c r="AC135" s="11">
        <v>-1.0945061693637103E-4</v>
      </c>
      <c r="AD135" s="11">
        <v>2.692151003371369E-3</v>
      </c>
      <c r="AE135" s="11">
        <v>-2.0740213674575271E-2</v>
      </c>
      <c r="AF135" s="1">
        <v>7.9017764525299156E-2</v>
      </c>
      <c r="AG135" s="3">
        <f t="shared" si="222"/>
        <v>3.0892925453971876E-2</v>
      </c>
      <c r="AH135" s="11">
        <f t="shared" si="231"/>
        <v>0.78332322056961079</v>
      </c>
      <c r="AI135" s="3">
        <v>5.9984097687616998E-3</v>
      </c>
      <c r="AJ135" s="11">
        <v>0</v>
      </c>
      <c r="AK135" s="11"/>
      <c r="AN135" s="7">
        <v>9.25</v>
      </c>
      <c r="AO135" s="7">
        <v>6.75</v>
      </c>
      <c r="AP135" s="11">
        <v>-1.0945061693637103E-4</v>
      </c>
      <c r="AQ135" s="11">
        <v>2.692151003371369E-3</v>
      </c>
      <c r="AR135" s="11">
        <v>-2.0740213674575271E-2</v>
      </c>
      <c r="AS135" s="1">
        <v>7.9017764525299156E-2</v>
      </c>
      <c r="AT135" s="3">
        <f t="shared" si="223"/>
        <v>3.0892925453971876E-2</v>
      </c>
      <c r="AU135" s="11">
        <f t="shared" si="232"/>
        <v>0.78332225051401094</v>
      </c>
      <c r="AV135" s="3">
        <v>5.9984023404219882E-3</v>
      </c>
      <c r="AW135" s="11">
        <v>0</v>
      </c>
      <c r="AX135" s="11"/>
      <c r="BA135" s="7">
        <v>9.25</v>
      </c>
      <c r="BB135" s="7">
        <v>6.75</v>
      </c>
      <c r="BC135" s="11">
        <v>-1.0945061693637103E-4</v>
      </c>
      <c r="BD135" s="11">
        <v>2.692151003371369E-3</v>
      </c>
      <c r="BE135" s="11">
        <v>-2.0740213674575271E-2</v>
      </c>
      <c r="BF135" s="1">
        <v>7.9017764525299156E-2</v>
      </c>
      <c r="BG135" s="3">
        <f t="shared" si="224"/>
        <v>3.0892925453971876E-2</v>
      </c>
      <c r="BH135" s="11">
        <f t="shared" si="233"/>
        <v>0.78332225411041578</v>
      </c>
      <c r="BI135" s="3">
        <v>5.9984023679619733E-3</v>
      </c>
      <c r="BJ135" s="11">
        <v>0</v>
      </c>
      <c r="BK135" s="11"/>
      <c r="BN135" s="7">
        <v>9.25</v>
      </c>
      <c r="BO135" s="7">
        <v>6.75</v>
      </c>
      <c r="BP135" s="11">
        <v>-1.0945061693637103E-4</v>
      </c>
      <c r="BQ135" s="11">
        <v>2.692151003371369E-3</v>
      </c>
      <c r="BR135" s="11">
        <v>-2.0740213674575271E-2</v>
      </c>
      <c r="BS135" s="1">
        <v>7.9017764525299156E-2</v>
      </c>
      <c r="BT135" s="3">
        <f t="shared" si="225"/>
        <v>3.0892925453971876E-2</v>
      </c>
      <c r="BU135" s="11">
        <f t="shared" si="234"/>
        <v>0.78332322825922618</v>
      </c>
      <c r="BV135" s="3">
        <v>5.9984098276460313E-3</v>
      </c>
      <c r="BW135" s="11">
        <v>0</v>
      </c>
      <c r="BX135" s="11"/>
      <c r="CA135" s="7">
        <v>9.25</v>
      </c>
      <c r="CB135" s="7">
        <v>6.75</v>
      </c>
      <c r="CC135" s="11">
        <v>-1.0972839471414879E-4</v>
      </c>
      <c r="CD135" s="11">
        <v>2.6994426700380353E-3</v>
      </c>
      <c r="CE135" s="11">
        <v>-2.0803182424575267E-2</v>
      </c>
      <c r="CF135" s="1">
        <v>7.9196006712799152E-2</v>
      </c>
      <c r="CG135" s="3">
        <f t="shared" si="226"/>
        <v>3.0892751842860791E-2</v>
      </c>
      <c r="CH135" s="11">
        <f t="shared" si="235"/>
        <v>0.78331864950320085</v>
      </c>
      <c r="CI135" s="3">
        <v>5.9983059188002006E-3</v>
      </c>
      <c r="CJ135" s="11">
        <v>0</v>
      </c>
      <c r="CK135" s="11"/>
      <c r="CN135" s="7">
        <v>9.25</v>
      </c>
      <c r="CO135" s="7">
        <v>6.75</v>
      </c>
      <c r="CP135" s="11">
        <v>-1.0880246878822289E-4</v>
      </c>
      <c r="CQ135" s="11">
        <v>2.6756926700380358E-3</v>
      </c>
      <c r="CR135" s="11">
        <v>-2.0605786591241938E-2</v>
      </c>
      <c r="CS135" s="1">
        <v>7.8670928587799144E-2</v>
      </c>
      <c r="CT135" s="3">
        <f t="shared" si="227"/>
        <v>3.0894302768786658E-2</v>
      </c>
      <c r="CU135" s="11">
        <f t="shared" si="236"/>
        <v>0.78330924962917658</v>
      </c>
      <c r="CV135" s="3">
        <v>5.9987694040518971E-3</v>
      </c>
      <c r="CW135" s="11">
        <v>0</v>
      </c>
      <c r="CX135" s="11"/>
      <c r="DA135" s="7">
        <v>9.25</v>
      </c>
      <c r="DB135" s="7">
        <v>6.75</v>
      </c>
      <c r="DC135" s="11">
        <v>-1.0982098730674151E-4</v>
      </c>
      <c r="DD135" s="11">
        <v>2.7013176700380385E-3</v>
      </c>
      <c r="DE135" s="11">
        <v>-2.0811672007908621E-2</v>
      </c>
      <c r="DF135" s="1">
        <v>7.9196358275299195E-2</v>
      </c>
      <c r="DG135" s="3">
        <f t="shared" si="228"/>
        <v>3.090172175026823E-2</v>
      </c>
      <c r="DH135" s="11">
        <f t="shared" si="237"/>
        <v>0.78332332610872746</v>
      </c>
      <c r="DI135" s="3">
        <v>5.9999711038813417E-3</v>
      </c>
      <c r="DJ135" s="11">
        <v>0</v>
      </c>
      <c r="DK135" s="11"/>
    </row>
    <row r="136" spans="1:115" x14ac:dyDescent="0.25">
      <c r="A136" s="7">
        <v>9.5</v>
      </c>
      <c r="B136" s="7">
        <v>6.75</v>
      </c>
      <c r="C136" s="11">
        <v>-1.0945061693637103E-4</v>
      </c>
      <c r="D136" s="11">
        <v>2.692151003371369E-3</v>
      </c>
      <c r="E136" s="11">
        <v>-2.0740213674575271E-2</v>
      </c>
      <c r="F136" s="1">
        <v>7.9017764525299156E-2</v>
      </c>
      <c r="G136" s="3">
        <f t="shared" si="220"/>
        <v>3.1112139975279035E-2</v>
      </c>
      <c r="H136" s="11">
        <f t="shared" si="229"/>
        <v>0.7773265651789778</v>
      </c>
      <c r="I136" s="3">
        <v>6.0034729078665425E-3</v>
      </c>
      <c r="J136" s="11">
        <v>0</v>
      </c>
      <c r="N136" s="7">
        <v>9.5</v>
      </c>
      <c r="O136" s="7">
        <v>6.75</v>
      </c>
      <c r="P136" s="11">
        <v>-1.0945061693637103E-4</v>
      </c>
      <c r="Q136" s="11">
        <v>2.692151003371369E-3</v>
      </c>
      <c r="R136" s="11">
        <v>-2.0740213674575271E-2</v>
      </c>
      <c r="S136" s="1">
        <v>7.9017764525299156E-2</v>
      </c>
      <c r="T136" s="3">
        <f t="shared" si="221"/>
        <v>3.1112139975279035E-2</v>
      </c>
      <c r="U136" s="11">
        <f t="shared" si="230"/>
        <v>0.77732270214044474</v>
      </c>
      <c r="V136" s="3">
        <v>6.003443072726186E-3</v>
      </c>
      <c r="W136" s="11">
        <v>0</v>
      </c>
      <c r="AA136" s="7">
        <v>9.5</v>
      </c>
      <c r="AB136" s="7">
        <v>6.75</v>
      </c>
      <c r="AC136" s="11">
        <v>-1.0945061693637103E-4</v>
      </c>
      <c r="AD136" s="11">
        <v>2.692151003371369E-3</v>
      </c>
      <c r="AE136" s="11">
        <v>-2.0740213674575271E-2</v>
      </c>
      <c r="AF136" s="1">
        <v>7.9017764525299156E-2</v>
      </c>
      <c r="AG136" s="3">
        <f t="shared" si="222"/>
        <v>3.1112139975279035E-2</v>
      </c>
      <c r="AH136" s="11">
        <f t="shared" si="231"/>
        <v>0.77731979991147049</v>
      </c>
      <c r="AI136" s="3">
        <v>6.0034206581403484E-3</v>
      </c>
      <c r="AJ136" s="11">
        <v>0</v>
      </c>
      <c r="AK136" s="11"/>
      <c r="AN136" s="7">
        <v>9.5</v>
      </c>
      <c r="AO136" s="7">
        <v>6.75</v>
      </c>
      <c r="AP136" s="11">
        <v>-1.0945061693637103E-4</v>
      </c>
      <c r="AQ136" s="11">
        <v>2.692151003371369E-3</v>
      </c>
      <c r="AR136" s="11">
        <v>-2.0740213674575271E-2</v>
      </c>
      <c r="AS136" s="1">
        <v>7.9017764525299156E-2</v>
      </c>
      <c r="AT136" s="3">
        <f t="shared" si="223"/>
        <v>3.1112139975279035E-2</v>
      </c>
      <c r="AU136" s="11">
        <f t="shared" si="232"/>
        <v>0.77731883729041573</v>
      </c>
      <c r="AV136" s="3">
        <v>6.0034132235952265E-3</v>
      </c>
      <c r="AW136" s="11">
        <v>0</v>
      </c>
      <c r="AX136" s="11"/>
      <c r="BA136" s="7">
        <v>9.5</v>
      </c>
      <c r="BB136" s="7">
        <v>6.75</v>
      </c>
      <c r="BC136" s="11">
        <v>-1.0945061693637103E-4</v>
      </c>
      <c r="BD136" s="11">
        <v>2.692151003371369E-3</v>
      </c>
      <c r="BE136" s="11">
        <v>-2.0740213674575271E-2</v>
      </c>
      <c r="BF136" s="1">
        <v>7.9017764525299156E-2</v>
      </c>
      <c r="BG136" s="3">
        <f t="shared" si="224"/>
        <v>3.1112139975279035E-2</v>
      </c>
      <c r="BH136" s="11">
        <f t="shared" si="233"/>
        <v>0.77731884085925762</v>
      </c>
      <c r="BI136" s="3">
        <v>6.0034132511582183E-3</v>
      </c>
      <c r="BJ136" s="11">
        <v>0</v>
      </c>
      <c r="BK136" s="11"/>
      <c r="BN136" s="7">
        <v>9.5</v>
      </c>
      <c r="BO136" s="7">
        <v>6.75</v>
      </c>
      <c r="BP136" s="11">
        <v>-1.0945061693637103E-4</v>
      </c>
      <c r="BQ136" s="11">
        <v>2.692151003371369E-3</v>
      </c>
      <c r="BR136" s="11">
        <v>-2.0740213674575271E-2</v>
      </c>
      <c r="BS136" s="1">
        <v>7.9017764525299156E-2</v>
      </c>
      <c r="BT136" s="3">
        <f t="shared" si="225"/>
        <v>3.1112139975279035E-2</v>
      </c>
      <c r="BU136" s="11">
        <f t="shared" si="234"/>
        <v>0.77731980754215235</v>
      </c>
      <c r="BV136" s="3">
        <v>6.0034207170738697E-3</v>
      </c>
      <c r="BW136" s="11">
        <v>0</v>
      </c>
      <c r="BX136" s="11"/>
      <c r="CA136" s="7">
        <v>9.5</v>
      </c>
      <c r="CB136" s="7">
        <v>6.75</v>
      </c>
      <c r="CC136" s="11">
        <v>-1.0972839471414879E-4</v>
      </c>
      <c r="CD136" s="11">
        <v>2.6994426700380353E-3</v>
      </c>
      <c r="CE136" s="11">
        <v>-2.0803182424575267E-2</v>
      </c>
      <c r="CF136" s="1">
        <v>7.9196006712799152E-2</v>
      </c>
      <c r="CG136" s="3">
        <f t="shared" si="226"/>
        <v>3.1112092232223457E-2</v>
      </c>
      <c r="CH136" s="11">
        <f t="shared" si="235"/>
        <v>0.7773152973569738</v>
      </c>
      <c r="CI136" s="3">
        <v>6.0033521462271337E-3</v>
      </c>
      <c r="CJ136" s="11">
        <v>0</v>
      </c>
      <c r="CK136" s="11"/>
      <c r="CN136" s="7">
        <v>9.5</v>
      </c>
      <c r="CO136" s="7">
        <v>6.75</v>
      </c>
      <c r="CP136" s="11">
        <v>-1.0880246878822289E-4</v>
      </c>
      <c r="CQ136" s="11">
        <v>2.6756926700380358E-3</v>
      </c>
      <c r="CR136" s="11">
        <v>-2.0605786591241938E-2</v>
      </c>
      <c r="CS136" s="1">
        <v>7.8670928587799144E-2</v>
      </c>
      <c r="CT136" s="3">
        <f t="shared" si="227"/>
        <v>3.1112702764630878E-2</v>
      </c>
      <c r="CU136" s="11">
        <f t="shared" si="236"/>
        <v>0.77730567044750154</v>
      </c>
      <c r="CV136" s="3">
        <v>6.0035791816749539E-3</v>
      </c>
      <c r="CW136" s="11">
        <v>0</v>
      </c>
      <c r="CX136" s="11"/>
      <c r="DA136" s="7">
        <v>9.5</v>
      </c>
      <c r="DB136" s="7">
        <v>6.75</v>
      </c>
      <c r="DC136" s="11">
        <v>-1.0982098730674151E-4</v>
      </c>
      <c r="DD136" s="11">
        <v>2.7013176700380385E-3</v>
      </c>
      <c r="DE136" s="11">
        <v>-2.0811672007908621E-2</v>
      </c>
      <c r="DF136" s="1">
        <v>7.9196358275299195E-2</v>
      </c>
      <c r="DG136" s="3">
        <f t="shared" si="228"/>
        <v>3.1121624928982766E-2</v>
      </c>
      <c r="DH136" s="11">
        <f t="shared" si="237"/>
        <v>0.77731820836217125</v>
      </c>
      <c r="DI136" s="3">
        <v>6.00511774655621E-3</v>
      </c>
      <c r="DJ136" s="11">
        <v>0</v>
      </c>
      <c r="DK136" s="11"/>
    </row>
    <row r="137" spans="1:115" x14ac:dyDescent="0.25">
      <c r="A137" s="7">
        <v>9.75</v>
      </c>
      <c r="B137" s="7">
        <v>9.75</v>
      </c>
      <c r="C137" s="11">
        <v>6.6639522241248886E-8</v>
      </c>
      <c r="D137" s="11">
        <v>-1.3977639790101952E-5</v>
      </c>
      <c r="E137" s="11">
        <v>7.9634229078292412E-4</v>
      </c>
      <c r="F137" s="1">
        <v>2.4780602130650007E-2</v>
      </c>
      <c r="G137" s="3">
        <f t="shared" si="220"/>
        <v>3.1277955549171774E-2</v>
      </c>
      <c r="H137" s="11">
        <f t="shared" si="229"/>
        <v>0.77132715557126108</v>
      </c>
      <c r="I137" s="3">
        <v>5.9994096077167257E-3</v>
      </c>
      <c r="J137" s="11">
        <v>0</v>
      </c>
      <c r="N137" s="7">
        <v>9.75</v>
      </c>
      <c r="O137" s="7">
        <v>9.75</v>
      </c>
      <c r="P137" s="11">
        <v>6.6639522241248886E-8</v>
      </c>
      <c r="Q137" s="11">
        <v>-1.3977639790101952E-5</v>
      </c>
      <c r="R137" s="11">
        <v>7.9634229078292412E-4</v>
      </c>
      <c r="S137" s="1">
        <v>2.4780602130650007E-2</v>
      </c>
      <c r="T137" s="3">
        <f t="shared" si="221"/>
        <v>3.1277955549171774E-2</v>
      </c>
      <c r="U137" s="11">
        <f t="shared" si="230"/>
        <v>0.77132332234767531</v>
      </c>
      <c r="V137" s="3">
        <v>5.9993797927695366E-3</v>
      </c>
      <c r="W137" s="11">
        <v>0</v>
      </c>
      <c r="AA137" s="7">
        <v>9.75</v>
      </c>
      <c r="AB137" s="7">
        <v>9.75</v>
      </c>
      <c r="AC137" s="11">
        <v>6.6639522241248886E-8</v>
      </c>
      <c r="AD137" s="11">
        <v>-1.3977639790101952E-5</v>
      </c>
      <c r="AE137" s="11">
        <v>7.9634229078292412E-4</v>
      </c>
      <c r="AF137" s="1">
        <v>2.4780602130650007E-2</v>
      </c>
      <c r="AG137" s="3">
        <f t="shared" si="222"/>
        <v>3.1277955549171774E-2</v>
      </c>
      <c r="AH137" s="11">
        <f t="shared" si="231"/>
        <v>0.77132044251811605</v>
      </c>
      <c r="AI137" s="3">
        <v>5.9993573933544483E-3</v>
      </c>
      <c r="AJ137" s="11">
        <v>0</v>
      </c>
      <c r="AK137" s="11"/>
      <c r="AN137" s="7">
        <v>9.75</v>
      </c>
      <c r="AO137" s="7">
        <v>9.75</v>
      </c>
      <c r="AP137" s="11">
        <v>6.6639522241248886E-8</v>
      </c>
      <c r="AQ137" s="11">
        <v>-1.3977639790101952E-5</v>
      </c>
      <c r="AR137" s="11">
        <v>7.9634229078292412E-4</v>
      </c>
      <c r="AS137" s="1">
        <v>2.4780602130650007E-2</v>
      </c>
      <c r="AT137" s="3">
        <f t="shared" si="223"/>
        <v>3.1277955549171774E-2</v>
      </c>
      <c r="AU137" s="11">
        <f t="shared" si="232"/>
        <v>0.77131948732657463</v>
      </c>
      <c r="AV137" s="3">
        <v>5.9993499638412136E-3</v>
      </c>
      <c r="AW137" s="11">
        <v>0</v>
      </c>
      <c r="AX137" s="11"/>
      <c r="BA137" s="7">
        <v>9.75</v>
      </c>
      <c r="BB137" s="7">
        <v>9.75</v>
      </c>
      <c r="BC137" s="11">
        <v>6.6639522241248886E-8</v>
      </c>
      <c r="BD137" s="11">
        <v>-1.3977639790101952E-5</v>
      </c>
      <c r="BE137" s="11">
        <v>7.9634229078292412E-4</v>
      </c>
      <c r="BF137" s="1">
        <v>2.4780602130650007E-2</v>
      </c>
      <c r="BG137" s="3">
        <f t="shared" si="224"/>
        <v>3.1277955549171774E-2</v>
      </c>
      <c r="BH137" s="11">
        <f t="shared" si="233"/>
        <v>0.7713194908678721</v>
      </c>
      <c r="BI137" s="3">
        <v>5.9993499913855493E-3</v>
      </c>
      <c r="BJ137" s="11">
        <v>0</v>
      </c>
      <c r="BK137" s="11"/>
      <c r="BN137" s="7">
        <v>9.75</v>
      </c>
      <c r="BO137" s="7">
        <v>9.75</v>
      </c>
      <c r="BP137" s="11">
        <v>6.6639522241248886E-8</v>
      </c>
      <c r="BQ137" s="11">
        <v>-1.3977639790101952E-5</v>
      </c>
      <c r="BR137" s="11">
        <v>7.9634229078292412E-4</v>
      </c>
      <c r="BS137" s="1">
        <v>2.4780602130650007E-2</v>
      </c>
      <c r="BT137" s="3">
        <f t="shared" si="225"/>
        <v>3.1277955549171774E-2</v>
      </c>
      <c r="BU137" s="11">
        <f t="shared" si="234"/>
        <v>0.77132045008990435</v>
      </c>
      <c r="BV137" s="3">
        <v>5.999357452248083E-3</v>
      </c>
      <c r="BW137" s="11">
        <v>0</v>
      </c>
      <c r="BX137" s="11"/>
      <c r="CA137" s="7">
        <v>9.75</v>
      </c>
      <c r="CB137" s="7">
        <v>9.75</v>
      </c>
      <c r="CC137" s="11">
        <v>6.6639522241248886E-8</v>
      </c>
      <c r="CD137" s="11">
        <v>-1.3977639790101952E-5</v>
      </c>
      <c r="CE137" s="11">
        <v>7.9634229078292412E-4</v>
      </c>
      <c r="CF137" s="1">
        <v>2.4780602130650007E-2</v>
      </c>
      <c r="CG137" s="3">
        <f t="shared" si="226"/>
        <v>3.1277955549171774E-2</v>
      </c>
      <c r="CH137" s="11">
        <f t="shared" si="235"/>
        <v>0.77131598384954492</v>
      </c>
      <c r="CI137" s="3">
        <v>5.9993135074288047E-3</v>
      </c>
      <c r="CJ137" s="11">
        <v>0</v>
      </c>
      <c r="CK137" s="11"/>
      <c r="CN137" s="7">
        <v>9.75</v>
      </c>
      <c r="CO137" s="7">
        <v>9.75</v>
      </c>
      <c r="CP137" s="11">
        <v>6.643489929738975E-8</v>
      </c>
      <c r="CQ137" s="11">
        <v>-1.3934720127627499E-5</v>
      </c>
      <c r="CR137" s="11">
        <v>7.9389704660380752E-4</v>
      </c>
      <c r="CS137" s="1">
        <v>2.4800552867676268E-2</v>
      </c>
      <c r="CT137" s="3">
        <f t="shared" si="227"/>
        <v>3.1277955549171767E-2</v>
      </c>
      <c r="CU137" s="11">
        <f t="shared" si="236"/>
        <v>0.77130631442222619</v>
      </c>
      <c r="CV137" s="3">
        <v>5.9993560252754128E-3</v>
      </c>
      <c r="CW137" s="11">
        <v>0</v>
      </c>
      <c r="CX137" s="11"/>
      <c r="DA137" s="7">
        <v>9.75</v>
      </c>
      <c r="DB137" s="7">
        <v>9.75</v>
      </c>
      <c r="DC137" s="11">
        <v>6.6844145185108075E-8</v>
      </c>
      <c r="DD137" s="11">
        <v>-1.4020559452576418E-5</v>
      </c>
      <c r="DE137" s="11">
        <v>7.9878753496204148E-4</v>
      </c>
      <c r="DF137" s="1">
        <v>2.4770651393623742E-2</v>
      </c>
      <c r="DG137" s="3">
        <f t="shared" si="228"/>
        <v>3.1287955549171784E-2</v>
      </c>
      <c r="DH137" s="11">
        <f t="shared" si="237"/>
        <v>0.77131704839182613</v>
      </c>
      <c r="DI137" s="3">
        <v>6.0011599703451157E-3</v>
      </c>
      <c r="DJ137" s="11">
        <v>0</v>
      </c>
      <c r="DK137" s="11"/>
    </row>
    <row r="138" spans="1:115" x14ac:dyDescent="0.25">
      <c r="A138" s="7">
        <v>10</v>
      </c>
      <c r="B138" s="7">
        <v>9.75</v>
      </c>
      <c r="C138" s="11">
        <v>6.6639522241248886E-8</v>
      </c>
      <c r="D138" s="11">
        <v>-1.3977639790101952E-5</v>
      </c>
      <c r="E138" s="11">
        <v>7.9634229078292412E-4</v>
      </c>
      <c r="F138" s="1">
        <v>2.4780602130650007E-2</v>
      </c>
      <c r="H138" s="11">
        <f t="shared" si="229"/>
        <v>0.76534256786685406</v>
      </c>
      <c r="I138" s="3">
        <v>5.9845877044071103E-3</v>
      </c>
      <c r="J138" s="11">
        <v>0.76534256786685406</v>
      </c>
      <c r="N138" s="7">
        <v>10</v>
      </c>
      <c r="O138" s="7">
        <v>9.75</v>
      </c>
      <c r="P138" s="11">
        <v>6.6639522241248886E-8</v>
      </c>
      <c r="Q138" s="11">
        <v>-1.3977639790101952E-5</v>
      </c>
      <c r="R138" s="11">
        <v>7.9634229078292412E-4</v>
      </c>
      <c r="S138" s="1">
        <v>2.4780602130650007E-2</v>
      </c>
      <c r="U138" s="11">
        <f t="shared" si="230"/>
        <v>0.76533876438455584</v>
      </c>
      <c r="V138" s="3">
        <v>5.9845579631195465E-3</v>
      </c>
      <c r="W138" s="11">
        <v>0.76533876438455584</v>
      </c>
      <c r="AA138" s="7">
        <v>10</v>
      </c>
      <c r="AB138" s="7">
        <v>9.75</v>
      </c>
      <c r="AC138" s="11">
        <v>6.6639522241248886E-8</v>
      </c>
      <c r="AD138" s="11">
        <v>-1.3977639790101952E-5</v>
      </c>
      <c r="AE138" s="11">
        <v>7.9634229078292412E-4</v>
      </c>
      <c r="AF138" s="1">
        <v>2.4780602130650007E-2</v>
      </c>
      <c r="AH138" s="11">
        <f t="shared" si="231"/>
        <v>0.76533590689907249</v>
      </c>
      <c r="AI138" s="3">
        <v>5.9845356190435638E-3</v>
      </c>
      <c r="AJ138" s="11">
        <v>0.76533590689907249</v>
      </c>
      <c r="AK138" s="11"/>
      <c r="AN138" s="7">
        <v>10</v>
      </c>
      <c r="AO138" s="7">
        <v>9.75</v>
      </c>
      <c r="AP138" s="11">
        <v>6.6639522241248886E-8</v>
      </c>
      <c r="AQ138" s="11">
        <v>-1.3977639790101952E-5</v>
      </c>
      <c r="AR138" s="11">
        <v>7.9634229078292412E-4</v>
      </c>
      <c r="AS138" s="1">
        <v>2.4780602130650007E-2</v>
      </c>
      <c r="AU138" s="11">
        <f t="shared" si="232"/>
        <v>0.76533495911868932</v>
      </c>
      <c r="AV138" s="3">
        <v>5.9845282078853906E-3</v>
      </c>
      <c r="AW138" s="11">
        <v>0.76533495911868932</v>
      </c>
      <c r="AX138" s="11"/>
      <c r="BA138" s="7">
        <v>10</v>
      </c>
      <c r="BB138" s="7">
        <v>9.75</v>
      </c>
      <c r="BC138" s="11">
        <v>6.6639522241248886E-8</v>
      </c>
      <c r="BD138" s="11">
        <v>-1.3977639790101952E-5</v>
      </c>
      <c r="BE138" s="11">
        <v>7.9634229078292412E-4</v>
      </c>
      <c r="BF138" s="1">
        <v>2.4780602130650007E-2</v>
      </c>
      <c r="BH138" s="11">
        <f t="shared" si="233"/>
        <v>0.76533496263251044</v>
      </c>
      <c r="BI138" s="3">
        <v>5.9845282353616757E-3</v>
      </c>
      <c r="BJ138" s="11">
        <v>0.76533496263251044</v>
      </c>
      <c r="BK138" s="11"/>
      <c r="BN138" s="7">
        <v>10</v>
      </c>
      <c r="BO138" s="7">
        <v>9.75</v>
      </c>
      <c r="BP138" s="11">
        <v>6.6639522241248886E-8</v>
      </c>
      <c r="BQ138" s="11">
        <v>-1.3977639790101952E-5</v>
      </c>
      <c r="BR138" s="11">
        <v>7.9634229078292412E-4</v>
      </c>
      <c r="BS138" s="1">
        <v>2.4780602130650007E-2</v>
      </c>
      <c r="BU138" s="11">
        <f t="shared" si="234"/>
        <v>0.76533591441211268</v>
      </c>
      <c r="BV138" s="3">
        <v>5.9845356777916987E-3</v>
      </c>
      <c r="BW138" s="11">
        <v>0.76533591441211268</v>
      </c>
      <c r="BX138" s="11"/>
      <c r="CA138" s="7">
        <v>10</v>
      </c>
      <c r="CB138" s="7">
        <v>9.75</v>
      </c>
      <c r="CC138" s="11">
        <v>6.6639522241248886E-8</v>
      </c>
      <c r="CD138" s="11">
        <v>-1.3977639790101952E-5</v>
      </c>
      <c r="CE138" s="11">
        <v>7.9634229078292412E-4</v>
      </c>
      <c r="CF138" s="1">
        <v>2.4780602130650007E-2</v>
      </c>
      <c r="CH138" s="11">
        <f t="shared" si="235"/>
        <v>0.76533148282450336</v>
      </c>
      <c r="CI138" s="3">
        <v>5.9845010250416343E-3</v>
      </c>
      <c r="CJ138" s="11">
        <v>0.76533148282450336</v>
      </c>
      <c r="CK138" s="11"/>
      <c r="CN138" s="7">
        <v>10</v>
      </c>
      <c r="CO138" s="7">
        <v>9.75</v>
      </c>
      <c r="CP138" s="11">
        <v>6.643489929738975E-8</v>
      </c>
      <c r="CQ138" s="11">
        <v>-1.3934720127627499E-5</v>
      </c>
      <c r="CR138" s="11">
        <v>7.9389704660380752E-4</v>
      </c>
      <c r="CS138" s="1">
        <v>2.4800552867676268E-2</v>
      </c>
      <c r="CU138" s="11">
        <f t="shared" si="236"/>
        <v>0.76532188842051996</v>
      </c>
      <c r="CV138" s="3">
        <v>5.9844260017063045E-3</v>
      </c>
      <c r="CW138" s="11">
        <v>0.76532188842051996</v>
      </c>
      <c r="CX138" s="11"/>
      <c r="DA138" s="7">
        <v>10</v>
      </c>
      <c r="DB138" s="7">
        <v>9.75</v>
      </c>
      <c r="DC138" s="11">
        <v>6.6844145185108075E-8</v>
      </c>
      <c r="DD138" s="11">
        <v>-1.4020559452576418E-5</v>
      </c>
      <c r="DE138" s="11">
        <v>7.9878753496204148E-4</v>
      </c>
      <c r="DF138" s="1">
        <v>2.4770651393623742E-2</v>
      </c>
      <c r="DH138" s="11">
        <f t="shared" si="237"/>
        <v>0.76533064062574674</v>
      </c>
      <c r="DI138" s="3">
        <v>5.9864077660793822E-3</v>
      </c>
      <c r="DJ138" s="11">
        <v>0.76533064062574674</v>
      </c>
      <c r="DK138" s="11"/>
    </row>
    <row r="140" spans="1:115" x14ac:dyDescent="0.25">
      <c r="A140" s="23" t="s">
        <v>86</v>
      </c>
      <c r="B140" s="23"/>
      <c r="C140" s="24"/>
      <c r="D140" s="24"/>
      <c r="E140" s="24"/>
      <c r="F140" s="25"/>
      <c r="G140" s="5"/>
      <c r="H140" s="24"/>
      <c r="I140" s="26"/>
      <c r="J140" s="2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spans="1:115" s="22" customFormat="1" x14ac:dyDescent="0.25">
      <c r="F141" s="22" t="s">
        <v>4</v>
      </c>
    </row>
    <row r="142" spans="1:115" x14ac:dyDescent="0.25">
      <c r="A142" s="29" t="s">
        <v>56</v>
      </c>
      <c r="B142" s="29"/>
      <c r="C142" s="29"/>
      <c r="D142" s="29"/>
      <c r="F142" s="3">
        <f>M84</f>
        <v>1.0000000000000001E-5</v>
      </c>
      <c r="G142" s="3">
        <f>Z84</f>
        <v>1.0000000000000001E-5</v>
      </c>
      <c r="H142" s="3">
        <f>AM84</f>
        <v>1.0000000000000001E-5</v>
      </c>
      <c r="I142" s="3">
        <f>AZ84</f>
        <v>1.0000000000000001E-5</v>
      </c>
      <c r="J142" s="3">
        <f>BM84</f>
        <v>1.0000000000000001E-5</v>
      </c>
      <c r="K142" s="3">
        <f>BZ84</f>
        <v>1.0000000000000001E-5</v>
      </c>
      <c r="L142" s="3">
        <f>CM84</f>
        <v>1.0000000000000001E-5</v>
      </c>
      <c r="M142" s="3">
        <f>CZ84</f>
        <v>1.0000000000000001E-5</v>
      </c>
      <c r="AG142" t="s">
        <v>59</v>
      </c>
    </row>
    <row r="143" spans="1:115" x14ac:dyDescent="0.25">
      <c r="A143" t="s">
        <v>9</v>
      </c>
      <c r="B143" t="s">
        <v>10</v>
      </c>
      <c r="C143" t="s">
        <v>57</v>
      </c>
      <c r="D143" t="s">
        <v>30</v>
      </c>
      <c r="F143" t="s">
        <v>58</v>
      </c>
      <c r="O143" t="s">
        <v>45</v>
      </c>
      <c r="X143" t="s">
        <v>47</v>
      </c>
      <c r="AG143" t="s">
        <v>9</v>
      </c>
      <c r="AH143" t="s">
        <v>10</v>
      </c>
    </row>
    <row r="144" spans="1:115" x14ac:dyDescent="0.25">
      <c r="A144" s="7">
        <f>A85</f>
        <v>0</v>
      </c>
      <c r="B144" s="9">
        <f>B85</f>
        <v>2.53E-2</v>
      </c>
      <c r="C144" t="str">
        <f t="array" ref="C144:C151">TRANSPOSE(A94:H94)</f>
        <v>3M Fixing</v>
      </c>
      <c r="D144" s="9">
        <f t="array" ref="D144:D151">TRANSPOSE(A95:H95)</f>
        <v>2.53E-2</v>
      </c>
      <c r="F144" s="9">
        <f t="array" ref="F144:F151">TRANSPOSE(N95:U95)</f>
        <v>2.5309999999999999E-2</v>
      </c>
      <c r="G144" s="9">
        <f t="array" ref="G144:G151">TRANSPOSE(AA95:AH95)</f>
        <v>2.53E-2</v>
      </c>
      <c r="H144" s="9">
        <f t="array" ref="H144:H151">TRANSPOSE(AN95:AU95)</f>
        <v>2.53E-2</v>
      </c>
      <c r="I144" s="9">
        <f t="array" ref="I144:I151">TRANSPOSE(BA95:BH95)</f>
        <v>2.53E-2</v>
      </c>
      <c r="J144" s="9">
        <f t="array" ref="J144:J151">TRANSPOSE(BN95:BU95)</f>
        <v>2.53E-2</v>
      </c>
      <c r="K144" s="9">
        <f t="array" ref="K144:K151">TRANSPOSE(CA95:CH95)</f>
        <v>2.53E-2</v>
      </c>
      <c r="L144" s="9">
        <f t="array" ref="L144:L151">TRANSPOSE(CN95:CU95)</f>
        <v>2.53E-2</v>
      </c>
      <c r="M144" s="9">
        <f t="array" ref="M144:M151">TRANSPOSE(DA95:DH95)</f>
        <v>2.53E-2</v>
      </c>
      <c r="O144" s="11">
        <f t="array" ref="O144:O151">(F144:F151-$D144:$D151)/F142</f>
        <v>0.99999999999995914</v>
      </c>
      <c r="P144" s="11">
        <f t="array" ref="P144:P151">(G144:G151-$D144:$D151)/G142</f>
        <v>0</v>
      </c>
      <c r="Q144" s="11">
        <f t="array" ref="Q144:Q151">(H144:H151-$D144:$D151)/H142</f>
        <v>0</v>
      </c>
      <c r="R144" s="11">
        <f t="array" ref="R144:R151">(I144:I151-$D144:$D151)/I142</f>
        <v>0</v>
      </c>
      <c r="S144" s="11">
        <f t="array" ref="S144:S151">(J144:J151-$D144:$D151)/J142</f>
        <v>0</v>
      </c>
      <c r="T144" s="11">
        <f t="array" ref="T144:T151">(K144:K151-$D144:$D151)/K142</f>
        <v>0</v>
      </c>
      <c r="U144" s="11">
        <f t="array" ref="U144:U151">(L144:L151-$D144:$D151)/L142</f>
        <v>0</v>
      </c>
      <c r="V144" s="11">
        <f t="array" ref="V144:V151">(M144:M151-$D144:$D151)/M142</f>
        <v>0</v>
      </c>
      <c r="X144" s="20">
        <f t="array" ref="X144:AE151">MINVERSE(O144:V151)</f>
        <v>1.0000000000000409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G144" s="7">
        <f t="shared" ref="AG144:AG151" si="238">A144</f>
        <v>0</v>
      </c>
      <c r="AH144" s="9">
        <f t="array" ref="AH144:AH151">B144:B151 - MMULT(X144:AE151, D144:D151-$B$2:$B$9)</f>
        <v>2.53E-2</v>
      </c>
    </row>
    <row r="145" spans="1:115" x14ac:dyDescent="0.25">
      <c r="A145" s="7">
        <f t="shared" ref="A145:A151" si="239">A86</f>
        <v>0.75</v>
      </c>
      <c r="B145" s="9">
        <f t="shared" ref="B145:B151" si="240">B86</f>
        <v>2.0702535793933476E-2</v>
      </c>
      <c r="C145" t="str">
        <v>1Y Swap</v>
      </c>
      <c r="D145" s="9">
        <v>2.3200014910232419E-2</v>
      </c>
      <c r="F145" s="9">
        <v>2.3205099878255517E-2</v>
      </c>
      <c r="G145" s="9">
        <v>2.3205103458630916E-2</v>
      </c>
      <c r="H145" s="9">
        <v>2.3200014910232419E-2</v>
      </c>
      <c r="I145" s="9">
        <v>2.3200014910232419E-2</v>
      </c>
      <c r="J145" s="9">
        <v>2.3200014910232419E-2</v>
      </c>
      <c r="K145" s="9">
        <v>2.3200014910232419E-2</v>
      </c>
      <c r="L145" s="9">
        <v>2.3200014910232419E-2</v>
      </c>
      <c r="M145" s="9">
        <v>2.3200014910232419E-2</v>
      </c>
      <c r="O145" s="11">
        <v>0.50849680230981298</v>
      </c>
      <c r="P145" s="11">
        <v>0.5088548398497067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X145" s="20">
        <v>-0.99929638570406698</v>
      </c>
      <c r="Y145" s="20">
        <v>1.9651969907476088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  <c r="AE145" s="20">
        <v>0</v>
      </c>
      <c r="AG145" s="7">
        <f t="shared" si="238"/>
        <v>0.75</v>
      </c>
      <c r="AH145" s="9">
        <v>2.0702506492389593E-2</v>
      </c>
    </row>
    <row r="146" spans="1:115" x14ac:dyDescent="0.25">
      <c r="A146" s="7">
        <f t="shared" si="239"/>
        <v>1.75</v>
      </c>
      <c r="B146" s="9">
        <f t="shared" si="240"/>
        <v>2.3715537234493399E-2</v>
      </c>
      <c r="C146" t="str">
        <v>2Y Swap</v>
      </c>
      <c r="D146" s="9">
        <v>2.2900007513969249E-2</v>
      </c>
      <c r="F146" s="9">
        <v>2.2902578398602852E-2</v>
      </c>
      <c r="G146" s="9">
        <v>2.2904663027535636E-2</v>
      </c>
      <c r="H146" s="9">
        <v>2.2903150356728057E-2</v>
      </c>
      <c r="I146" s="9">
        <v>2.2899811052830184E-2</v>
      </c>
      <c r="J146" s="9">
        <v>2.2900007513969249E-2</v>
      </c>
      <c r="K146" s="9">
        <v>2.2900007513969249E-2</v>
      </c>
      <c r="L146" s="9">
        <v>2.2900007513969249E-2</v>
      </c>
      <c r="M146" s="9">
        <v>2.2900007513969249E-2</v>
      </c>
      <c r="O146" s="11">
        <v>0.25708846336028324</v>
      </c>
      <c r="P146" s="11">
        <v>0.4655513566386576</v>
      </c>
      <c r="Q146" s="11">
        <v>0.31428427588083008</v>
      </c>
      <c r="R146" s="11">
        <v>-1.9646113906535145E-2</v>
      </c>
      <c r="S146" s="11">
        <v>0</v>
      </c>
      <c r="T146" s="11">
        <v>0</v>
      </c>
      <c r="U146" s="11">
        <v>0</v>
      </c>
      <c r="V146" s="11">
        <v>0</v>
      </c>
      <c r="X146" s="20">
        <v>0.63492054104938134</v>
      </c>
      <c r="Y146" s="20">
        <v>-2.7992977707401772</v>
      </c>
      <c r="Z146" s="20">
        <v>2.8884332280072416</v>
      </c>
      <c r="AA146" s="20">
        <v>0.24941233303535004</v>
      </c>
      <c r="AB146" s="20">
        <v>1.9072512775911557E-2</v>
      </c>
      <c r="AC146" s="20">
        <v>1.4957325285688977E-3</v>
      </c>
      <c r="AD146" s="20">
        <v>3.3215325369343826E-5</v>
      </c>
      <c r="AE146" s="20">
        <v>1.7326057377636259E-6</v>
      </c>
      <c r="AG146" s="7">
        <f t="shared" si="238"/>
        <v>1.75</v>
      </c>
      <c r="AH146" s="9">
        <v>2.3715557373254037E-2</v>
      </c>
    </row>
    <row r="147" spans="1:115" x14ac:dyDescent="0.25">
      <c r="A147" s="7">
        <f t="shared" si="239"/>
        <v>2.75</v>
      </c>
      <c r="B147" s="9">
        <f t="shared" si="240"/>
        <v>2.5342557102704638E-2</v>
      </c>
      <c r="C147" t="str">
        <v>3Y Swap</v>
      </c>
      <c r="D147" s="9">
        <v>2.3599999678865571E-2</v>
      </c>
      <c r="F147" s="9">
        <v>2.3601734030574983E-2</v>
      </c>
      <c r="G147" s="9">
        <v>2.3603010055529366E-2</v>
      </c>
      <c r="H147" s="9">
        <v>2.3603489106781322E-2</v>
      </c>
      <c r="I147" s="9">
        <v>2.3602065261134262E-2</v>
      </c>
      <c r="J147" s="9">
        <v>2.3599870375376392E-2</v>
      </c>
      <c r="K147" s="9">
        <v>2.3599999678865571E-2</v>
      </c>
      <c r="L147" s="9">
        <v>2.3599999678865571E-2</v>
      </c>
      <c r="M147" s="9">
        <v>2.3599999678865571E-2</v>
      </c>
      <c r="O147" s="11">
        <v>0.17343517094113578</v>
      </c>
      <c r="P147" s="11">
        <v>0.30103766637951113</v>
      </c>
      <c r="Q147" s="11">
        <v>0.34894279157503255</v>
      </c>
      <c r="R147" s="11">
        <v>0.20655822686906075</v>
      </c>
      <c r="S147" s="11">
        <v>-1.2930348917972177E-2</v>
      </c>
      <c r="T147" s="11">
        <v>0</v>
      </c>
      <c r="U147" s="11">
        <v>0</v>
      </c>
      <c r="V147" s="11">
        <v>0</v>
      </c>
      <c r="X147" s="20">
        <v>-0.43722551155090877</v>
      </c>
      <c r="Y147" s="20">
        <v>1.787877868364298</v>
      </c>
      <c r="Z147" s="20">
        <v>-4.6935925824466622</v>
      </c>
      <c r="AA147" s="20">
        <v>3.9899175407757719</v>
      </c>
      <c r="AB147" s="20">
        <v>0.30510822117402647</v>
      </c>
      <c r="AC147" s="20">
        <v>2.3927643751281962E-2</v>
      </c>
      <c r="AD147" s="20">
        <v>5.313546756123568E-4</v>
      </c>
      <c r="AE147" s="20">
        <v>2.7716969486717557E-5</v>
      </c>
      <c r="AG147" s="7">
        <f t="shared" si="238"/>
        <v>2.75</v>
      </c>
      <c r="AH147" s="9">
        <v>2.5342567379115936E-2</v>
      </c>
    </row>
    <row r="148" spans="1:115" x14ac:dyDescent="0.25">
      <c r="A148" s="7">
        <f t="shared" si="239"/>
        <v>3.75</v>
      </c>
      <c r="B148" s="9">
        <f t="shared" si="240"/>
        <v>2.6130747801212058E-2</v>
      </c>
      <c r="C148" t="str">
        <v>4Y Swap</v>
      </c>
      <c r="D148" s="9">
        <v>2.4199998502341485E-2</v>
      </c>
      <c r="F148" s="9">
        <v>2.4201315285060459E-2</v>
      </c>
      <c r="G148" s="9">
        <v>2.4202283569540295E-2</v>
      </c>
      <c r="H148" s="9">
        <v>2.4202549866036229E-2</v>
      </c>
      <c r="I148" s="9">
        <v>2.4202579321468347E-2</v>
      </c>
      <c r="J148" s="9">
        <v>2.4201527412529237E-2</v>
      </c>
      <c r="K148" s="9">
        <v>2.4199902795149414E-2</v>
      </c>
      <c r="L148" s="9">
        <v>2.4199998502341485E-2</v>
      </c>
      <c r="M148" s="9">
        <v>2.4199998502341485E-2</v>
      </c>
      <c r="O148" s="11">
        <v>0.13167827189741743</v>
      </c>
      <c r="P148" s="11">
        <v>0.2285067198810192</v>
      </c>
      <c r="Q148" s="11">
        <v>0.25513636947444018</v>
      </c>
      <c r="R148" s="11">
        <v>0.25808191268621161</v>
      </c>
      <c r="S148" s="11">
        <v>0.15289101877521971</v>
      </c>
      <c r="T148" s="11">
        <v>-9.5707192070831892E-3</v>
      </c>
      <c r="U148" s="11">
        <v>0</v>
      </c>
      <c r="V148" s="11">
        <v>0</v>
      </c>
      <c r="X148" s="20">
        <v>0.29757422680141243</v>
      </c>
      <c r="Y148" s="20">
        <v>-1.2293233735778017</v>
      </c>
      <c r="Z148" s="20">
        <v>2.9695867162255052</v>
      </c>
      <c r="AA148" s="20">
        <v>-6.8690390525769063</v>
      </c>
      <c r="AB148" s="20">
        <v>5.3887044704888378</v>
      </c>
      <c r="AC148" s="20">
        <v>0.42260087373146749</v>
      </c>
      <c r="AD148" s="20">
        <v>9.3845826404470676E-3</v>
      </c>
      <c r="AE148" s="20">
        <v>4.8952649262206229E-4</v>
      </c>
      <c r="AG148" s="7">
        <f t="shared" si="238"/>
        <v>3.75</v>
      </c>
      <c r="AH148" s="9">
        <v>2.6130748416031694E-2</v>
      </c>
    </row>
    <row r="149" spans="1:115" x14ac:dyDescent="0.25">
      <c r="A149" s="7">
        <f t="shared" si="239"/>
        <v>4.75</v>
      </c>
      <c r="B149" s="9">
        <f t="shared" si="240"/>
        <v>2.761921472812956E-2</v>
      </c>
      <c r="C149" t="str">
        <v>5Y Swap</v>
      </c>
      <c r="D149" s="9">
        <v>2.4800002828659653E-2</v>
      </c>
      <c r="F149" s="9">
        <v>2.4801069609391324E-2</v>
      </c>
      <c r="G149" s="9">
        <v>2.4801853635692733E-2</v>
      </c>
      <c r="H149" s="9">
        <v>2.4802068132781893E-2</v>
      </c>
      <c r="I149" s="9">
        <v>2.4802015051233927E-2</v>
      </c>
      <c r="J149" s="9">
        <v>2.4802039398750749E-2</v>
      </c>
      <c r="K149" s="9">
        <v>2.480117097961303E-2</v>
      </c>
      <c r="L149" s="9">
        <v>2.4799965082438674E-2</v>
      </c>
      <c r="M149" s="9">
        <v>2.4800002828659653E-2</v>
      </c>
      <c r="O149" s="11">
        <v>0.10667807316712406</v>
      </c>
      <c r="P149" s="11">
        <v>0.18508070330804091</v>
      </c>
      <c r="Q149" s="11">
        <v>0.2065304122240291</v>
      </c>
      <c r="R149" s="11">
        <v>0.20122225742741359</v>
      </c>
      <c r="S149" s="11">
        <v>0.20365700910962567</v>
      </c>
      <c r="T149" s="11">
        <v>0.11681509533775779</v>
      </c>
      <c r="U149" s="11">
        <v>-3.7746220978712715E-3</v>
      </c>
      <c r="V149" s="11">
        <v>0</v>
      </c>
      <c r="X149" s="20">
        <v>-0.21105156220021509</v>
      </c>
      <c r="Y149" s="20">
        <v>0.86978676496818175</v>
      </c>
      <c r="Z149" s="20">
        <v>-2.1277236285854646</v>
      </c>
      <c r="AA149" s="20">
        <v>4.5080550215370998</v>
      </c>
      <c r="AB149" s="20">
        <v>-9.6655723215279483</v>
      </c>
      <c r="AC149" s="20">
        <v>7.4360959101046431</v>
      </c>
      <c r="AD149" s="20">
        <v>0.16513135899242945</v>
      </c>
      <c r="AE149" s="20">
        <v>8.6137208319858796E-3</v>
      </c>
      <c r="AG149" s="7">
        <f t="shared" si="238"/>
        <v>4.75</v>
      </c>
      <c r="AH149" s="9">
        <v>2.7619182445118292E-2</v>
      </c>
    </row>
    <row r="150" spans="1:115" x14ac:dyDescent="0.25">
      <c r="A150" s="7">
        <f t="shared" si="239"/>
        <v>6.75</v>
      </c>
      <c r="B150" s="9">
        <f t="shared" si="240"/>
        <v>2.8021257107421101E-2</v>
      </c>
      <c r="C150" t="str">
        <v>7Y Swap</v>
      </c>
      <c r="D150" s="9">
        <v>2.5700006376862185E-2</v>
      </c>
      <c r="F150" s="9">
        <v>2.570078832595089E-2</v>
      </c>
      <c r="G150" s="9">
        <v>2.5701362552908474E-2</v>
      </c>
      <c r="H150" s="9">
        <v>2.5701518414467567E-2</v>
      </c>
      <c r="I150" s="9">
        <v>2.5701478120868013E-2</v>
      </c>
      <c r="J150" s="9">
        <v>2.5701270031416944E-2</v>
      </c>
      <c r="K150" s="9">
        <v>2.5702281827798226E-2</v>
      </c>
      <c r="L150" s="9">
        <v>2.5701571243316349E-2</v>
      </c>
      <c r="M150" s="9">
        <v>2.5699932257413152E-2</v>
      </c>
      <c r="O150" s="11">
        <v>7.819490887052416E-2</v>
      </c>
      <c r="P150" s="11">
        <v>0.13561760462896255</v>
      </c>
      <c r="Q150" s="11">
        <v>0.15120376053827378</v>
      </c>
      <c r="R150" s="11">
        <v>0.14717440058285847</v>
      </c>
      <c r="S150" s="11">
        <v>0.12636545547589639</v>
      </c>
      <c r="T150" s="11">
        <v>0.22754509360414785</v>
      </c>
      <c r="U150" s="11">
        <v>0.15648664541643986</v>
      </c>
      <c r="V150" s="11">
        <v>-7.4119449033210874E-3</v>
      </c>
      <c r="X150" s="20">
        <v>0.21924329338560331</v>
      </c>
      <c r="Y150" s="20">
        <v>-0.90482124969369693</v>
      </c>
      <c r="Z150" s="20">
        <v>2.2044381011492726</v>
      </c>
      <c r="AA150" s="20">
        <v>-4.7548138201050953</v>
      </c>
      <c r="AB150" s="20">
        <v>8.9270664131400945</v>
      </c>
      <c r="AC150" s="20">
        <v>-10.640119074581236</v>
      </c>
      <c r="AD150" s="20">
        <v>5.6468836576865309</v>
      </c>
      <c r="AE150" s="20">
        <v>0.29455749468060244</v>
      </c>
      <c r="AG150" s="7">
        <f t="shared" si="238"/>
        <v>6.75</v>
      </c>
      <c r="AH150" s="9">
        <v>2.8021253580659856E-2</v>
      </c>
    </row>
    <row r="151" spans="1:115" x14ac:dyDescent="0.25">
      <c r="A151" s="7">
        <f t="shared" si="239"/>
        <v>9.75</v>
      </c>
      <c r="B151" s="9">
        <f t="shared" si="240"/>
        <v>3.1277955549171774E-2</v>
      </c>
      <c r="C151" t="str">
        <v>10Y Swap</v>
      </c>
      <c r="D151" s="9">
        <v>2.6900021674598946E-2</v>
      </c>
      <c r="F151" s="9">
        <v>2.690059137431695E-2</v>
      </c>
      <c r="G151" s="9">
        <v>2.6901009284915865E-2</v>
      </c>
      <c r="H151" s="9">
        <v>2.6901121514038246E-2</v>
      </c>
      <c r="I151" s="9">
        <v>2.6901090811925266E-2</v>
      </c>
      <c r="J151" s="9">
        <v>2.6900938783212761E-2</v>
      </c>
      <c r="K151" s="9">
        <v>2.6901496575099187E-2</v>
      </c>
      <c r="L151" s="9">
        <v>2.6902607780610318E-2</v>
      </c>
      <c r="M151" s="9">
        <v>2.6901442598910908E-2</v>
      </c>
      <c r="O151" s="11">
        <v>5.6969971800463474E-2</v>
      </c>
      <c r="P151" s="11">
        <v>9.8761031691943488E-2</v>
      </c>
      <c r="Q151" s="11">
        <v>0.1099839439300254</v>
      </c>
      <c r="R151" s="11">
        <v>0.10691373263198299</v>
      </c>
      <c r="S151" s="11">
        <v>9.1710861381544259E-2</v>
      </c>
      <c r="T151" s="11">
        <v>0.14749005002416549</v>
      </c>
      <c r="U151" s="11">
        <v>0.25861060113721579</v>
      </c>
      <c r="V151" s="11">
        <v>0.14209243119622794</v>
      </c>
      <c r="X151" s="20">
        <v>-0.24086790784843373</v>
      </c>
      <c r="Y151" s="20">
        <v>0.99300158726531329</v>
      </c>
      <c r="Z151" s="20">
        <v>-2.4243946467383264</v>
      </c>
      <c r="AA151" s="20">
        <v>5.212868501045846</v>
      </c>
      <c r="AB151" s="20">
        <v>-9.937045288548946</v>
      </c>
      <c r="AC151" s="20">
        <v>11.354705020392483</v>
      </c>
      <c r="AD151" s="20">
        <v>-10.455309460043143</v>
      </c>
      <c r="AE151" s="20">
        <v>6.4922938862311321</v>
      </c>
      <c r="AG151" s="7">
        <f t="shared" si="238"/>
        <v>9.75</v>
      </c>
      <c r="AH151" s="9">
        <v>3.1277839587450521E-2</v>
      </c>
    </row>
    <row r="152" spans="1:115" x14ac:dyDescent="0.25">
      <c r="A152" s="7"/>
      <c r="B152" s="9"/>
      <c r="D152" s="9"/>
      <c r="F152" s="9"/>
      <c r="G152" s="9"/>
      <c r="H152" s="9"/>
      <c r="I152" s="9"/>
      <c r="J152" s="9"/>
      <c r="K152" s="9"/>
      <c r="L152" s="9"/>
      <c r="M152" s="9"/>
      <c r="O152" s="11"/>
      <c r="P152" s="11"/>
      <c r="Q152" s="11"/>
      <c r="R152" s="11"/>
      <c r="S152" s="11"/>
      <c r="T152" s="11"/>
      <c r="U152" s="11"/>
      <c r="V152" s="11"/>
      <c r="X152" s="20"/>
      <c r="Y152" s="20"/>
      <c r="Z152" s="20"/>
      <c r="AA152" s="20"/>
      <c r="AB152" s="20"/>
      <c r="AC152" s="20"/>
      <c r="AD152" s="20"/>
      <c r="AE152" s="20"/>
      <c r="AG152" s="7"/>
      <c r="AH152" s="9"/>
    </row>
    <row r="153" spans="1:115" x14ac:dyDescent="0.25">
      <c r="A153" s="27" t="s">
        <v>87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M153" s="5" t="s">
        <v>64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Z153" s="5" t="s">
        <v>65</v>
      </c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M153" s="5" t="s">
        <v>66</v>
      </c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Z153" s="5" t="s">
        <v>67</v>
      </c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M153" s="5" t="s">
        <v>68</v>
      </c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Z153" s="5" t="s">
        <v>69</v>
      </c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M153" s="5" t="s">
        <v>70</v>
      </c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Z153" s="5" t="s">
        <v>71</v>
      </c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</row>
    <row r="154" spans="1:115" x14ac:dyDescent="0.25">
      <c r="A154" s="21" t="s">
        <v>60</v>
      </c>
      <c r="B154" s="21"/>
      <c r="C154" s="21" t="s">
        <v>61</v>
      </c>
      <c r="D154" s="21"/>
      <c r="E154" t="s">
        <v>62</v>
      </c>
      <c r="F154" s="21" t="s">
        <v>42</v>
      </c>
      <c r="G154" s="21"/>
      <c r="H154" s="21" t="s">
        <v>41</v>
      </c>
      <c r="I154" s="21"/>
      <c r="J154" s="21"/>
      <c r="K154" s="21"/>
      <c r="L154" t="s">
        <v>72</v>
      </c>
      <c r="M154" t="s">
        <v>4</v>
      </c>
      <c r="N154" s="21" t="s">
        <v>60</v>
      </c>
      <c r="O154" s="21"/>
      <c r="P154" s="21" t="s">
        <v>61</v>
      </c>
      <c r="Q154" s="21"/>
      <c r="R154" t="s">
        <v>62</v>
      </c>
      <c r="S154" s="21" t="s">
        <v>42</v>
      </c>
      <c r="T154" s="21"/>
      <c r="U154" s="21" t="s">
        <v>41</v>
      </c>
      <c r="V154" s="21"/>
      <c r="W154" s="21"/>
      <c r="X154" s="21"/>
      <c r="Z154" t="s">
        <v>4</v>
      </c>
      <c r="AA154" s="21" t="s">
        <v>60</v>
      </c>
      <c r="AB154" s="21"/>
      <c r="AC154" s="21" t="s">
        <v>61</v>
      </c>
      <c r="AD154" s="21"/>
      <c r="AE154" t="s">
        <v>62</v>
      </c>
      <c r="AF154" s="21" t="s">
        <v>42</v>
      </c>
      <c r="AG154" s="21"/>
      <c r="AH154" s="21" t="s">
        <v>41</v>
      </c>
      <c r="AI154" s="21"/>
      <c r="AJ154" s="21"/>
      <c r="AK154" s="21"/>
      <c r="AM154" t="s">
        <v>4</v>
      </c>
      <c r="AN154" s="21" t="s">
        <v>60</v>
      </c>
      <c r="AO154" s="21"/>
      <c r="AP154" s="21" t="s">
        <v>61</v>
      </c>
      <c r="AQ154" s="21"/>
      <c r="AR154" t="s">
        <v>62</v>
      </c>
      <c r="AS154" s="21" t="s">
        <v>42</v>
      </c>
      <c r="AT154" s="21"/>
      <c r="AU154" s="21" t="s">
        <v>41</v>
      </c>
      <c r="AV154" s="21"/>
      <c r="AW154" s="21"/>
      <c r="AX154" s="21"/>
      <c r="AZ154" t="s">
        <v>4</v>
      </c>
      <c r="BA154" s="21" t="s">
        <v>60</v>
      </c>
      <c r="BB154" s="21"/>
      <c r="BC154" s="21" t="s">
        <v>61</v>
      </c>
      <c r="BD154" s="21"/>
      <c r="BE154" t="s">
        <v>62</v>
      </c>
      <c r="BF154" s="21" t="s">
        <v>42</v>
      </c>
      <c r="BG154" s="21"/>
      <c r="BH154" s="21" t="s">
        <v>41</v>
      </c>
      <c r="BI154" s="21"/>
      <c r="BJ154" s="21"/>
      <c r="BK154" s="21"/>
      <c r="BM154" t="s">
        <v>4</v>
      </c>
      <c r="BN154" s="21" t="s">
        <v>60</v>
      </c>
      <c r="BO154" s="21"/>
      <c r="BP154" s="21" t="s">
        <v>61</v>
      </c>
      <c r="BQ154" s="21"/>
      <c r="BR154" t="s">
        <v>62</v>
      </c>
      <c r="BS154" s="21" t="s">
        <v>42</v>
      </c>
      <c r="BT154" s="21"/>
      <c r="BU154" s="21" t="s">
        <v>41</v>
      </c>
      <c r="BV154" s="21"/>
      <c r="BW154" s="21"/>
      <c r="BX154" s="21"/>
      <c r="BZ154" t="s">
        <v>4</v>
      </c>
      <c r="CA154" s="21" t="s">
        <v>60</v>
      </c>
      <c r="CB154" s="21"/>
      <c r="CC154" s="21" t="s">
        <v>61</v>
      </c>
      <c r="CD154" s="21"/>
      <c r="CE154" t="s">
        <v>62</v>
      </c>
      <c r="CF154" s="21" t="s">
        <v>42</v>
      </c>
      <c r="CG154" s="21"/>
      <c r="CH154" s="21" t="s">
        <v>41</v>
      </c>
      <c r="CI154" s="21"/>
      <c r="CJ154" s="21"/>
      <c r="CK154" s="21"/>
      <c r="CM154" t="s">
        <v>4</v>
      </c>
      <c r="CN154" s="21" t="s">
        <v>60</v>
      </c>
      <c r="CO154" s="21"/>
      <c r="CP154" s="21" t="s">
        <v>61</v>
      </c>
      <c r="CQ154" s="21"/>
      <c r="CR154" t="s">
        <v>62</v>
      </c>
      <c r="CS154" s="21" t="s">
        <v>42</v>
      </c>
      <c r="CT154" s="21"/>
      <c r="CU154" s="21" t="s">
        <v>41</v>
      </c>
      <c r="CV154" s="21"/>
      <c r="CW154" s="21"/>
      <c r="CX154" s="21"/>
      <c r="CZ154" t="s">
        <v>4</v>
      </c>
      <c r="DA154" s="21" t="s">
        <v>60</v>
      </c>
      <c r="DB154" s="21"/>
      <c r="DC154" s="21" t="s">
        <v>61</v>
      </c>
      <c r="DD154" s="21"/>
      <c r="DE154" t="s">
        <v>62</v>
      </c>
      <c r="DF154" s="21" t="s">
        <v>42</v>
      </c>
      <c r="DG154" s="21"/>
      <c r="DH154" s="21" t="s">
        <v>41</v>
      </c>
      <c r="DI154" s="21"/>
      <c r="DJ154" s="21"/>
      <c r="DK154" s="21"/>
    </row>
    <row r="155" spans="1:115" x14ac:dyDescent="0.25">
      <c r="A155" t="s">
        <v>9</v>
      </c>
      <c r="B155" t="s">
        <v>10</v>
      </c>
      <c r="C155" t="s">
        <v>9</v>
      </c>
      <c r="D155" t="s">
        <v>10</v>
      </c>
      <c r="F155" t="s">
        <v>43</v>
      </c>
      <c r="G155" t="s">
        <v>44</v>
      </c>
      <c r="H155" t="s">
        <v>33</v>
      </c>
      <c r="I155" t="s">
        <v>34</v>
      </c>
      <c r="J155" t="s">
        <v>35</v>
      </c>
      <c r="K155" t="s">
        <v>36</v>
      </c>
      <c r="L155">
        <v>0.1</v>
      </c>
      <c r="M155" s="3">
        <f>$F$3*$L155</f>
        <v>1.0000000000000001E-5</v>
      </c>
      <c r="N155" t="s">
        <v>9</v>
      </c>
      <c r="O155" t="s">
        <v>10</v>
      </c>
      <c r="P155" t="s">
        <v>9</v>
      </c>
      <c r="Q155" t="s">
        <v>10</v>
      </c>
      <c r="S155" t="s">
        <v>43</v>
      </c>
      <c r="T155" t="s">
        <v>44</v>
      </c>
      <c r="U155" t="s">
        <v>33</v>
      </c>
      <c r="V155" t="s">
        <v>34</v>
      </c>
      <c r="W155" t="s">
        <v>35</v>
      </c>
      <c r="X155" t="s">
        <v>36</v>
      </c>
      <c r="Z155" s="3">
        <f>$F$3*$L155</f>
        <v>1.0000000000000001E-5</v>
      </c>
      <c r="AA155" t="s">
        <v>9</v>
      </c>
      <c r="AB155" t="s">
        <v>10</v>
      </c>
      <c r="AC155" t="s">
        <v>9</v>
      </c>
      <c r="AD155" t="s">
        <v>10</v>
      </c>
      <c r="AF155" t="s">
        <v>43</v>
      </c>
      <c r="AG155" t="s">
        <v>44</v>
      </c>
      <c r="AH155" t="s">
        <v>33</v>
      </c>
      <c r="AI155" t="s">
        <v>34</v>
      </c>
      <c r="AJ155" t="s">
        <v>35</v>
      </c>
      <c r="AK155" t="s">
        <v>36</v>
      </c>
      <c r="AM155" s="3">
        <f>$F$3*$L155</f>
        <v>1.0000000000000001E-5</v>
      </c>
      <c r="AN155" t="s">
        <v>9</v>
      </c>
      <c r="AO155" t="s">
        <v>10</v>
      </c>
      <c r="AP155" t="s">
        <v>9</v>
      </c>
      <c r="AQ155" t="s">
        <v>10</v>
      </c>
      <c r="AS155" t="s">
        <v>43</v>
      </c>
      <c r="AT155" t="s">
        <v>44</v>
      </c>
      <c r="AU155" t="s">
        <v>33</v>
      </c>
      <c r="AV155" t="s">
        <v>34</v>
      </c>
      <c r="AW155" t="s">
        <v>35</v>
      </c>
      <c r="AX155" t="s">
        <v>36</v>
      </c>
      <c r="AZ155" s="3">
        <f>$F$3*$L155</f>
        <v>1.0000000000000001E-5</v>
      </c>
      <c r="BA155" t="s">
        <v>9</v>
      </c>
      <c r="BB155" t="s">
        <v>10</v>
      </c>
      <c r="BC155" t="s">
        <v>9</v>
      </c>
      <c r="BD155" t="s">
        <v>10</v>
      </c>
      <c r="BF155" t="s">
        <v>43</v>
      </c>
      <c r="BG155" t="s">
        <v>44</v>
      </c>
      <c r="BH155" t="s">
        <v>33</v>
      </c>
      <c r="BI155" t="s">
        <v>34</v>
      </c>
      <c r="BJ155" t="s">
        <v>35</v>
      </c>
      <c r="BK155" t="s">
        <v>36</v>
      </c>
      <c r="BM155" s="3">
        <f>$F$3*$L155</f>
        <v>1.0000000000000001E-5</v>
      </c>
      <c r="BN155" t="s">
        <v>9</v>
      </c>
      <c r="BO155" t="s">
        <v>10</v>
      </c>
      <c r="BP155" t="s">
        <v>9</v>
      </c>
      <c r="BQ155" t="s">
        <v>10</v>
      </c>
      <c r="BS155" t="s">
        <v>43</v>
      </c>
      <c r="BT155" t="s">
        <v>44</v>
      </c>
      <c r="BU155" t="s">
        <v>33</v>
      </c>
      <c r="BV155" t="s">
        <v>34</v>
      </c>
      <c r="BW155" t="s">
        <v>35</v>
      </c>
      <c r="BX155" t="s">
        <v>36</v>
      </c>
      <c r="BZ155" s="3">
        <f>$F$3*$L155</f>
        <v>1.0000000000000001E-5</v>
      </c>
      <c r="CA155" t="s">
        <v>9</v>
      </c>
      <c r="CB155" t="s">
        <v>10</v>
      </c>
      <c r="CC155" t="s">
        <v>9</v>
      </c>
      <c r="CD155" t="s">
        <v>10</v>
      </c>
      <c r="CF155" t="s">
        <v>43</v>
      </c>
      <c r="CG155" t="s">
        <v>44</v>
      </c>
      <c r="CH155" t="s">
        <v>33</v>
      </c>
      <c r="CI155" t="s">
        <v>34</v>
      </c>
      <c r="CJ155" t="s">
        <v>35</v>
      </c>
      <c r="CK155" t="s">
        <v>36</v>
      </c>
      <c r="CM155" s="3">
        <f>$F$3*$L155</f>
        <v>1.0000000000000001E-5</v>
      </c>
      <c r="CN155" t="s">
        <v>9</v>
      </c>
      <c r="CO155" t="s">
        <v>10</v>
      </c>
      <c r="CP155" t="s">
        <v>9</v>
      </c>
      <c r="CQ155" t="s">
        <v>10</v>
      </c>
      <c r="CS155" t="s">
        <v>43</v>
      </c>
      <c r="CT155" t="s">
        <v>44</v>
      </c>
      <c r="CU155" t="s">
        <v>33</v>
      </c>
      <c r="CV155" t="s">
        <v>34</v>
      </c>
      <c r="CW155" t="s">
        <v>35</v>
      </c>
      <c r="CX155" t="s">
        <v>36</v>
      </c>
      <c r="CZ155" s="3">
        <f>$F$3*$L155</f>
        <v>1.0000000000000001E-5</v>
      </c>
      <c r="DA155" t="s">
        <v>9</v>
      </c>
      <c r="DB155" t="s">
        <v>10</v>
      </c>
      <c r="DC155" t="s">
        <v>9</v>
      </c>
      <c r="DD155" t="s">
        <v>10</v>
      </c>
      <c r="DF155" t="s">
        <v>43</v>
      </c>
      <c r="DG155" t="s">
        <v>44</v>
      </c>
      <c r="DH155" t="s">
        <v>33</v>
      </c>
      <c r="DI155" t="s">
        <v>34</v>
      </c>
      <c r="DJ155" t="s">
        <v>35</v>
      </c>
      <c r="DK155" t="s">
        <v>36</v>
      </c>
    </row>
    <row r="156" spans="1:115" x14ac:dyDescent="0.25">
      <c r="A156" s="7">
        <f t="shared" ref="A156:A163" si="241">A144</f>
        <v>0</v>
      </c>
      <c r="B156" s="9">
        <f t="shared" ref="B156:B163" si="242">AH144</f>
        <v>2.53E-2</v>
      </c>
      <c r="C156" s="7">
        <f>A157</f>
        <v>0.75</v>
      </c>
      <c r="D156" s="9">
        <f>B157</f>
        <v>2.0702506492389593E-2</v>
      </c>
      <c r="E156" s="11">
        <f>(D156-B156)/(C156-A156)</f>
        <v>-6.1299913434805413E-3</v>
      </c>
      <c r="F156" s="15">
        <v>0</v>
      </c>
      <c r="G156" s="11">
        <f t="shared" ref="G156:G162" si="243">IF($F$5, (E156*E157&gt;=0) * AVERAGE(E156:E157), AVERAGE(E156:E157))</f>
        <v>0</v>
      </c>
      <c r="H156" s="11">
        <f t="shared" ref="H156:H163" si="244">(F156+G156-2*(D156-B156)/(C156-A156))/(C156-A156)^2</f>
        <v>2.1795524776819702E-2</v>
      </c>
      <c r="I156" s="11">
        <f t="shared" ref="I156:I163" si="245">((D156-B156)/(C156-A156) - F156 - H156*(C156^2 + A156*C156 - 2*A156^2))/(C156-A156)</f>
        <v>-2.4519965373922165E-2</v>
      </c>
      <c r="J156" s="15">
        <f t="shared" ref="J156:J163" si="246">F156-2*I156*A156 - 3*H156*A156^2</f>
        <v>0</v>
      </c>
      <c r="K156" s="11">
        <f t="shared" ref="K156:K163" si="247">B156 -H156*A156^3 - I156*A156^2 - J156*A156</f>
        <v>2.53E-2</v>
      </c>
      <c r="N156" s="7">
        <f>$A156</f>
        <v>0</v>
      </c>
      <c r="O156" s="10">
        <f>$B156+M155</f>
        <v>2.5309999999999999E-2</v>
      </c>
      <c r="P156" s="7">
        <f>N157</f>
        <v>0.75</v>
      </c>
      <c r="Q156" s="9">
        <f>O157</f>
        <v>2.0702506492389593E-2</v>
      </c>
      <c r="R156" s="11">
        <f>(Q156-O156)/(P156-N156)</f>
        <v>-6.1433246768138744E-3</v>
      </c>
      <c r="S156" s="15">
        <v>0</v>
      </c>
      <c r="T156" s="11">
        <f t="shared" ref="T156:T162" si="248">IF($F$5, (R156*R157&gt;=0) * AVERAGE(R156:R157), AVERAGE(R156:R157))</f>
        <v>0</v>
      </c>
      <c r="U156" s="11">
        <f t="shared" ref="U156:U163" si="249">(S156+T156-2*(Q156-O156)/(P156-N156))/(P156-N156)^2</f>
        <v>2.1842932184227108E-2</v>
      </c>
      <c r="V156" s="11">
        <f t="shared" ref="V156:V163" si="250">((Q156-O156)/(P156-N156) - S156 - U156*(P156^2 + N156*P156 - 2*N156^2))/(P156-N156)</f>
        <v>-2.4573298707255498E-2</v>
      </c>
      <c r="W156" s="15">
        <f t="shared" ref="W156:W163" si="251">S156-2*V156*N156 - 3*U156*N156^2</f>
        <v>0</v>
      </c>
      <c r="X156" s="11">
        <f t="shared" ref="X156:X163" si="252">O156 -U156*N156^3 - V156*N156^2 - W156*N156</f>
        <v>2.5309999999999999E-2</v>
      </c>
      <c r="AA156" s="7">
        <f>$A156</f>
        <v>0</v>
      </c>
      <c r="AB156" s="9">
        <f>$B156</f>
        <v>2.53E-2</v>
      </c>
      <c r="AC156" s="7">
        <f>AA157</f>
        <v>0.75</v>
      </c>
      <c r="AD156" s="10">
        <f>AB157</f>
        <v>2.0712506492389593E-2</v>
      </c>
      <c r="AE156" s="11">
        <f>(AD156-AB156)/(AC156-AA156)</f>
        <v>-6.1166580101472091E-3</v>
      </c>
      <c r="AF156" s="15">
        <v>0</v>
      </c>
      <c r="AG156" s="11">
        <f t="shared" ref="AG156:AG162" si="253">IF($F$5, (AE156*AE157&gt;=0) * AVERAGE(AE156:AE157), AVERAGE(AE156:AE157))</f>
        <v>0</v>
      </c>
      <c r="AH156" s="11">
        <f t="shared" ref="AH156:AH163" si="254">(AF156+AG156-2*(AD156-AB156)/(AC156-AA156))/(AC156-AA156)^2</f>
        <v>2.17481173694123E-2</v>
      </c>
      <c r="AI156" s="11">
        <f t="shared" ref="AI156:AI163" si="255">((AD156-AB156)/(AC156-AA156) - AF156 - AH156*(AC156^2 + AA156*AC156 - 2*AA156^2))/(AC156-AA156)</f>
        <v>-2.4466632040588836E-2</v>
      </c>
      <c r="AJ156" s="15">
        <f t="shared" ref="AJ156:AJ163" si="256">AF156-2*AI156*AA156 - 3*AH156*AA156^2</f>
        <v>0</v>
      </c>
      <c r="AK156" s="11">
        <f t="shared" ref="AK156:AK163" si="257">AB156 -AH156*AA156^3 - AI156*AA156^2 - AJ156*AA156</f>
        <v>2.53E-2</v>
      </c>
      <c r="AN156" s="7">
        <f>$A156</f>
        <v>0</v>
      </c>
      <c r="AO156" s="9">
        <f>$B156</f>
        <v>2.53E-2</v>
      </c>
      <c r="AP156" s="7">
        <f>AN157</f>
        <v>0.75</v>
      </c>
      <c r="AQ156" s="9">
        <f>AO157</f>
        <v>2.0702506492389593E-2</v>
      </c>
      <c r="AR156" s="11">
        <f>(AQ156-AO156)/(AP156-AN156)</f>
        <v>-6.1299913434805413E-3</v>
      </c>
      <c r="AS156" s="15">
        <v>0</v>
      </c>
      <c r="AT156" s="11">
        <f t="shared" ref="AT156:AT162" si="258">IF($F$5, (AR156*AR157&gt;=0) * AVERAGE(AR156:AR157), AVERAGE(AR156:AR157))</f>
        <v>0</v>
      </c>
      <c r="AU156" s="11">
        <f t="shared" ref="AU156:AU163" si="259">(AS156+AT156-2*(AQ156-AO156)/(AP156-AN156))/(AP156-AN156)^2</f>
        <v>2.1795524776819702E-2</v>
      </c>
      <c r="AV156" s="11">
        <f t="shared" ref="AV156:AV163" si="260">((AQ156-AO156)/(AP156-AN156) - AS156 - AU156*(AP156^2 + AN156*AP156 - 2*AN156^2))/(AP156-AN156)</f>
        <v>-2.4519965373922165E-2</v>
      </c>
      <c r="AW156" s="15">
        <f t="shared" ref="AW156:AW163" si="261">AS156-2*AV156*AN156 - 3*AU156*AN156^2</f>
        <v>0</v>
      </c>
      <c r="AX156" s="11">
        <f t="shared" ref="AX156:AX163" si="262">AO156 -AU156*AN156^3 - AV156*AN156^2 - AW156*AN156</f>
        <v>2.53E-2</v>
      </c>
      <c r="BA156" s="7">
        <f>$A156</f>
        <v>0</v>
      </c>
      <c r="BB156" s="9">
        <f>$B156</f>
        <v>2.53E-2</v>
      </c>
      <c r="BC156" s="7">
        <f>BA157</f>
        <v>0.75</v>
      </c>
      <c r="BD156" s="9">
        <f>BB157</f>
        <v>2.0702506492389593E-2</v>
      </c>
      <c r="BE156" s="11">
        <f>(BD156-BB156)/(BC156-BA156)</f>
        <v>-6.1299913434805413E-3</v>
      </c>
      <c r="BF156" s="15">
        <v>0</v>
      </c>
      <c r="BG156" s="11">
        <f t="shared" ref="BG156:BG162" si="263">IF($F$5, (BE156*BE157&gt;=0) * AVERAGE(BE156:BE157), AVERAGE(BE156:BE157))</f>
        <v>0</v>
      </c>
      <c r="BH156" s="11">
        <f t="shared" ref="BH156:BH163" si="264">(BF156+BG156-2*(BD156-BB156)/(BC156-BA156))/(BC156-BA156)^2</f>
        <v>2.1795524776819702E-2</v>
      </c>
      <c r="BI156" s="11">
        <f t="shared" ref="BI156:BI163" si="265">((BD156-BB156)/(BC156-BA156) - BF156 - BH156*(BC156^2 + BA156*BC156 - 2*BA156^2))/(BC156-BA156)</f>
        <v>-2.4519965373922165E-2</v>
      </c>
      <c r="BJ156" s="15">
        <f t="shared" ref="BJ156:BJ163" si="266">BF156-2*BI156*BA156 - 3*BH156*BA156^2</f>
        <v>0</v>
      </c>
      <c r="BK156" s="11">
        <f t="shared" ref="BK156:BK163" si="267">BB156 -BH156*BA156^3 - BI156*BA156^2 - BJ156*BA156</f>
        <v>2.53E-2</v>
      </c>
      <c r="BN156" s="7">
        <f>$A156</f>
        <v>0</v>
      </c>
      <c r="BO156" s="9">
        <f>$B156</f>
        <v>2.53E-2</v>
      </c>
      <c r="BP156" s="7">
        <f>BN157</f>
        <v>0.75</v>
      </c>
      <c r="BQ156" s="9">
        <f>BO157</f>
        <v>2.0702506492389593E-2</v>
      </c>
      <c r="BR156" s="11">
        <f>(BQ156-BO156)/(BP156-BN156)</f>
        <v>-6.1299913434805413E-3</v>
      </c>
      <c r="BS156" s="15">
        <v>0</v>
      </c>
      <c r="BT156" s="11">
        <f t="shared" ref="BT156:BT162" si="268">IF($F$5, (BR156*BR157&gt;=0) * AVERAGE(BR156:BR157), AVERAGE(BR156:BR157))</f>
        <v>0</v>
      </c>
      <c r="BU156" s="11">
        <f t="shared" ref="BU156:BU163" si="269">(BS156+BT156-2*(BQ156-BO156)/(BP156-BN156))/(BP156-BN156)^2</f>
        <v>2.1795524776819702E-2</v>
      </c>
      <c r="BV156" s="11">
        <f t="shared" ref="BV156:BV163" si="270">((BQ156-BO156)/(BP156-BN156) - BS156 - BU156*(BP156^2 + BN156*BP156 - 2*BN156^2))/(BP156-BN156)</f>
        <v>-2.4519965373922165E-2</v>
      </c>
      <c r="BW156" s="15">
        <f t="shared" ref="BW156:BW163" si="271">BS156-2*BV156*BN156 - 3*BU156*BN156^2</f>
        <v>0</v>
      </c>
      <c r="BX156" s="11">
        <f t="shared" ref="BX156:BX163" si="272">BO156 -BU156*BN156^3 - BV156*BN156^2 - BW156*BN156</f>
        <v>2.53E-2</v>
      </c>
      <c r="CA156" s="7">
        <f>$A156</f>
        <v>0</v>
      </c>
      <c r="CB156" s="9">
        <f>$B156</f>
        <v>2.53E-2</v>
      </c>
      <c r="CC156" s="7">
        <f>CA157</f>
        <v>0.75</v>
      </c>
      <c r="CD156" s="9">
        <f>CB157</f>
        <v>2.0702506492389593E-2</v>
      </c>
      <c r="CE156" s="11">
        <f>(CD156-CB156)/(CC156-CA156)</f>
        <v>-6.1299913434805413E-3</v>
      </c>
      <c r="CF156" s="15">
        <v>0</v>
      </c>
      <c r="CG156" s="11">
        <f t="shared" ref="CG156:CG162" si="273">IF($F$5, (CE156*CE157&gt;=0) * AVERAGE(CE156:CE157), AVERAGE(CE156:CE157))</f>
        <v>0</v>
      </c>
      <c r="CH156" s="11">
        <f t="shared" ref="CH156:CH163" si="274">(CF156+CG156-2*(CD156-CB156)/(CC156-CA156))/(CC156-CA156)^2</f>
        <v>2.1795524776819702E-2</v>
      </c>
      <c r="CI156" s="11">
        <f t="shared" ref="CI156:CI163" si="275">((CD156-CB156)/(CC156-CA156) - CF156 - CH156*(CC156^2 + CA156*CC156 - 2*CA156^2))/(CC156-CA156)</f>
        <v>-2.4519965373922165E-2</v>
      </c>
      <c r="CJ156" s="15">
        <f t="shared" ref="CJ156:CJ163" si="276">CF156-2*CI156*CA156 - 3*CH156*CA156^2</f>
        <v>0</v>
      </c>
      <c r="CK156" s="11">
        <f t="shared" ref="CK156:CK163" si="277">CB156 -CH156*CA156^3 - CI156*CA156^2 - CJ156*CA156</f>
        <v>2.53E-2</v>
      </c>
      <c r="CN156" s="7">
        <f>$A156</f>
        <v>0</v>
      </c>
      <c r="CO156" s="9">
        <f>$B156</f>
        <v>2.53E-2</v>
      </c>
      <c r="CP156" s="7">
        <f>CN157</f>
        <v>0.75</v>
      </c>
      <c r="CQ156" s="9">
        <f>CO157</f>
        <v>2.0702506492389593E-2</v>
      </c>
      <c r="CR156" s="11">
        <f>(CQ156-CO156)/(CP156-CN156)</f>
        <v>-6.1299913434805413E-3</v>
      </c>
      <c r="CS156" s="15">
        <v>0</v>
      </c>
      <c r="CT156" s="11">
        <f t="shared" ref="CT156:CT162" si="278">IF($F$5, (CR156*CR157&gt;=0) * AVERAGE(CR156:CR157), AVERAGE(CR156:CR157))</f>
        <v>0</v>
      </c>
      <c r="CU156" s="11">
        <f t="shared" ref="CU156:CU163" si="279">(CS156+CT156-2*(CQ156-CO156)/(CP156-CN156))/(CP156-CN156)^2</f>
        <v>2.1795524776819702E-2</v>
      </c>
      <c r="CV156" s="11">
        <f t="shared" ref="CV156:CV163" si="280">((CQ156-CO156)/(CP156-CN156) - CS156 - CU156*(CP156^2 + CN156*CP156 - 2*CN156^2))/(CP156-CN156)</f>
        <v>-2.4519965373922165E-2</v>
      </c>
      <c r="CW156" s="15">
        <f t="shared" ref="CW156:CW163" si="281">CS156-2*CV156*CN156 - 3*CU156*CN156^2</f>
        <v>0</v>
      </c>
      <c r="CX156" s="11">
        <f t="shared" ref="CX156:CX163" si="282">CO156 -CU156*CN156^3 - CV156*CN156^2 - CW156*CN156</f>
        <v>2.53E-2</v>
      </c>
      <c r="DA156" s="7">
        <f>$A156</f>
        <v>0</v>
      </c>
      <c r="DB156" s="9">
        <f>$B156</f>
        <v>2.53E-2</v>
      </c>
      <c r="DC156" s="7">
        <f>DA157</f>
        <v>0.75</v>
      </c>
      <c r="DD156" s="9">
        <f>DB157</f>
        <v>2.0702506492389593E-2</v>
      </c>
      <c r="DE156" s="11">
        <f>(DD156-DB156)/(DC156-DA156)</f>
        <v>-6.1299913434805413E-3</v>
      </c>
      <c r="DF156" s="15">
        <v>0</v>
      </c>
      <c r="DG156" s="11">
        <f t="shared" ref="DG156:DG162" si="283">IF($F$5, (DE156*DE157&gt;=0) * AVERAGE(DE156:DE157), AVERAGE(DE156:DE157))</f>
        <v>0</v>
      </c>
      <c r="DH156" s="11">
        <f t="shared" ref="DH156:DH163" si="284">(DF156+DG156-2*(DD156-DB156)/(DC156-DA156))/(DC156-DA156)^2</f>
        <v>2.1795524776819702E-2</v>
      </c>
      <c r="DI156" s="11">
        <f t="shared" ref="DI156:DI163" si="285">((DD156-DB156)/(DC156-DA156) - DF156 - DH156*(DC156^2 + DA156*DC156 - 2*DA156^2))/(DC156-DA156)</f>
        <v>-2.4519965373922165E-2</v>
      </c>
      <c r="DJ156" s="15">
        <f t="shared" ref="DJ156:DJ163" si="286">DF156-2*DI156*DA156 - 3*DH156*DA156^2</f>
        <v>0</v>
      </c>
      <c r="DK156" s="11">
        <f t="shared" ref="DK156:DK163" si="287">DB156 -DH156*DA156^3 - DI156*DA156^2 - DJ156*DA156</f>
        <v>2.53E-2</v>
      </c>
    </row>
    <row r="157" spans="1:115" x14ac:dyDescent="0.25">
      <c r="A157" s="7">
        <f t="shared" si="241"/>
        <v>0.75</v>
      </c>
      <c r="B157" s="9">
        <f t="shared" si="242"/>
        <v>2.0702506492389593E-2</v>
      </c>
      <c r="C157" s="7">
        <f t="shared" ref="C157:C162" si="288">A158</f>
        <v>1.75</v>
      </c>
      <c r="D157" s="9">
        <f t="shared" ref="D157:D162" si="289">B158</f>
        <v>2.3715557373254037E-2</v>
      </c>
      <c r="E157" s="11">
        <f t="shared" ref="E157:E163" si="290">(D157-B157)/(C157-A157)</f>
        <v>3.0130508808644436E-3</v>
      </c>
      <c r="F157" s="15">
        <f>G156</f>
        <v>0</v>
      </c>
      <c r="G157" s="11">
        <f t="shared" si="243"/>
        <v>2.3200304433631715E-3</v>
      </c>
      <c r="H157" s="11">
        <f t="shared" si="244"/>
        <v>-3.7060713183657158E-3</v>
      </c>
      <c r="I157" s="11">
        <f t="shared" si="245"/>
        <v>1.5057782665553019E-2</v>
      </c>
      <c r="J157" s="15">
        <f t="shared" si="246"/>
        <v>-1.6332678648587381E-2</v>
      </c>
      <c r="K157" s="11">
        <f t="shared" si="247"/>
        <v>2.6045511566892096E-2</v>
      </c>
      <c r="N157" s="7">
        <f t="shared" ref="N157:N163" si="291">$A157</f>
        <v>0.75</v>
      </c>
      <c r="O157" s="9">
        <f>$B157</f>
        <v>2.0702506492389593E-2</v>
      </c>
      <c r="P157" s="7">
        <f t="shared" ref="P157:P162" si="292">N158</f>
        <v>1.75</v>
      </c>
      <c r="Q157" s="9">
        <f t="shared" ref="Q157:Q162" si="293">O158</f>
        <v>2.3715557373254037E-2</v>
      </c>
      <c r="R157" s="11">
        <f t="shared" ref="R157:R163" si="294">(Q157-O157)/(P157-N157)</f>
        <v>3.0130508808644436E-3</v>
      </c>
      <c r="S157" s="15">
        <f>T156</f>
        <v>0</v>
      </c>
      <c r="T157" s="11">
        <f t="shared" si="248"/>
        <v>2.3200304433631715E-3</v>
      </c>
      <c r="U157" s="11">
        <f t="shared" si="249"/>
        <v>-3.7060713183657158E-3</v>
      </c>
      <c r="V157" s="11">
        <f t="shared" si="250"/>
        <v>1.5057782665553019E-2</v>
      </c>
      <c r="W157" s="15">
        <f t="shared" si="251"/>
        <v>-1.6332678648587381E-2</v>
      </c>
      <c r="X157" s="11">
        <f t="shared" si="252"/>
        <v>2.6045511566892096E-2</v>
      </c>
      <c r="AA157" s="7">
        <f t="shared" ref="AA157:AA163" si="295">$A157</f>
        <v>0.75</v>
      </c>
      <c r="AB157" s="10">
        <f>$B157+Z155</f>
        <v>2.0712506492389593E-2</v>
      </c>
      <c r="AC157" s="7">
        <f t="shared" ref="AC157:AC162" si="296">AA158</f>
        <v>1.75</v>
      </c>
      <c r="AD157" s="9">
        <f t="shared" ref="AD157:AD162" si="297">AB158</f>
        <v>2.3715557373254037E-2</v>
      </c>
      <c r="AE157" s="11">
        <f t="shared" ref="AE157:AE163" si="298">(AD157-AB157)/(AC157-AA157)</f>
        <v>3.003050880864444E-3</v>
      </c>
      <c r="AF157" s="15">
        <f>AG156</f>
        <v>0</v>
      </c>
      <c r="AG157" s="11">
        <f t="shared" si="253"/>
        <v>2.3150304433631717E-3</v>
      </c>
      <c r="AH157" s="11">
        <f t="shared" si="254"/>
        <v>-3.6910713183657164E-3</v>
      </c>
      <c r="AI157" s="11">
        <f t="shared" si="255"/>
        <v>1.4999032665553021E-2</v>
      </c>
      <c r="AJ157" s="15">
        <f t="shared" si="256"/>
        <v>-1.6269866148587383E-2</v>
      </c>
      <c r="AK157" s="11">
        <f t="shared" si="257"/>
        <v>2.6035120941892094E-2</v>
      </c>
      <c r="AN157" s="7">
        <f t="shared" ref="AN157:AN163" si="299">$A157</f>
        <v>0.75</v>
      </c>
      <c r="AO157" s="9">
        <f>$B157</f>
        <v>2.0702506492389593E-2</v>
      </c>
      <c r="AP157" s="7">
        <f t="shared" ref="AP157:AP162" si="300">AN158</f>
        <v>1.75</v>
      </c>
      <c r="AQ157" s="10">
        <f t="shared" ref="AQ157:AQ162" si="301">AO158</f>
        <v>2.3725557373254037E-2</v>
      </c>
      <c r="AR157" s="11">
        <f t="shared" ref="AR157:AR163" si="302">(AQ157-AO157)/(AP157-AN157)</f>
        <v>3.0230508808644432E-3</v>
      </c>
      <c r="AS157" s="15">
        <f>AT156</f>
        <v>0</v>
      </c>
      <c r="AT157" s="11">
        <f t="shared" si="258"/>
        <v>2.3200304433631715E-3</v>
      </c>
      <c r="AU157" s="11">
        <f t="shared" si="259"/>
        <v>-3.7260713183657149E-3</v>
      </c>
      <c r="AV157" s="11">
        <f t="shared" si="260"/>
        <v>1.5132782665553016E-2</v>
      </c>
      <c r="AW157" s="15">
        <f t="shared" si="261"/>
        <v>-1.6411428648587384E-2</v>
      </c>
      <c r="AX157" s="11">
        <f t="shared" si="262"/>
        <v>2.6070824066892095E-2</v>
      </c>
      <c r="BA157" s="7">
        <f t="shared" ref="BA157:BA163" si="303">$A157</f>
        <v>0.75</v>
      </c>
      <c r="BB157" s="9">
        <f t="shared" ref="BB157:BB163" si="304">$B157</f>
        <v>2.0702506492389593E-2</v>
      </c>
      <c r="BC157" s="7">
        <f t="shared" ref="BC157:BC162" si="305">BA158</f>
        <v>1.75</v>
      </c>
      <c r="BD157" s="9">
        <f>BB158</f>
        <v>2.3715557373254037E-2</v>
      </c>
      <c r="BE157" s="11">
        <f t="shared" ref="BE157:BE163" si="306">(BD157-BB157)/(BC157-BA157)</f>
        <v>3.0130508808644436E-3</v>
      </c>
      <c r="BF157" s="15">
        <f>BG156</f>
        <v>0</v>
      </c>
      <c r="BG157" s="11">
        <f t="shared" si="263"/>
        <v>2.3250304433631713E-3</v>
      </c>
      <c r="BH157" s="11">
        <f t="shared" si="264"/>
        <v>-3.701071318365716E-3</v>
      </c>
      <c r="BI157" s="11">
        <f t="shared" si="265"/>
        <v>1.5041532665553021E-2</v>
      </c>
      <c r="BJ157" s="15">
        <f t="shared" si="266"/>
        <v>-1.6316741148587388E-2</v>
      </c>
      <c r="BK157" s="11">
        <f t="shared" si="267"/>
        <v>2.6040589691892099E-2</v>
      </c>
      <c r="BN157" s="7">
        <f t="shared" ref="BN157:BN163" si="307">$A157</f>
        <v>0.75</v>
      </c>
      <c r="BO157" s="9">
        <f t="shared" ref="BO157:BO163" si="308">$B157</f>
        <v>2.0702506492389593E-2</v>
      </c>
      <c r="BP157" s="7">
        <f t="shared" ref="BP157:BP162" si="309">BN158</f>
        <v>1.75</v>
      </c>
      <c r="BQ157" s="9">
        <f t="shared" ref="BQ157:BQ162" si="310">BO158</f>
        <v>2.3715557373254037E-2</v>
      </c>
      <c r="BR157" s="11">
        <f t="shared" ref="BR157:BR163" si="311">(BQ157-BO157)/(BP157-BN157)</f>
        <v>3.0130508808644436E-3</v>
      </c>
      <c r="BS157" s="15">
        <f>BT156</f>
        <v>0</v>
      </c>
      <c r="BT157" s="11">
        <f t="shared" si="268"/>
        <v>2.3200304433631715E-3</v>
      </c>
      <c r="BU157" s="11">
        <f t="shared" si="269"/>
        <v>-3.7060713183657158E-3</v>
      </c>
      <c r="BV157" s="11">
        <f t="shared" si="270"/>
        <v>1.5057782665553019E-2</v>
      </c>
      <c r="BW157" s="15">
        <f t="shared" si="271"/>
        <v>-1.6332678648587381E-2</v>
      </c>
      <c r="BX157" s="11">
        <f t="shared" si="272"/>
        <v>2.6045511566892096E-2</v>
      </c>
      <c r="CA157" s="7">
        <f t="shared" ref="CA157:CA163" si="312">$A157</f>
        <v>0.75</v>
      </c>
      <c r="CB157" s="9">
        <f t="shared" ref="CB157:CB163" si="313">$B157</f>
        <v>2.0702506492389593E-2</v>
      </c>
      <c r="CC157" s="7">
        <f t="shared" ref="CC157:CC162" si="314">CA158</f>
        <v>1.75</v>
      </c>
      <c r="CD157" s="9">
        <f t="shared" ref="CD157:CD162" si="315">CB158</f>
        <v>2.3715557373254037E-2</v>
      </c>
      <c r="CE157" s="11">
        <f t="shared" ref="CE157:CE163" si="316">(CD157-CB157)/(CC157-CA157)</f>
        <v>3.0130508808644436E-3</v>
      </c>
      <c r="CF157" s="15">
        <f>CG156</f>
        <v>0</v>
      </c>
      <c r="CG157" s="11">
        <f t="shared" si="273"/>
        <v>2.3200304433631715E-3</v>
      </c>
      <c r="CH157" s="11">
        <f t="shared" si="274"/>
        <v>-3.7060713183657158E-3</v>
      </c>
      <c r="CI157" s="11">
        <f t="shared" si="275"/>
        <v>1.5057782665553019E-2</v>
      </c>
      <c r="CJ157" s="15">
        <f t="shared" si="276"/>
        <v>-1.6332678648587381E-2</v>
      </c>
      <c r="CK157" s="11">
        <f t="shared" si="277"/>
        <v>2.6045511566892096E-2</v>
      </c>
      <c r="CN157" s="7">
        <f t="shared" ref="CN157:CN163" si="317">$A157</f>
        <v>0.75</v>
      </c>
      <c r="CO157" s="9">
        <f t="shared" ref="CO157:CO163" si="318">$B157</f>
        <v>2.0702506492389593E-2</v>
      </c>
      <c r="CP157" s="7">
        <f t="shared" ref="CP157:CP162" si="319">CN158</f>
        <v>1.75</v>
      </c>
      <c r="CQ157" s="9">
        <f t="shared" ref="CQ157:CQ162" si="320">CO158</f>
        <v>2.3715557373254037E-2</v>
      </c>
      <c r="CR157" s="11">
        <f t="shared" ref="CR157:CR163" si="321">(CQ157-CO157)/(CP157-CN157)</f>
        <v>3.0130508808644436E-3</v>
      </c>
      <c r="CS157" s="15">
        <f>CT156</f>
        <v>0</v>
      </c>
      <c r="CT157" s="11">
        <f t="shared" si="278"/>
        <v>2.3200304433631715E-3</v>
      </c>
      <c r="CU157" s="11">
        <f t="shared" si="279"/>
        <v>-3.7060713183657158E-3</v>
      </c>
      <c r="CV157" s="11">
        <f t="shared" si="280"/>
        <v>1.5057782665553019E-2</v>
      </c>
      <c r="CW157" s="15">
        <f t="shared" si="281"/>
        <v>-1.6332678648587381E-2</v>
      </c>
      <c r="CX157" s="11">
        <f t="shared" si="282"/>
        <v>2.6045511566892096E-2</v>
      </c>
      <c r="DA157" s="7">
        <f t="shared" ref="DA157:DA163" si="322">$A157</f>
        <v>0.75</v>
      </c>
      <c r="DB157" s="9">
        <f t="shared" ref="DB157:DB162" si="323">$B157</f>
        <v>2.0702506492389593E-2</v>
      </c>
      <c r="DC157" s="7">
        <f t="shared" ref="DC157:DC162" si="324">DA158</f>
        <v>1.75</v>
      </c>
      <c r="DD157" s="9">
        <f t="shared" ref="DD157:DD162" si="325">DB158</f>
        <v>2.3715557373254037E-2</v>
      </c>
      <c r="DE157" s="11">
        <f t="shared" ref="DE157:DE163" si="326">(DD157-DB157)/(DC157-DA157)</f>
        <v>3.0130508808644436E-3</v>
      </c>
      <c r="DF157" s="15">
        <f>DG156</f>
        <v>0</v>
      </c>
      <c r="DG157" s="11">
        <f t="shared" si="283"/>
        <v>2.3200304433631715E-3</v>
      </c>
      <c r="DH157" s="11">
        <f t="shared" si="284"/>
        <v>-3.7060713183657158E-3</v>
      </c>
      <c r="DI157" s="11">
        <f t="shared" si="285"/>
        <v>1.5057782665553019E-2</v>
      </c>
      <c r="DJ157" s="15">
        <f t="shared" si="286"/>
        <v>-1.6332678648587381E-2</v>
      </c>
      <c r="DK157" s="11">
        <f t="shared" si="287"/>
        <v>2.6045511566892096E-2</v>
      </c>
    </row>
    <row r="158" spans="1:115" x14ac:dyDescent="0.25">
      <c r="A158" s="7">
        <f t="shared" si="241"/>
        <v>1.75</v>
      </c>
      <c r="B158" s="9">
        <f t="shared" si="242"/>
        <v>2.3715557373254037E-2</v>
      </c>
      <c r="C158" s="7">
        <f t="shared" si="288"/>
        <v>2.75</v>
      </c>
      <c r="D158" s="9">
        <f t="shared" si="289"/>
        <v>2.5342567379115936E-2</v>
      </c>
      <c r="E158" s="11">
        <f t="shared" si="290"/>
        <v>1.6270100058618994E-3</v>
      </c>
      <c r="F158" s="15">
        <f t="shared" ref="F158:F163" si="327">G157</f>
        <v>2.3200304433631715E-3</v>
      </c>
      <c r="G158" s="11">
        <f t="shared" si="243"/>
        <v>1.2075955213888285E-3</v>
      </c>
      <c r="H158" s="11">
        <f t="shared" si="244"/>
        <v>2.7360595302820118E-4</v>
      </c>
      <c r="I158" s="11">
        <f t="shared" si="245"/>
        <v>-2.4030576439275295E-3</v>
      </c>
      <c r="J158" s="15">
        <f t="shared" si="246"/>
        <v>8.2169775036629259E-3</v>
      </c>
      <c r="K158" s="11">
        <f t="shared" si="247"/>
        <v>1.522885387186146E-2</v>
      </c>
      <c r="N158" s="7">
        <f t="shared" si="291"/>
        <v>1.75</v>
      </c>
      <c r="O158" s="9">
        <f t="shared" ref="O158:O163" si="328">$B158</f>
        <v>2.3715557373254037E-2</v>
      </c>
      <c r="P158" s="7">
        <f t="shared" si="292"/>
        <v>2.75</v>
      </c>
      <c r="Q158" s="9">
        <f t="shared" si="293"/>
        <v>2.5342567379115936E-2</v>
      </c>
      <c r="R158" s="11">
        <f t="shared" si="294"/>
        <v>1.6270100058618994E-3</v>
      </c>
      <c r="S158" s="15">
        <f t="shared" ref="S158:S163" si="329">T157</f>
        <v>2.3200304433631715E-3</v>
      </c>
      <c r="T158" s="11">
        <f t="shared" si="248"/>
        <v>1.2075955213888285E-3</v>
      </c>
      <c r="U158" s="11">
        <f t="shared" si="249"/>
        <v>2.7360595302820118E-4</v>
      </c>
      <c r="V158" s="11">
        <f t="shared" si="250"/>
        <v>-2.4030576439275295E-3</v>
      </c>
      <c r="W158" s="15">
        <f t="shared" si="251"/>
        <v>8.2169775036629259E-3</v>
      </c>
      <c r="X158" s="11">
        <f t="shared" si="252"/>
        <v>1.522885387186146E-2</v>
      </c>
      <c r="AA158" s="7">
        <f t="shared" si="295"/>
        <v>1.75</v>
      </c>
      <c r="AB158" s="9">
        <f t="shared" ref="AB158:AB163" si="330">$B158</f>
        <v>2.3715557373254037E-2</v>
      </c>
      <c r="AC158" s="7">
        <f t="shared" si="296"/>
        <v>2.75</v>
      </c>
      <c r="AD158" s="9">
        <f t="shared" si="297"/>
        <v>2.5342567379115936E-2</v>
      </c>
      <c r="AE158" s="11">
        <f t="shared" si="298"/>
        <v>1.6270100058618994E-3</v>
      </c>
      <c r="AF158" s="15">
        <f t="shared" ref="AF158:AF163" si="331">AG157</f>
        <v>2.3150304433631717E-3</v>
      </c>
      <c r="AG158" s="11">
        <f t="shared" si="253"/>
        <v>1.2075955213888285E-3</v>
      </c>
      <c r="AH158" s="11">
        <f t="shared" si="254"/>
        <v>2.6860595302820138E-4</v>
      </c>
      <c r="AI158" s="11">
        <f t="shared" si="255"/>
        <v>-2.3668076439275309E-3</v>
      </c>
      <c r="AJ158" s="15">
        <f t="shared" si="256"/>
        <v>8.1310400036629302E-3</v>
      </c>
      <c r="AK158" s="11">
        <f t="shared" si="257"/>
        <v>1.5295025746861453E-2</v>
      </c>
      <c r="AN158" s="7">
        <f t="shared" si="299"/>
        <v>1.75</v>
      </c>
      <c r="AO158" s="10">
        <f>$B158+AM155</f>
        <v>2.3725557373254037E-2</v>
      </c>
      <c r="AP158" s="7">
        <f t="shared" si="300"/>
        <v>2.75</v>
      </c>
      <c r="AQ158" s="9">
        <f t="shared" si="301"/>
        <v>2.5342567379115936E-2</v>
      </c>
      <c r="AR158" s="11">
        <f t="shared" si="302"/>
        <v>1.6170100058618998E-3</v>
      </c>
      <c r="AS158" s="15">
        <f t="shared" ref="AS158:AS163" si="332">AT157</f>
        <v>2.3200304433631715E-3</v>
      </c>
      <c r="AT158" s="11">
        <f t="shared" si="258"/>
        <v>1.2025955213888287E-3</v>
      </c>
      <c r="AU158" s="11">
        <f t="shared" si="259"/>
        <v>2.8860595302820057E-4</v>
      </c>
      <c r="AV158" s="11">
        <f t="shared" si="260"/>
        <v>-2.5068076439275252E-3</v>
      </c>
      <c r="AW158" s="15">
        <f t="shared" si="261"/>
        <v>8.4422900036629171E-3</v>
      </c>
      <c r="AX158" s="11">
        <f t="shared" si="262"/>
        <v>1.5081900746861466E-2</v>
      </c>
      <c r="BA158" s="7">
        <f t="shared" si="303"/>
        <v>1.75</v>
      </c>
      <c r="BB158" s="9">
        <f t="shared" si="304"/>
        <v>2.3715557373254037E-2</v>
      </c>
      <c r="BC158" s="7">
        <f t="shared" si="305"/>
        <v>2.75</v>
      </c>
      <c r="BD158" s="10">
        <f t="shared" ref="BD158:BD162" si="333">BB159</f>
        <v>2.5352567379115936E-2</v>
      </c>
      <c r="BE158" s="11">
        <f t="shared" si="306"/>
        <v>1.637010005861899E-3</v>
      </c>
      <c r="BF158" s="15">
        <f t="shared" ref="BF158:BF163" si="334">BG157</f>
        <v>2.3250304433631713E-3</v>
      </c>
      <c r="BG158" s="11">
        <f t="shared" si="263"/>
        <v>1.2075955213888285E-3</v>
      </c>
      <c r="BH158" s="11">
        <f t="shared" si="264"/>
        <v>2.5860595302820179E-4</v>
      </c>
      <c r="BI158" s="11">
        <f t="shared" si="265"/>
        <v>-2.3043076439275335E-3</v>
      </c>
      <c r="BJ158" s="15">
        <f t="shared" si="266"/>
        <v>8.0141650036629347E-3</v>
      </c>
      <c r="BK158" s="11">
        <f t="shared" si="267"/>
        <v>1.5361744496861455E-2</v>
      </c>
      <c r="BN158" s="7">
        <f t="shared" si="307"/>
        <v>1.75</v>
      </c>
      <c r="BO158" s="9">
        <f t="shared" si="308"/>
        <v>2.3715557373254037E-2</v>
      </c>
      <c r="BP158" s="7">
        <f t="shared" si="309"/>
        <v>2.75</v>
      </c>
      <c r="BQ158" s="9">
        <f t="shared" si="310"/>
        <v>2.5342567379115936E-2</v>
      </c>
      <c r="BR158" s="11">
        <f t="shared" si="311"/>
        <v>1.6270100058618994E-3</v>
      </c>
      <c r="BS158" s="15">
        <f t="shared" ref="BS158:BS163" si="335">BT157</f>
        <v>2.3200304433631715E-3</v>
      </c>
      <c r="BT158" s="11">
        <f t="shared" si="268"/>
        <v>1.2125955213888283E-3</v>
      </c>
      <c r="BU158" s="11">
        <f t="shared" si="269"/>
        <v>2.7860595302820097E-4</v>
      </c>
      <c r="BV158" s="11">
        <f t="shared" si="270"/>
        <v>-2.4343076439275282E-3</v>
      </c>
      <c r="BW158" s="15">
        <f t="shared" si="271"/>
        <v>8.2804150036629234E-3</v>
      </c>
      <c r="BX158" s="11">
        <f t="shared" si="272"/>
        <v>1.5186744496861459E-2</v>
      </c>
      <c r="CA158" s="7">
        <f t="shared" si="312"/>
        <v>1.75</v>
      </c>
      <c r="CB158" s="9">
        <f t="shared" si="313"/>
        <v>2.3715557373254037E-2</v>
      </c>
      <c r="CC158" s="7">
        <f t="shared" si="314"/>
        <v>2.75</v>
      </c>
      <c r="CD158" s="9">
        <f t="shared" si="315"/>
        <v>2.5342567379115936E-2</v>
      </c>
      <c r="CE158" s="11">
        <f t="shared" si="316"/>
        <v>1.6270100058618994E-3</v>
      </c>
      <c r="CF158" s="15">
        <f t="shared" ref="CF158:CF163" si="336">CG157</f>
        <v>2.3200304433631715E-3</v>
      </c>
      <c r="CG158" s="11">
        <f t="shared" si="273"/>
        <v>1.2075955213888285E-3</v>
      </c>
      <c r="CH158" s="11">
        <f t="shared" si="274"/>
        <v>2.7360595302820118E-4</v>
      </c>
      <c r="CI158" s="11">
        <f t="shared" si="275"/>
        <v>-2.4030576439275295E-3</v>
      </c>
      <c r="CJ158" s="15">
        <f t="shared" si="276"/>
        <v>8.2169775036629259E-3</v>
      </c>
      <c r="CK158" s="11">
        <f t="shared" si="277"/>
        <v>1.522885387186146E-2</v>
      </c>
      <c r="CN158" s="7">
        <f t="shared" si="317"/>
        <v>1.75</v>
      </c>
      <c r="CO158" s="9">
        <f t="shared" si="318"/>
        <v>2.3715557373254037E-2</v>
      </c>
      <c r="CP158" s="7">
        <f t="shared" si="319"/>
        <v>2.75</v>
      </c>
      <c r="CQ158" s="9">
        <f t="shared" si="320"/>
        <v>2.5342567379115936E-2</v>
      </c>
      <c r="CR158" s="11">
        <f t="shared" si="321"/>
        <v>1.6270100058618994E-3</v>
      </c>
      <c r="CS158" s="15">
        <f t="shared" ref="CS158:CS163" si="337">CT157</f>
        <v>2.3200304433631715E-3</v>
      </c>
      <c r="CT158" s="11">
        <f t="shared" si="278"/>
        <v>1.2075955213888285E-3</v>
      </c>
      <c r="CU158" s="11">
        <f t="shared" si="279"/>
        <v>2.7360595302820118E-4</v>
      </c>
      <c r="CV158" s="11">
        <f t="shared" si="280"/>
        <v>-2.4030576439275295E-3</v>
      </c>
      <c r="CW158" s="15">
        <f t="shared" si="281"/>
        <v>8.2169775036629259E-3</v>
      </c>
      <c r="CX158" s="11">
        <f t="shared" si="282"/>
        <v>1.522885387186146E-2</v>
      </c>
      <c r="DA158" s="7">
        <f t="shared" si="322"/>
        <v>1.75</v>
      </c>
      <c r="DB158" s="9">
        <f t="shared" si="323"/>
        <v>2.3715557373254037E-2</v>
      </c>
      <c r="DC158" s="7">
        <f t="shared" si="324"/>
        <v>2.75</v>
      </c>
      <c r="DD158" s="9">
        <f t="shared" si="325"/>
        <v>2.5342567379115936E-2</v>
      </c>
      <c r="DE158" s="11">
        <f t="shared" si="326"/>
        <v>1.6270100058618994E-3</v>
      </c>
      <c r="DF158" s="15">
        <f t="shared" ref="DF158:DF163" si="338">DG157</f>
        <v>2.3200304433631715E-3</v>
      </c>
      <c r="DG158" s="11">
        <f t="shared" si="283"/>
        <v>1.2075955213888285E-3</v>
      </c>
      <c r="DH158" s="11">
        <f t="shared" si="284"/>
        <v>2.7360595302820118E-4</v>
      </c>
      <c r="DI158" s="11">
        <f t="shared" si="285"/>
        <v>-2.4030576439275295E-3</v>
      </c>
      <c r="DJ158" s="15">
        <f t="shared" si="286"/>
        <v>8.2169775036629259E-3</v>
      </c>
      <c r="DK158" s="11">
        <f t="shared" si="287"/>
        <v>1.522885387186146E-2</v>
      </c>
    </row>
    <row r="159" spans="1:115" x14ac:dyDescent="0.25">
      <c r="A159" s="7">
        <f t="shared" si="241"/>
        <v>2.75</v>
      </c>
      <c r="B159" s="9">
        <f t="shared" si="242"/>
        <v>2.5342567379115936E-2</v>
      </c>
      <c r="C159" s="7">
        <f t="shared" si="288"/>
        <v>3.75</v>
      </c>
      <c r="D159" s="9">
        <f t="shared" si="289"/>
        <v>2.6130748416031694E-2</v>
      </c>
      <c r="E159" s="11">
        <f t="shared" si="290"/>
        <v>7.8818103691575755E-4</v>
      </c>
      <c r="F159" s="15">
        <f t="shared" si="327"/>
        <v>1.2075955213888285E-3</v>
      </c>
      <c r="G159" s="11">
        <f t="shared" si="243"/>
        <v>1.1383075330011778E-3</v>
      </c>
      <c r="H159" s="11">
        <f t="shared" si="244"/>
        <v>7.6954098055849116E-4</v>
      </c>
      <c r="I159" s="11">
        <f t="shared" si="245"/>
        <v>-7.5376685546391141E-3</v>
      </c>
      <c r="J159" s="15">
        <f t="shared" si="246"/>
        <v>2.5205811575483184E-2</v>
      </c>
      <c r="K159" s="11">
        <f t="shared" si="247"/>
        <v>-2.9738435890568904E-3</v>
      </c>
      <c r="N159" s="7">
        <f t="shared" si="291"/>
        <v>2.75</v>
      </c>
      <c r="O159" s="9">
        <f t="shared" si="328"/>
        <v>2.5342567379115936E-2</v>
      </c>
      <c r="P159" s="7">
        <f t="shared" si="292"/>
        <v>3.75</v>
      </c>
      <c r="Q159" s="9">
        <f t="shared" si="293"/>
        <v>2.6130748416031694E-2</v>
      </c>
      <c r="R159" s="11">
        <f t="shared" si="294"/>
        <v>7.8818103691575755E-4</v>
      </c>
      <c r="S159" s="15">
        <f t="shared" si="329"/>
        <v>1.2075955213888285E-3</v>
      </c>
      <c r="T159" s="11">
        <f t="shared" si="248"/>
        <v>1.1383075330011778E-3</v>
      </c>
      <c r="U159" s="11">
        <f t="shared" si="249"/>
        <v>7.6954098055849116E-4</v>
      </c>
      <c r="V159" s="11">
        <f t="shared" si="250"/>
        <v>-7.5376685546391141E-3</v>
      </c>
      <c r="W159" s="15">
        <f t="shared" si="251"/>
        <v>2.5205811575483184E-2</v>
      </c>
      <c r="X159" s="11">
        <f t="shared" si="252"/>
        <v>-2.9738435890568904E-3</v>
      </c>
      <c r="AA159" s="7">
        <f t="shared" si="295"/>
        <v>2.75</v>
      </c>
      <c r="AB159" s="9">
        <f t="shared" si="330"/>
        <v>2.5342567379115936E-2</v>
      </c>
      <c r="AC159" s="7">
        <f t="shared" si="296"/>
        <v>3.75</v>
      </c>
      <c r="AD159" s="9">
        <f t="shared" si="297"/>
        <v>2.6130748416031694E-2</v>
      </c>
      <c r="AE159" s="11">
        <f t="shared" si="298"/>
        <v>7.8818103691575755E-4</v>
      </c>
      <c r="AF159" s="15">
        <f t="shared" si="331"/>
        <v>1.2075955213888285E-3</v>
      </c>
      <c r="AG159" s="11">
        <f t="shared" si="253"/>
        <v>1.1383075330011778E-3</v>
      </c>
      <c r="AH159" s="11">
        <f t="shared" si="254"/>
        <v>7.6954098055849116E-4</v>
      </c>
      <c r="AI159" s="11">
        <f t="shared" si="255"/>
        <v>-7.5376685546391141E-3</v>
      </c>
      <c r="AJ159" s="15">
        <f t="shared" si="256"/>
        <v>2.5205811575483184E-2</v>
      </c>
      <c r="AK159" s="11">
        <f t="shared" si="257"/>
        <v>-2.9738435890568904E-3</v>
      </c>
      <c r="AN159" s="7">
        <f t="shared" si="299"/>
        <v>2.75</v>
      </c>
      <c r="AO159" s="9">
        <f t="shared" ref="AO159:AO163" si="339">$B159</f>
        <v>2.5342567379115936E-2</v>
      </c>
      <c r="AP159" s="7">
        <f t="shared" si="300"/>
        <v>3.75</v>
      </c>
      <c r="AQ159" s="9">
        <f t="shared" si="301"/>
        <v>2.6130748416031694E-2</v>
      </c>
      <c r="AR159" s="11">
        <f t="shared" si="302"/>
        <v>7.8818103691575755E-4</v>
      </c>
      <c r="AS159" s="15">
        <f t="shared" si="332"/>
        <v>1.2025955213888287E-3</v>
      </c>
      <c r="AT159" s="11">
        <f t="shared" si="258"/>
        <v>1.1383075330011778E-3</v>
      </c>
      <c r="AU159" s="11">
        <f t="shared" si="259"/>
        <v>7.6454098055849136E-4</v>
      </c>
      <c r="AV159" s="11">
        <f t="shared" si="260"/>
        <v>-7.4864185546391158E-3</v>
      </c>
      <c r="AW159" s="15">
        <f t="shared" si="261"/>
        <v>2.5032374075483192E-2</v>
      </c>
      <c r="AX159" s="11">
        <f t="shared" si="262"/>
        <v>-2.7804842140569108E-3</v>
      </c>
      <c r="BA159" s="7">
        <f t="shared" si="303"/>
        <v>2.75</v>
      </c>
      <c r="BB159" s="10">
        <f>$B159+AZ155</f>
        <v>2.5352567379115936E-2</v>
      </c>
      <c r="BC159" s="7">
        <f t="shared" si="305"/>
        <v>3.75</v>
      </c>
      <c r="BD159" s="9">
        <f t="shared" si="333"/>
        <v>2.6130748416031694E-2</v>
      </c>
      <c r="BE159" s="11">
        <f t="shared" si="306"/>
        <v>7.7818103691575796E-4</v>
      </c>
      <c r="BF159" s="15">
        <f t="shared" si="334"/>
        <v>1.2075955213888285E-3</v>
      </c>
      <c r="BG159" s="11">
        <f t="shared" si="263"/>
        <v>1.133307533001178E-3</v>
      </c>
      <c r="BH159" s="11">
        <f t="shared" si="264"/>
        <v>7.8454098055849054E-4</v>
      </c>
      <c r="BI159" s="11">
        <f t="shared" si="265"/>
        <v>-7.6864185546391076E-3</v>
      </c>
      <c r="BJ159" s="15">
        <f t="shared" si="266"/>
        <v>2.5683624075483167E-2</v>
      </c>
      <c r="BK159" s="11">
        <f t="shared" si="267"/>
        <v>-3.464859214056884E-3</v>
      </c>
      <c r="BN159" s="7">
        <f t="shared" si="307"/>
        <v>2.75</v>
      </c>
      <c r="BO159" s="9">
        <f t="shared" si="308"/>
        <v>2.5342567379115936E-2</v>
      </c>
      <c r="BP159" s="7">
        <f t="shared" si="309"/>
        <v>3.75</v>
      </c>
      <c r="BQ159" s="10">
        <f t="shared" si="310"/>
        <v>2.6140748416031694E-2</v>
      </c>
      <c r="BR159" s="11">
        <f t="shared" si="311"/>
        <v>7.9818103691575715E-4</v>
      </c>
      <c r="BS159" s="15">
        <f t="shared" si="335"/>
        <v>1.2125955213888283E-3</v>
      </c>
      <c r="BT159" s="11">
        <f t="shared" si="268"/>
        <v>1.1383075330011778E-3</v>
      </c>
      <c r="BU159" s="11">
        <f t="shared" si="269"/>
        <v>7.5454098055849177E-4</v>
      </c>
      <c r="BV159" s="11">
        <f t="shared" si="270"/>
        <v>-7.3939185546391204E-3</v>
      </c>
      <c r="BW159" s="15">
        <f t="shared" si="271"/>
        <v>2.4760499075483205E-2</v>
      </c>
      <c r="BX159" s="11">
        <f t="shared" si="272"/>
        <v>-2.5243904640569192E-3</v>
      </c>
      <c r="CA159" s="7">
        <f t="shared" si="312"/>
        <v>2.75</v>
      </c>
      <c r="CB159" s="9">
        <f t="shared" si="313"/>
        <v>2.5342567379115936E-2</v>
      </c>
      <c r="CC159" s="7">
        <f t="shared" si="314"/>
        <v>3.75</v>
      </c>
      <c r="CD159" s="9">
        <f t="shared" si="315"/>
        <v>2.6130748416031694E-2</v>
      </c>
      <c r="CE159" s="11">
        <f t="shared" si="316"/>
        <v>7.8818103691575755E-4</v>
      </c>
      <c r="CF159" s="15">
        <f t="shared" si="336"/>
        <v>1.2075955213888285E-3</v>
      </c>
      <c r="CG159" s="11">
        <f t="shared" si="273"/>
        <v>1.1433075330011776E-3</v>
      </c>
      <c r="CH159" s="11">
        <f t="shared" si="274"/>
        <v>7.7454098055849095E-4</v>
      </c>
      <c r="CI159" s="11">
        <f t="shared" si="275"/>
        <v>-7.5839185546391127E-3</v>
      </c>
      <c r="CJ159" s="15">
        <f t="shared" si="276"/>
        <v>2.534674907548318E-2</v>
      </c>
      <c r="CK159" s="11">
        <f t="shared" si="277"/>
        <v>-3.115640464056893E-3</v>
      </c>
      <c r="CN159" s="7">
        <f t="shared" si="317"/>
        <v>2.75</v>
      </c>
      <c r="CO159" s="9">
        <f t="shared" si="318"/>
        <v>2.5342567379115936E-2</v>
      </c>
      <c r="CP159" s="7">
        <f t="shared" si="319"/>
        <v>3.75</v>
      </c>
      <c r="CQ159" s="9">
        <f t="shared" si="320"/>
        <v>2.6130748416031694E-2</v>
      </c>
      <c r="CR159" s="11">
        <f t="shared" si="321"/>
        <v>7.8818103691575755E-4</v>
      </c>
      <c r="CS159" s="15">
        <f t="shared" si="337"/>
        <v>1.2075955213888285E-3</v>
      </c>
      <c r="CT159" s="11">
        <f t="shared" si="278"/>
        <v>1.1383075330011778E-3</v>
      </c>
      <c r="CU159" s="11">
        <f t="shared" si="279"/>
        <v>7.6954098055849116E-4</v>
      </c>
      <c r="CV159" s="11">
        <f t="shared" si="280"/>
        <v>-7.5376685546391141E-3</v>
      </c>
      <c r="CW159" s="15">
        <f t="shared" si="281"/>
        <v>2.5205811575483184E-2</v>
      </c>
      <c r="CX159" s="11">
        <f t="shared" si="282"/>
        <v>-2.9738435890568904E-3</v>
      </c>
      <c r="DA159" s="7">
        <f t="shared" si="322"/>
        <v>2.75</v>
      </c>
      <c r="DB159" s="9">
        <f t="shared" si="323"/>
        <v>2.5342567379115936E-2</v>
      </c>
      <c r="DC159" s="7">
        <f t="shared" si="324"/>
        <v>3.75</v>
      </c>
      <c r="DD159" s="9">
        <f t="shared" si="325"/>
        <v>2.6130748416031694E-2</v>
      </c>
      <c r="DE159" s="11">
        <f t="shared" si="326"/>
        <v>7.8818103691575755E-4</v>
      </c>
      <c r="DF159" s="15">
        <f t="shared" si="338"/>
        <v>1.2075955213888285E-3</v>
      </c>
      <c r="DG159" s="11">
        <f t="shared" si="283"/>
        <v>1.1383075330011778E-3</v>
      </c>
      <c r="DH159" s="11">
        <f t="shared" si="284"/>
        <v>7.6954098055849116E-4</v>
      </c>
      <c r="DI159" s="11">
        <f t="shared" si="285"/>
        <v>-7.5376685546391141E-3</v>
      </c>
      <c r="DJ159" s="15">
        <f t="shared" si="286"/>
        <v>2.5205811575483184E-2</v>
      </c>
      <c r="DK159" s="11">
        <f t="shared" si="287"/>
        <v>-2.9738435890568904E-3</v>
      </c>
    </row>
    <row r="160" spans="1:115" x14ac:dyDescent="0.25">
      <c r="A160" s="7">
        <f t="shared" si="241"/>
        <v>3.75</v>
      </c>
      <c r="B160" s="9">
        <f t="shared" si="242"/>
        <v>2.6130748416031694E-2</v>
      </c>
      <c r="C160" s="7">
        <f t="shared" si="288"/>
        <v>4.75</v>
      </c>
      <c r="D160" s="9">
        <f t="shared" si="289"/>
        <v>2.7619182445118292E-2</v>
      </c>
      <c r="E160" s="11">
        <f t="shared" si="290"/>
        <v>1.488434029086598E-3</v>
      </c>
      <c r="F160" s="15">
        <f t="shared" si="327"/>
        <v>1.1383075330011778E-3</v>
      </c>
      <c r="G160" s="11">
        <f t="shared" si="243"/>
        <v>8.4473479842869011E-4</v>
      </c>
      <c r="H160" s="11">
        <f t="shared" si="244"/>
        <v>-9.9382572674332811E-4</v>
      </c>
      <c r="I160" s="11">
        <f t="shared" si="245"/>
        <v>1.252449164869119E-2</v>
      </c>
      <c r="J160" s="15">
        <f t="shared" si="246"/>
        <v>-5.0868356985198593E-2</v>
      </c>
      <c r="K160" s="11">
        <f t="shared" si="247"/>
        <v>9.3170201859536728E-2</v>
      </c>
      <c r="N160" s="7">
        <f t="shared" si="291"/>
        <v>3.75</v>
      </c>
      <c r="O160" s="9">
        <f t="shared" si="328"/>
        <v>2.6130748416031694E-2</v>
      </c>
      <c r="P160" s="7">
        <f t="shared" si="292"/>
        <v>4.75</v>
      </c>
      <c r="Q160" s="9">
        <f t="shared" si="293"/>
        <v>2.7619182445118292E-2</v>
      </c>
      <c r="R160" s="11">
        <f t="shared" si="294"/>
        <v>1.488434029086598E-3</v>
      </c>
      <c r="S160" s="15">
        <f t="shared" si="329"/>
        <v>1.1383075330011778E-3</v>
      </c>
      <c r="T160" s="11">
        <f t="shared" si="248"/>
        <v>8.4473479842869011E-4</v>
      </c>
      <c r="U160" s="11">
        <f t="shared" si="249"/>
        <v>-9.9382572674332811E-4</v>
      </c>
      <c r="V160" s="11">
        <f t="shared" si="250"/>
        <v>1.252449164869119E-2</v>
      </c>
      <c r="W160" s="15">
        <f t="shared" si="251"/>
        <v>-5.0868356985198593E-2</v>
      </c>
      <c r="X160" s="11">
        <f t="shared" si="252"/>
        <v>9.3170201859536728E-2</v>
      </c>
      <c r="AA160" s="7">
        <f t="shared" si="295"/>
        <v>3.75</v>
      </c>
      <c r="AB160" s="9">
        <f t="shared" si="330"/>
        <v>2.6130748416031694E-2</v>
      </c>
      <c r="AC160" s="7">
        <f t="shared" si="296"/>
        <v>4.75</v>
      </c>
      <c r="AD160" s="9">
        <f t="shared" si="297"/>
        <v>2.7619182445118292E-2</v>
      </c>
      <c r="AE160" s="11">
        <f t="shared" si="298"/>
        <v>1.488434029086598E-3</v>
      </c>
      <c r="AF160" s="15">
        <f t="shared" si="331"/>
        <v>1.1383075330011778E-3</v>
      </c>
      <c r="AG160" s="11">
        <f t="shared" si="253"/>
        <v>8.4473479842869011E-4</v>
      </c>
      <c r="AH160" s="11">
        <f t="shared" si="254"/>
        <v>-9.9382572674332811E-4</v>
      </c>
      <c r="AI160" s="11">
        <f t="shared" si="255"/>
        <v>1.252449164869119E-2</v>
      </c>
      <c r="AJ160" s="15">
        <f t="shared" si="256"/>
        <v>-5.0868356985198593E-2</v>
      </c>
      <c r="AK160" s="11">
        <f t="shared" si="257"/>
        <v>9.3170201859536728E-2</v>
      </c>
      <c r="AN160" s="7">
        <f t="shared" si="299"/>
        <v>3.75</v>
      </c>
      <c r="AO160" s="9">
        <f t="shared" si="339"/>
        <v>2.6130748416031694E-2</v>
      </c>
      <c r="AP160" s="7">
        <f t="shared" si="300"/>
        <v>4.75</v>
      </c>
      <c r="AQ160" s="9">
        <f t="shared" si="301"/>
        <v>2.7619182445118292E-2</v>
      </c>
      <c r="AR160" s="11">
        <f t="shared" si="302"/>
        <v>1.488434029086598E-3</v>
      </c>
      <c r="AS160" s="15">
        <f t="shared" si="332"/>
        <v>1.1383075330011778E-3</v>
      </c>
      <c r="AT160" s="11">
        <f t="shared" si="258"/>
        <v>8.4473479842869011E-4</v>
      </c>
      <c r="AU160" s="11">
        <f t="shared" si="259"/>
        <v>-9.9382572674332811E-4</v>
      </c>
      <c r="AV160" s="11">
        <f t="shared" si="260"/>
        <v>1.252449164869119E-2</v>
      </c>
      <c r="AW160" s="15">
        <f t="shared" si="261"/>
        <v>-5.0868356985198593E-2</v>
      </c>
      <c r="AX160" s="11">
        <f t="shared" si="262"/>
        <v>9.3170201859536728E-2</v>
      </c>
      <c r="BA160" s="7">
        <f t="shared" si="303"/>
        <v>3.75</v>
      </c>
      <c r="BB160" s="9">
        <f t="shared" si="304"/>
        <v>2.6130748416031694E-2</v>
      </c>
      <c r="BC160" s="7">
        <f t="shared" si="305"/>
        <v>4.75</v>
      </c>
      <c r="BD160" s="9">
        <f t="shared" si="333"/>
        <v>2.7619182445118292E-2</v>
      </c>
      <c r="BE160" s="11">
        <f t="shared" si="306"/>
        <v>1.488434029086598E-3</v>
      </c>
      <c r="BF160" s="15">
        <f t="shared" si="334"/>
        <v>1.133307533001178E-3</v>
      </c>
      <c r="BG160" s="11">
        <f t="shared" si="263"/>
        <v>8.4473479842869011E-4</v>
      </c>
      <c r="BH160" s="11">
        <f t="shared" si="264"/>
        <v>-9.988257267433279E-4</v>
      </c>
      <c r="BI160" s="11">
        <f t="shared" si="265"/>
        <v>1.2590741648691187E-2</v>
      </c>
      <c r="BJ160" s="15">
        <f t="shared" si="266"/>
        <v>-5.1159294485198591E-2</v>
      </c>
      <c r="BK160" s="11">
        <f t="shared" si="267"/>
        <v>9.3593248734536769E-2</v>
      </c>
      <c r="BN160" s="7">
        <f t="shared" si="307"/>
        <v>3.75</v>
      </c>
      <c r="BO160" s="10">
        <f>$B160+BM155</f>
        <v>2.6140748416031694E-2</v>
      </c>
      <c r="BP160" s="7">
        <f t="shared" si="309"/>
        <v>4.75</v>
      </c>
      <c r="BQ160" s="9">
        <f t="shared" si="310"/>
        <v>2.7619182445118292E-2</v>
      </c>
      <c r="BR160" s="11">
        <f t="shared" si="311"/>
        <v>1.4784340290865984E-3</v>
      </c>
      <c r="BS160" s="15">
        <f t="shared" si="335"/>
        <v>1.1383075330011778E-3</v>
      </c>
      <c r="BT160" s="11">
        <f t="shared" si="268"/>
        <v>8.3973479842869032E-4</v>
      </c>
      <c r="BU160" s="11">
        <f t="shared" si="269"/>
        <v>-9.7882572674332872E-4</v>
      </c>
      <c r="BV160" s="11">
        <f t="shared" si="270"/>
        <v>1.2330741648691197E-2</v>
      </c>
      <c r="BW160" s="15">
        <f t="shared" si="271"/>
        <v>-5.0048044485198624E-2</v>
      </c>
      <c r="BX160" s="11">
        <f t="shared" si="272"/>
        <v>9.2037623734536805E-2</v>
      </c>
      <c r="CA160" s="7">
        <f t="shared" si="312"/>
        <v>3.75</v>
      </c>
      <c r="CB160" s="9">
        <f t="shared" si="313"/>
        <v>2.6130748416031694E-2</v>
      </c>
      <c r="CC160" s="7">
        <f t="shared" si="314"/>
        <v>4.75</v>
      </c>
      <c r="CD160" s="10">
        <f t="shared" si="315"/>
        <v>2.7629182445118292E-2</v>
      </c>
      <c r="CE160" s="11">
        <f t="shared" si="316"/>
        <v>1.4984340290865976E-3</v>
      </c>
      <c r="CF160" s="15">
        <f t="shared" si="336"/>
        <v>1.1433075330011776E-3</v>
      </c>
      <c r="CG160" s="11">
        <f t="shared" si="273"/>
        <v>8.4723479842869001E-4</v>
      </c>
      <c r="CH160" s="11">
        <f t="shared" si="274"/>
        <v>-1.0063257267433276E-3</v>
      </c>
      <c r="CI160" s="11">
        <f t="shared" si="275"/>
        <v>1.2682616648691183E-2</v>
      </c>
      <c r="CJ160" s="15">
        <f t="shared" si="276"/>
        <v>-5.1521950735198552E-2</v>
      </c>
      <c r="CK160" s="11">
        <f t="shared" si="277"/>
        <v>9.4056725297036681E-2</v>
      </c>
      <c r="CN160" s="7">
        <f t="shared" si="317"/>
        <v>3.75</v>
      </c>
      <c r="CO160" s="9">
        <f t="shared" si="318"/>
        <v>2.6130748416031694E-2</v>
      </c>
      <c r="CP160" s="7">
        <f t="shared" si="319"/>
        <v>4.75</v>
      </c>
      <c r="CQ160" s="9">
        <f t="shared" si="320"/>
        <v>2.7619182445118292E-2</v>
      </c>
      <c r="CR160" s="11">
        <f t="shared" si="321"/>
        <v>1.488434029086598E-3</v>
      </c>
      <c r="CS160" s="15">
        <f t="shared" si="337"/>
        <v>1.1383075330011778E-3</v>
      </c>
      <c r="CT160" s="11">
        <f t="shared" si="278"/>
        <v>8.4723479842869001E-4</v>
      </c>
      <c r="CU160" s="11">
        <f t="shared" si="279"/>
        <v>-9.9132572674332821E-4</v>
      </c>
      <c r="CV160" s="11">
        <f t="shared" si="280"/>
        <v>1.249386664869119E-2</v>
      </c>
      <c r="CW160" s="15">
        <f t="shared" si="281"/>
        <v>-5.0744138235198598E-2</v>
      </c>
      <c r="CX160" s="11">
        <f t="shared" si="282"/>
        <v>9.3003209672036763E-2</v>
      </c>
      <c r="DA160" s="7">
        <f t="shared" si="322"/>
        <v>3.75</v>
      </c>
      <c r="DB160" s="9">
        <f t="shared" si="323"/>
        <v>2.6130748416031694E-2</v>
      </c>
      <c r="DC160" s="7">
        <f t="shared" si="324"/>
        <v>4.75</v>
      </c>
      <c r="DD160" s="9">
        <f t="shared" si="325"/>
        <v>2.7619182445118292E-2</v>
      </c>
      <c r="DE160" s="11">
        <f t="shared" si="326"/>
        <v>1.488434029086598E-3</v>
      </c>
      <c r="DF160" s="15">
        <f t="shared" si="338"/>
        <v>1.1383075330011778E-3</v>
      </c>
      <c r="DG160" s="11">
        <f t="shared" si="283"/>
        <v>8.4473479842869011E-4</v>
      </c>
      <c r="DH160" s="11">
        <f t="shared" si="284"/>
        <v>-9.9382572674332811E-4</v>
      </c>
      <c r="DI160" s="11">
        <f t="shared" si="285"/>
        <v>1.252449164869119E-2</v>
      </c>
      <c r="DJ160" s="15">
        <f t="shared" si="286"/>
        <v>-5.0868356985198593E-2</v>
      </c>
      <c r="DK160" s="11">
        <f t="shared" si="287"/>
        <v>9.3170201859536728E-2</v>
      </c>
    </row>
    <row r="161" spans="1:115" x14ac:dyDescent="0.25">
      <c r="A161" s="7">
        <f t="shared" si="241"/>
        <v>4.75</v>
      </c>
      <c r="B161" s="9">
        <f t="shared" si="242"/>
        <v>2.7619182445118292E-2</v>
      </c>
      <c r="C161" s="7">
        <f t="shared" si="288"/>
        <v>6.75</v>
      </c>
      <c r="D161" s="9">
        <f t="shared" si="289"/>
        <v>2.8021253580659856E-2</v>
      </c>
      <c r="E161" s="11">
        <f t="shared" si="290"/>
        <v>2.0103556777078223E-4</v>
      </c>
      <c r="F161" s="15">
        <f t="shared" si="327"/>
        <v>8.4473479842869011E-4</v>
      </c>
      <c r="G161" s="11">
        <f t="shared" si="243"/>
        <v>6.4328211835050183E-4</v>
      </c>
      <c r="H161" s="11">
        <f t="shared" si="244"/>
        <v>2.714864453094069E-4</v>
      </c>
      <c r="I161" s="11">
        <f t="shared" si="245"/>
        <v>-4.7335043516068161E-3</v>
      </c>
      <c r="J161" s="15">
        <f t="shared" si="246"/>
        <v>2.7436787371812967E-2</v>
      </c>
      <c r="K161" s="11">
        <f t="shared" si="247"/>
        <v>-2.5001577018758603E-2</v>
      </c>
      <c r="N161" s="7">
        <f t="shared" si="291"/>
        <v>4.75</v>
      </c>
      <c r="O161" s="9">
        <f t="shared" si="328"/>
        <v>2.7619182445118292E-2</v>
      </c>
      <c r="P161" s="7">
        <f t="shared" si="292"/>
        <v>6.75</v>
      </c>
      <c r="Q161" s="9">
        <f t="shared" si="293"/>
        <v>2.8021253580659856E-2</v>
      </c>
      <c r="R161" s="11">
        <f t="shared" si="294"/>
        <v>2.0103556777078223E-4</v>
      </c>
      <c r="S161" s="15">
        <f t="shared" si="329"/>
        <v>8.4473479842869011E-4</v>
      </c>
      <c r="T161" s="11">
        <f t="shared" si="248"/>
        <v>6.4328211835050183E-4</v>
      </c>
      <c r="U161" s="11">
        <f t="shared" si="249"/>
        <v>2.714864453094069E-4</v>
      </c>
      <c r="V161" s="11">
        <f t="shared" si="250"/>
        <v>-4.7335043516068161E-3</v>
      </c>
      <c r="W161" s="15">
        <f t="shared" si="251"/>
        <v>2.7436787371812967E-2</v>
      </c>
      <c r="X161" s="11">
        <f t="shared" si="252"/>
        <v>-2.5001577018758603E-2</v>
      </c>
      <c r="AA161" s="7">
        <f t="shared" si="295"/>
        <v>4.75</v>
      </c>
      <c r="AB161" s="9">
        <f t="shared" si="330"/>
        <v>2.7619182445118292E-2</v>
      </c>
      <c r="AC161" s="7">
        <f t="shared" si="296"/>
        <v>6.75</v>
      </c>
      <c r="AD161" s="9">
        <f t="shared" si="297"/>
        <v>2.8021253580659856E-2</v>
      </c>
      <c r="AE161" s="11">
        <f t="shared" si="298"/>
        <v>2.0103556777078223E-4</v>
      </c>
      <c r="AF161" s="15">
        <f t="shared" si="331"/>
        <v>8.4473479842869011E-4</v>
      </c>
      <c r="AG161" s="11">
        <f t="shared" si="253"/>
        <v>6.4328211835050183E-4</v>
      </c>
      <c r="AH161" s="11">
        <f t="shared" si="254"/>
        <v>2.714864453094069E-4</v>
      </c>
      <c r="AI161" s="11">
        <f t="shared" si="255"/>
        <v>-4.7335043516068161E-3</v>
      </c>
      <c r="AJ161" s="15">
        <f t="shared" si="256"/>
        <v>2.7436787371812967E-2</v>
      </c>
      <c r="AK161" s="11">
        <f t="shared" si="257"/>
        <v>-2.5001577018758603E-2</v>
      </c>
      <c r="AN161" s="7">
        <f t="shared" si="299"/>
        <v>4.75</v>
      </c>
      <c r="AO161" s="9">
        <f t="shared" si="339"/>
        <v>2.7619182445118292E-2</v>
      </c>
      <c r="AP161" s="7">
        <f t="shared" si="300"/>
        <v>6.75</v>
      </c>
      <c r="AQ161" s="9">
        <f t="shared" si="301"/>
        <v>2.8021253580659856E-2</v>
      </c>
      <c r="AR161" s="11">
        <f t="shared" si="302"/>
        <v>2.0103556777078223E-4</v>
      </c>
      <c r="AS161" s="15">
        <f t="shared" si="332"/>
        <v>8.4473479842869011E-4</v>
      </c>
      <c r="AT161" s="11">
        <f t="shared" si="258"/>
        <v>6.4328211835050183E-4</v>
      </c>
      <c r="AU161" s="11">
        <f t="shared" si="259"/>
        <v>2.714864453094069E-4</v>
      </c>
      <c r="AV161" s="11">
        <f t="shared" si="260"/>
        <v>-4.7335043516068161E-3</v>
      </c>
      <c r="AW161" s="15">
        <f t="shared" si="261"/>
        <v>2.7436787371812967E-2</v>
      </c>
      <c r="AX161" s="11">
        <f t="shared" si="262"/>
        <v>-2.5001577018758603E-2</v>
      </c>
      <c r="BA161" s="7">
        <f t="shared" si="303"/>
        <v>4.75</v>
      </c>
      <c r="BB161" s="9">
        <f t="shared" si="304"/>
        <v>2.7619182445118292E-2</v>
      </c>
      <c r="BC161" s="7">
        <f t="shared" si="305"/>
        <v>6.75</v>
      </c>
      <c r="BD161" s="9">
        <f t="shared" si="333"/>
        <v>2.8021253580659856E-2</v>
      </c>
      <c r="BE161" s="11">
        <f t="shared" si="306"/>
        <v>2.0103556777078223E-4</v>
      </c>
      <c r="BF161" s="15">
        <f t="shared" si="334"/>
        <v>8.4473479842869011E-4</v>
      </c>
      <c r="BG161" s="11">
        <f t="shared" si="263"/>
        <v>6.4328211835050183E-4</v>
      </c>
      <c r="BH161" s="11">
        <f t="shared" si="264"/>
        <v>2.714864453094069E-4</v>
      </c>
      <c r="BI161" s="11">
        <f t="shared" si="265"/>
        <v>-4.7335043516068161E-3</v>
      </c>
      <c r="BJ161" s="15">
        <f t="shared" si="266"/>
        <v>2.7436787371812967E-2</v>
      </c>
      <c r="BK161" s="11">
        <f t="shared" si="267"/>
        <v>-2.5001577018758603E-2</v>
      </c>
      <c r="BN161" s="7">
        <f t="shared" si="307"/>
        <v>4.75</v>
      </c>
      <c r="BO161" s="9">
        <f t="shared" si="308"/>
        <v>2.7619182445118292E-2</v>
      </c>
      <c r="BP161" s="7">
        <f t="shared" si="309"/>
        <v>6.75</v>
      </c>
      <c r="BQ161" s="9">
        <f t="shared" si="310"/>
        <v>2.8021253580659856E-2</v>
      </c>
      <c r="BR161" s="11">
        <f t="shared" si="311"/>
        <v>2.0103556777078223E-4</v>
      </c>
      <c r="BS161" s="15">
        <f t="shared" si="335"/>
        <v>8.3973479842869032E-4</v>
      </c>
      <c r="BT161" s="11">
        <f t="shared" si="268"/>
        <v>6.4328211835050183E-4</v>
      </c>
      <c r="BU161" s="11">
        <f t="shared" si="269"/>
        <v>2.7023644530940695E-4</v>
      </c>
      <c r="BV161" s="11">
        <f t="shared" si="270"/>
        <v>-4.7106918516068175E-3</v>
      </c>
      <c r="BW161" s="15">
        <f t="shared" si="271"/>
        <v>2.7299677996812974E-2</v>
      </c>
      <c r="BX161" s="11">
        <f t="shared" si="272"/>
        <v>-2.4731049675008623E-2</v>
      </c>
      <c r="CA161" s="7">
        <f t="shared" si="312"/>
        <v>4.75</v>
      </c>
      <c r="CB161" s="10">
        <f>$B161+BZ155</f>
        <v>2.7629182445118292E-2</v>
      </c>
      <c r="CC161" s="7">
        <f t="shared" si="314"/>
        <v>6.75</v>
      </c>
      <c r="CD161" s="9">
        <f t="shared" si="315"/>
        <v>2.8021253580659856E-2</v>
      </c>
      <c r="CE161" s="11">
        <f t="shared" si="316"/>
        <v>1.9603556777078243E-4</v>
      </c>
      <c r="CF161" s="15">
        <f t="shared" si="336"/>
        <v>8.4723479842869001E-4</v>
      </c>
      <c r="CG161" s="11">
        <f t="shared" si="273"/>
        <v>6.4078211835050193E-4</v>
      </c>
      <c r="CH161" s="11">
        <f t="shared" si="274"/>
        <v>2.739864453094068E-4</v>
      </c>
      <c r="CI161" s="11">
        <f t="shared" si="275"/>
        <v>-4.7778793516068145E-3</v>
      </c>
      <c r="CJ161" s="15">
        <f t="shared" si="276"/>
        <v>2.7691631121812953E-2</v>
      </c>
      <c r="CK161" s="11">
        <f t="shared" si="277"/>
        <v>-2.5468803581258567E-2</v>
      </c>
      <c r="CN161" s="7">
        <f t="shared" si="317"/>
        <v>4.75</v>
      </c>
      <c r="CO161" s="9">
        <f t="shared" si="318"/>
        <v>2.7619182445118292E-2</v>
      </c>
      <c r="CP161" s="7">
        <f t="shared" si="319"/>
        <v>6.75</v>
      </c>
      <c r="CQ161" s="10">
        <f t="shared" si="320"/>
        <v>2.8031253580659856E-2</v>
      </c>
      <c r="CR161" s="11">
        <f t="shared" si="321"/>
        <v>2.0603556777078202E-4</v>
      </c>
      <c r="CS161" s="15">
        <f t="shared" si="337"/>
        <v>8.4723479842869001E-4</v>
      </c>
      <c r="CT161" s="11">
        <f t="shared" si="278"/>
        <v>6.4411545168383509E-4</v>
      </c>
      <c r="CU161" s="11">
        <f t="shared" si="279"/>
        <v>2.6981977864274026E-4</v>
      </c>
      <c r="CV161" s="11">
        <f t="shared" si="280"/>
        <v>-4.7051710182734836E-3</v>
      </c>
      <c r="CW161" s="15">
        <f t="shared" si="281"/>
        <v>2.7282933205146305E-2</v>
      </c>
      <c r="CX161" s="11">
        <f t="shared" si="282"/>
        <v>-2.4731420768758616E-2</v>
      </c>
      <c r="DA161" s="7">
        <f t="shared" si="322"/>
        <v>4.75</v>
      </c>
      <c r="DB161" s="9">
        <f t="shared" si="323"/>
        <v>2.7619182445118292E-2</v>
      </c>
      <c r="DC161" s="7">
        <f t="shared" si="324"/>
        <v>6.75</v>
      </c>
      <c r="DD161" s="9">
        <f t="shared" si="325"/>
        <v>2.8021253580659856E-2</v>
      </c>
      <c r="DE161" s="11">
        <f t="shared" si="326"/>
        <v>2.0103556777078223E-4</v>
      </c>
      <c r="DF161" s="15">
        <f t="shared" si="338"/>
        <v>8.4473479842869011E-4</v>
      </c>
      <c r="DG161" s="11">
        <f t="shared" si="283"/>
        <v>6.4494878501716901E-4</v>
      </c>
      <c r="DH161" s="11">
        <f t="shared" si="284"/>
        <v>2.7190311197607369E-4</v>
      </c>
      <c r="DI161" s="11">
        <f t="shared" si="285"/>
        <v>-4.7402751849401521E-3</v>
      </c>
      <c r="DJ161" s="15">
        <f t="shared" si="286"/>
        <v>2.7472907163479651E-2</v>
      </c>
      <c r="DK161" s="11">
        <f t="shared" si="287"/>
        <v>-2.5065034050008636E-2</v>
      </c>
    </row>
    <row r="162" spans="1:115" x14ac:dyDescent="0.25">
      <c r="A162" s="7">
        <f t="shared" si="241"/>
        <v>6.75</v>
      </c>
      <c r="B162" s="9">
        <f t="shared" si="242"/>
        <v>2.8021253580659856E-2</v>
      </c>
      <c r="C162" s="7">
        <f t="shared" si="288"/>
        <v>9.75</v>
      </c>
      <c r="D162" s="9">
        <f t="shared" si="289"/>
        <v>3.1277839587450521E-2</v>
      </c>
      <c r="E162" s="11">
        <f t="shared" si="290"/>
        <v>1.0855286689302214E-3</v>
      </c>
      <c r="F162" s="15">
        <f t="shared" si="327"/>
        <v>6.4328211835050183E-4</v>
      </c>
      <c r="G162" s="11">
        <f t="shared" si="243"/>
        <v>5.4276433446511071E-4</v>
      </c>
      <c r="H162" s="11">
        <f t="shared" si="244"/>
        <v>-1.0944565389387003E-4</v>
      </c>
      <c r="I162" s="11">
        <f t="shared" si="245"/>
        <v>2.6920269698923849E-3</v>
      </c>
      <c r="J162" s="15">
        <f t="shared" si="246"/>
        <v>-2.0739229158578329E-2</v>
      </c>
      <c r="K162" s="11">
        <f t="shared" si="247"/>
        <v>7.9015240422733113E-2</v>
      </c>
      <c r="N162" s="7">
        <f t="shared" si="291"/>
        <v>6.75</v>
      </c>
      <c r="O162" s="9">
        <f t="shared" si="328"/>
        <v>2.8021253580659856E-2</v>
      </c>
      <c r="P162" s="7">
        <f t="shared" si="292"/>
        <v>9.75</v>
      </c>
      <c r="Q162" s="9">
        <f t="shared" si="293"/>
        <v>3.1277839587450521E-2</v>
      </c>
      <c r="R162" s="11">
        <f t="shared" si="294"/>
        <v>1.0855286689302214E-3</v>
      </c>
      <c r="S162" s="15">
        <f t="shared" si="329"/>
        <v>6.4328211835050183E-4</v>
      </c>
      <c r="T162" s="11">
        <f t="shared" si="248"/>
        <v>5.4276433446511071E-4</v>
      </c>
      <c r="U162" s="11">
        <f t="shared" si="249"/>
        <v>-1.0944565389387003E-4</v>
      </c>
      <c r="V162" s="11">
        <f t="shared" si="250"/>
        <v>2.6920269698923849E-3</v>
      </c>
      <c r="W162" s="15">
        <f t="shared" si="251"/>
        <v>-2.0739229158578329E-2</v>
      </c>
      <c r="X162" s="11">
        <f t="shared" si="252"/>
        <v>7.9015240422733113E-2</v>
      </c>
      <c r="AA162" s="7">
        <f t="shared" si="295"/>
        <v>6.75</v>
      </c>
      <c r="AB162" s="9">
        <f t="shared" si="330"/>
        <v>2.8021253580659856E-2</v>
      </c>
      <c r="AC162" s="7">
        <f t="shared" si="296"/>
        <v>9.75</v>
      </c>
      <c r="AD162" s="9">
        <f t="shared" si="297"/>
        <v>3.1277839587450521E-2</v>
      </c>
      <c r="AE162" s="11">
        <f t="shared" si="298"/>
        <v>1.0855286689302214E-3</v>
      </c>
      <c r="AF162" s="15">
        <f t="shared" si="331"/>
        <v>6.4328211835050183E-4</v>
      </c>
      <c r="AG162" s="11">
        <f t="shared" si="253"/>
        <v>5.4276433446511071E-4</v>
      </c>
      <c r="AH162" s="11">
        <f t="shared" si="254"/>
        <v>-1.0944565389387003E-4</v>
      </c>
      <c r="AI162" s="11">
        <f t="shared" si="255"/>
        <v>2.6920269698923849E-3</v>
      </c>
      <c r="AJ162" s="15">
        <f t="shared" si="256"/>
        <v>-2.0739229158578329E-2</v>
      </c>
      <c r="AK162" s="11">
        <f t="shared" si="257"/>
        <v>7.9015240422733113E-2</v>
      </c>
      <c r="AN162" s="7">
        <f t="shared" si="299"/>
        <v>6.75</v>
      </c>
      <c r="AO162" s="9">
        <f t="shared" si="339"/>
        <v>2.8021253580659856E-2</v>
      </c>
      <c r="AP162" s="7">
        <f t="shared" si="300"/>
        <v>9.75</v>
      </c>
      <c r="AQ162" s="9">
        <f t="shared" si="301"/>
        <v>3.1277839587450521E-2</v>
      </c>
      <c r="AR162" s="11">
        <f t="shared" si="302"/>
        <v>1.0855286689302214E-3</v>
      </c>
      <c r="AS162" s="15">
        <f t="shared" si="332"/>
        <v>6.4328211835050183E-4</v>
      </c>
      <c r="AT162" s="11">
        <f t="shared" si="258"/>
        <v>5.4276433446511071E-4</v>
      </c>
      <c r="AU162" s="11">
        <f t="shared" si="259"/>
        <v>-1.0944565389387003E-4</v>
      </c>
      <c r="AV162" s="11">
        <f t="shared" si="260"/>
        <v>2.6920269698923849E-3</v>
      </c>
      <c r="AW162" s="15">
        <f t="shared" si="261"/>
        <v>-2.0739229158578329E-2</v>
      </c>
      <c r="AX162" s="11">
        <f t="shared" si="262"/>
        <v>7.9015240422733113E-2</v>
      </c>
      <c r="BA162" s="7">
        <f t="shared" si="303"/>
        <v>6.75</v>
      </c>
      <c r="BB162" s="9">
        <f t="shared" si="304"/>
        <v>2.8021253580659856E-2</v>
      </c>
      <c r="BC162" s="7">
        <f t="shared" si="305"/>
        <v>9.75</v>
      </c>
      <c r="BD162" s="9">
        <f t="shared" si="333"/>
        <v>3.1277839587450521E-2</v>
      </c>
      <c r="BE162" s="11">
        <f t="shared" si="306"/>
        <v>1.0855286689302214E-3</v>
      </c>
      <c r="BF162" s="15">
        <f t="shared" si="334"/>
        <v>6.4328211835050183E-4</v>
      </c>
      <c r="BG162" s="11">
        <f t="shared" si="263"/>
        <v>5.4276433446511071E-4</v>
      </c>
      <c r="BH162" s="11">
        <f t="shared" si="264"/>
        <v>-1.0944565389387003E-4</v>
      </c>
      <c r="BI162" s="11">
        <f t="shared" si="265"/>
        <v>2.6920269698923849E-3</v>
      </c>
      <c r="BJ162" s="15">
        <f t="shared" si="266"/>
        <v>-2.0739229158578329E-2</v>
      </c>
      <c r="BK162" s="11">
        <f t="shared" si="267"/>
        <v>7.9015240422733113E-2</v>
      </c>
      <c r="BN162" s="7">
        <f t="shared" si="307"/>
        <v>6.75</v>
      </c>
      <c r="BO162" s="9">
        <f t="shared" si="308"/>
        <v>2.8021253580659856E-2</v>
      </c>
      <c r="BP162" s="7">
        <f t="shared" si="309"/>
        <v>9.75</v>
      </c>
      <c r="BQ162" s="9">
        <f t="shared" si="310"/>
        <v>3.1277839587450521E-2</v>
      </c>
      <c r="BR162" s="11">
        <f t="shared" si="311"/>
        <v>1.0855286689302214E-3</v>
      </c>
      <c r="BS162" s="15">
        <f t="shared" si="335"/>
        <v>6.4328211835050183E-4</v>
      </c>
      <c r="BT162" s="11">
        <f t="shared" si="268"/>
        <v>5.4276433446511071E-4</v>
      </c>
      <c r="BU162" s="11">
        <f t="shared" si="269"/>
        <v>-1.0944565389387003E-4</v>
      </c>
      <c r="BV162" s="11">
        <f t="shared" si="270"/>
        <v>2.6920269698923849E-3</v>
      </c>
      <c r="BW162" s="15">
        <f t="shared" si="271"/>
        <v>-2.0739229158578329E-2</v>
      </c>
      <c r="BX162" s="11">
        <f t="shared" si="272"/>
        <v>7.9015240422733113E-2</v>
      </c>
      <c r="CA162" s="7">
        <f t="shared" si="312"/>
        <v>6.75</v>
      </c>
      <c r="CB162" s="9">
        <f t="shared" si="313"/>
        <v>2.8021253580659856E-2</v>
      </c>
      <c r="CC162" s="7">
        <f t="shared" si="314"/>
        <v>9.75</v>
      </c>
      <c r="CD162" s="9">
        <f t="shared" si="315"/>
        <v>3.1277839587450521E-2</v>
      </c>
      <c r="CE162" s="11">
        <f t="shared" si="316"/>
        <v>1.0855286689302214E-3</v>
      </c>
      <c r="CF162" s="15">
        <f t="shared" si="336"/>
        <v>6.4078211835050193E-4</v>
      </c>
      <c r="CG162" s="11">
        <f t="shared" si="273"/>
        <v>5.4276433446511071E-4</v>
      </c>
      <c r="CH162" s="11">
        <f t="shared" si="274"/>
        <v>-1.097234316716478E-4</v>
      </c>
      <c r="CI162" s="11">
        <f t="shared" si="275"/>
        <v>2.6993186365590512E-3</v>
      </c>
      <c r="CJ162" s="15">
        <f t="shared" si="276"/>
        <v>-2.0802197908578332E-2</v>
      </c>
      <c r="CK162" s="11">
        <f t="shared" si="277"/>
        <v>7.9193482610233137E-2</v>
      </c>
      <c r="CN162" s="7">
        <f t="shared" si="317"/>
        <v>6.75</v>
      </c>
      <c r="CO162" s="10">
        <f>$B162+CM155</f>
        <v>2.8031253580659856E-2</v>
      </c>
      <c r="CP162" s="7">
        <f t="shared" si="319"/>
        <v>9.75</v>
      </c>
      <c r="CQ162" s="9">
        <f t="shared" si="320"/>
        <v>3.1277839587450521E-2</v>
      </c>
      <c r="CR162" s="11">
        <f t="shared" si="321"/>
        <v>1.0821953355968882E-3</v>
      </c>
      <c r="CS162" s="15">
        <f t="shared" si="337"/>
        <v>6.4411545168383509E-4</v>
      </c>
      <c r="CT162" s="11">
        <f t="shared" si="278"/>
        <v>5.4109766779844408E-4</v>
      </c>
      <c r="CU162" s="11">
        <f t="shared" si="279"/>
        <v>-1.0879750574572191E-4</v>
      </c>
      <c r="CV162" s="11">
        <f t="shared" si="280"/>
        <v>2.6755686365590517E-3</v>
      </c>
      <c r="CW162" s="15">
        <f t="shared" si="281"/>
        <v>-2.0604802075245E-2</v>
      </c>
      <c r="CX162" s="11">
        <f t="shared" si="282"/>
        <v>7.8668404485233129E-2</v>
      </c>
      <c r="DA162" s="7">
        <f t="shared" si="322"/>
        <v>6.75</v>
      </c>
      <c r="DB162" s="9">
        <f t="shared" si="323"/>
        <v>2.8021253580659856E-2</v>
      </c>
      <c r="DC162" s="7">
        <f t="shared" si="324"/>
        <v>9.75</v>
      </c>
      <c r="DD162" s="10">
        <f t="shared" si="325"/>
        <v>3.1287839587450524E-2</v>
      </c>
      <c r="DE162" s="11">
        <f t="shared" si="326"/>
        <v>1.0888620022635558E-3</v>
      </c>
      <c r="DF162" s="15">
        <f t="shared" si="338"/>
        <v>6.4494878501716901E-4</v>
      </c>
      <c r="DG162" s="11">
        <f t="shared" si="283"/>
        <v>5.4443100113177789E-4</v>
      </c>
      <c r="DH162" s="11">
        <f t="shared" si="284"/>
        <v>-1.0981602426424051E-4</v>
      </c>
      <c r="DI162" s="11">
        <f t="shared" si="285"/>
        <v>2.7011936365590543E-3</v>
      </c>
      <c r="DJ162" s="15">
        <f t="shared" si="286"/>
        <v>-2.081068749191169E-2</v>
      </c>
      <c r="DK162" s="11">
        <f t="shared" si="287"/>
        <v>7.9193834172733207E-2</v>
      </c>
    </row>
    <row r="163" spans="1:115" x14ac:dyDescent="0.25">
      <c r="A163" s="7">
        <f t="shared" si="241"/>
        <v>9.75</v>
      </c>
      <c r="B163" s="9">
        <f t="shared" si="242"/>
        <v>3.1277839587450521E-2</v>
      </c>
      <c r="C163">
        <v>100</v>
      </c>
      <c r="D163" s="9">
        <f>B163</f>
        <v>3.1277839587450521E-2</v>
      </c>
      <c r="E163" s="11">
        <f t="shared" si="290"/>
        <v>0</v>
      </c>
      <c r="F163" s="15">
        <f t="shared" si="327"/>
        <v>5.4276433446511071E-4</v>
      </c>
      <c r="G163" s="11">
        <v>0</v>
      </c>
      <c r="H163" s="11">
        <f t="shared" si="244"/>
        <v>6.6637221563997904E-8</v>
      </c>
      <c r="I163" s="11">
        <f t="shared" si="245"/>
        <v>-1.3977157223048562E-5</v>
      </c>
      <c r="J163" s="15">
        <f t="shared" si="246"/>
        <v>7.9631479768977503E-4</v>
      </c>
      <c r="K163" s="11">
        <f t="shared" si="247"/>
        <v>2.4780710484960729E-2</v>
      </c>
      <c r="N163" s="7">
        <f t="shared" si="291"/>
        <v>9.75</v>
      </c>
      <c r="O163" s="9">
        <f t="shared" si="328"/>
        <v>3.1277839587450521E-2</v>
      </c>
      <c r="P163" s="7">
        <v>100</v>
      </c>
      <c r="Q163" s="9">
        <f>O163</f>
        <v>3.1277839587450521E-2</v>
      </c>
      <c r="R163" s="11">
        <f t="shared" si="294"/>
        <v>0</v>
      </c>
      <c r="S163" s="15">
        <f t="shared" si="329"/>
        <v>5.4276433446511071E-4</v>
      </c>
      <c r="T163" s="11">
        <v>0</v>
      </c>
      <c r="U163" s="11">
        <f t="shared" si="249"/>
        <v>6.6637221563997904E-8</v>
      </c>
      <c r="V163" s="11">
        <f t="shared" si="250"/>
        <v>-1.3977157223048562E-5</v>
      </c>
      <c r="W163" s="15">
        <f t="shared" si="251"/>
        <v>7.9631479768977503E-4</v>
      </c>
      <c r="X163" s="11">
        <f t="shared" si="252"/>
        <v>2.4780710484960729E-2</v>
      </c>
      <c r="AA163" s="7">
        <f t="shared" si="295"/>
        <v>9.75</v>
      </c>
      <c r="AB163" s="9">
        <f t="shared" si="330"/>
        <v>3.1277839587450521E-2</v>
      </c>
      <c r="AC163" s="7">
        <v>100</v>
      </c>
      <c r="AD163" s="9">
        <f>AB163</f>
        <v>3.1277839587450521E-2</v>
      </c>
      <c r="AE163" s="11">
        <f t="shared" si="298"/>
        <v>0</v>
      </c>
      <c r="AF163" s="15">
        <f t="shared" si="331"/>
        <v>5.4276433446511071E-4</v>
      </c>
      <c r="AG163" s="11">
        <v>0</v>
      </c>
      <c r="AH163" s="11">
        <f t="shared" si="254"/>
        <v>6.6637221563997904E-8</v>
      </c>
      <c r="AI163" s="11">
        <f t="shared" si="255"/>
        <v>-1.3977157223048562E-5</v>
      </c>
      <c r="AJ163" s="15">
        <f t="shared" si="256"/>
        <v>7.9631479768977503E-4</v>
      </c>
      <c r="AK163" s="11">
        <f t="shared" si="257"/>
        <v>2.4780710484960729E-2</v>
      </c>
      <c r="AN163" s="7">
        <f t="shared" si="299"/>
        <v>9.75</v>
      </c>
      <c r="AO163" s="9">
        <f t="shared" si="339"/>
        <v>3.1277839587450521E-2</v>
      </c>
      <c r="AP163" s="7">
        <v>100</v>
      </c>
      <c r="AQ163" s="9">
        <f>AO163</f>
        <v>3.1277839587450521E-2</v>
      </c>
      <c r="AR163" s="11">
        <f t="shared" si="302"/>
        <v>0</v>
      </c>
      <c r="AS163" s="15">
        <f t="shared" si="332"/>
        <v>5.4276433446511071E-4</v>
      </c>
      <c r="AT163" s="11">
        <v>0</v>
      </c>
      <c r="AU163" s="11">
        <f t="shared" si="259"/>
        <v>6.6637221563997904E-8</v>
      </c>
      <c r="AV163" s="11">
        <f t="shared" si="260"/>
        <v>-1.3977157223048562E-5</v>
      </c>
      <c r="AW163" s="15">
        <f t="shared" si="261"/>
        <v>7.9631479768977503E-4</v>
      </c>
      <c r="AX163" s="11">
        <f t="shared" si="262"/>
        <v>2.4780710484960729E-2</v>
      </c>
      <c r="BA163" s="7">
        <f t="shared" si="303"/>
        <v>9.75</v>
      </c>
      <c r="BB163" s="9">
        <f t="shared" si="304"/>
        <v>3.1277839587450521E-2</v>
      </c>
      <c r="BC163" s="7">
        <v>100</v>
      </c>
      <c r="BD163" s="9">
        <f>BB163</f>
        <v>3.1277839587450521E-2</v>
      </c>
      <c r="BE163" s="11">
        <f t="shared" si="306"/>
        <v>0</v>
      </c>
      <c r="BF163" s="15">
        <f t="shared" si="334"/>
        <v>5.4276433446511071E-4</v>
      </c>
      <c r="BG163" s="11">
        <v>0</v>
      </c>
      <c r="BH163" s="11">
        <f t="shared" si="264"/>
        <v>6.6637221563997904E-8</v>
      </c>
      <c r="BI163" s="11">
        <f t="shared" si="265"/>
        <v>-1.3977157223048562E-5</v>
      </c>
      <c r="BJ163" s="15">
        <f t="shared" si="266"/>
        <v>7.9631479768977503E-4</v>
      </c>
      <c r="BK163" s="11">
        <f t="shared" si="267"/>
        <v>2.4780710484960729E-2</v>
      </c>
      <c r="BN163" s="7">
        <f t="shared" si="307"/>
        <v>9.75</v>
      </c>
      <c r="BO163" s="9">
        <f t="shared" si="308"/>
        <v>3.1277839587450521E-2</v>
      </c>
      <c r="BP163" s="7">
        <v>100</v>
      </c>
      <c r="BQ163" s="9">
        <f>BO163</f>
        <v>3.1277839587450521E-2</v>
      </c>
      <c r="BR163" s="11">
        <f t="shared" si="311"/>
        <v>0</v>
      </c>
      <c r="BS163" s="15">
        <f t="shared" si="335"/>
        <v>5.4276433446511071E-4</v>
      </c>
      <c r="BT163" s="11">
        <v>0</v>
      </c>
      <c r="BU163" s="11">
        <f t="shared" si="269"/>
        <v>6.6637221563997904E-8</v>
      </c>
      <c r="BV163" s="11">
        <f t="shared" si="270"/>
        <v>-1.3977157223048562E-5</v>
      </c>
      <c r="BW163" s="15">
        <f t="shared" si="271"/>
        <v>7.9631479768977503E-4</v>
      </c>
      <c r="BX163" s="11">
        <f t="shared" si="272"/>
        <v>2.4780710484960729E-2</v>
      </c>
      <c r="CA163" s="7">
        <f t="shared" si="312"/>
        <v>9.75</v>
      </c>
      <c r="CB163" s="9">
        <f t="shared" si="313"/>
        <v>3.1277839587450521E-2</v>
      </c>
      <c r="CC163" s="7">
        <v>100</v>
      </c>
      <c r="CD163" s="9">
        <f>CB163</f>
        <v>3.1277839587450521E-2</v>
      </c>
      <c r="CE163" s="11">
        <f t="shared" si="316"/>
        <v>0</v>
      </c>
      <c r="CF163" s="15">
        <f t="shared" si="336"/>
        <v>5.4276433446511071E-4</v>
      </c>
      <c r="CG163" s="11">
        <v>0</v>
      </c>
      <c r="CH163" s="11">
        <f t="shared" si="274"/>
        <v>6.6637221563997904E-8</v>
      </c>
      <c r="CI163" s="11">
        <f t="shared" si="275"/>
        <v>-1.3977157223048562E-5</v>
      </c>
      <c r="CJ163" s="15">
        <f t="shared" si="276"/>
        <v>7.9631479768977503E-4</v>
      </c>
      <c r="CK163" s="11">
        <f t="shared" si="277"/>
        <v>2.4780710484960729E-2</v>
      </c>
      <c r="CN163" s="7">
        <f t="shared" si="317"/>
        <v>9.75</v>
      </c>
      <c r="CO163" s="9">
        <f t="shared" si="318"/>
        <v>3.1277839587450521E-2</v>
      </c>
      <c r="CP163" s="7">
        <v>100</v>
      </c>
      <c r="CQ163" s="9">
        <f>CO163</f>
        <v>3.1277839587450521E-2</v>
      </c>
      <c r="CR163" s="11">
        <f t="shared" si="321"/>
        <v>0</v>
      </c>
      <c r="CS163" s="15">
        <f t="shared" si="337"/>
        <v>5.4109766779844408E-4</v>
      </c>
      <c r="CT163" s="11">
        <v>0</v>
      </c>
      <c r="CU163" s="11">
        <f t="shared" si="279"/>
        <v>6.6432598620138769E-8</v>
      </c>
      <c r="CV163" s="11">
        <f t="shared" si="280"/>
        <v>-1.3934237560574106E-5</v>
      </c>
      <c r="CW163" s="15">
        <f t="shared" si="281"/>
        <v>7.9386955351065831E-4</v>
      </c>
      <c r="CX163" s="11">
        <f t="shared" si="282"/>
        <v>2.4800661221986989E-2</v>
      </c>
      <c r="DA163" s="7">
        <f t="shared" si="322"/>
        <v>9.75</v>
      </c>
      <c r="DB163" s="10">
        <f>$B163+CZ155</f>
        <v>3.1287839587450524E-2</v>
      </c>
      <c r="DC163" s="7">
        <v>100</v>
      </c>
      <c r="DD163" s="10">
        <f>DB163</f>
        <v>3.1287839587450524E-2</v>
      </c>
      <c r="DE163" s="11">
        <f t="shared" si="326"/>
        <v>0</v>
      </c>
      <c r="DF163" s="15">
        <f t="shared" si="338"/>
        <v>5.4443100113177789E-4</v>
      </c>
      <c r="DG163" s="11">
        <v>0</v>
      </c>
      <c r="DH163" s="11">
        <f t="shared" si="284"/>
        <v>6.6841844507857106E-8</v>
      </c>
      <c r="DI163" s="11">
        <f t="shared" si="285"/>
        <v>-1.4020076885523028E-5</v>
      </c>
      <c r="DJ163" s="15">
        <f t="shared" si="286"/>
        <v>7.987600418688925E-4</v>
      </c>
      <c r="DK163" s="11">
        <f t="shared" si="287"/>
        <v>2.4770759747934454E-2</v>
      </c>
    </row>
    <row r="165" spans="1:115" x14ac:dyDescent="0.25">
      <c r="A165" t="str">
        <f t="array" ref="A165:H165">TRANSPOSE($A$2:$A$9)</f>
        <v>3M Fixing</v>
      </c>
      <c r="B165" t="str">
        <v>1Y Swap</v>
      </c>
      <c r="C165" t="str">
        <v>2Y Swap</v>
      </c>
      <c r="D165" t="str">
        <v>3Y Swap</v>
      </c>
      <c r="E165" t="str">
        <v>4Y Swap</v>
      </c>
      <c r="F165" t="str">
        <v>5Y Swap</v>
      </c>
      <c r="G165" t="str">
        <v>7Y Swap</v>
      </c>
      <c r="H165" t="str">
        <v>10Y Swap</v>
      </c>
      <c r="N165" t="str">
        <f t="array" ref="N165:U165">TRANSPOSE($A$2:$A$9)</f>
        <v>3M Fixing</v>
      </c>
      <c r="O165" t="str">
        <v>1Y Swap</v>
      </c>
      <c r="P165" t="str">
        <v>2Y Swap</v>
      </c>
      <c r="Q165" t="str">
        <v>3Y Swap</v>
      </c>
      <c r="R165" t="str">
        <v>4Y Swap</v>
      </c>
      <c r="S165" t="str">
        <v>5Y Swap</v>
      </c>
      <c r="T165" t="str">
        <v>7Y Swap</v>
      </c>
      <c r="U165" t="str">
        <v>10Y Swap</v>
      </c>
      <c r="AA165" t="str">
        <f t="array" ref="AA165:AH165">TRANSPOSE($A$2:$A$9)</f>
        <v>3M Fixing</v>
      </c>
      <c r="AB165" t="str">
        <v>1Y Swap</v>
      </c>
      <c r="AC165" t="str">
        <v>2Y Swap</v>
      </c>
      <c r="AD165" t="str">
        <v>3Y Swap</v>
      </c>
      <c r="AE165" t="str">
        <v>4Y Swap</v>
      </c>
      <c r="AF165" t="str">
        <v>5Y Swap</v>
      </c>
      <c r="AG165" t="str">
        <v>7Y Swap</v>
      </c>
      <c r="AH165" t="str">
        <v>10Y Swap</v>
      </c>
      <c r="AN165" t="str">
        <f t="array" ref="AN165:AU165">TRANSPOSE($A$2:$A$9)</f>
        <v>3M Fixing</v>
      </c>
      <c r="AO165" t="str">
        <v>1Y Swap</v>
      </c>
      <c r="AP165" t="str">
        <v>2Y Swap</v>
      </c>
      <c r="AQ165" t="str">
        <v>3Y Swap</v>
      </c>
      <c r="AR165" t="str">
        <v>4Y Swap</v>
      </c>
      <c r="AS165" t="str">
        <v>5Y Swap</v>
      </c>
      <c r="AT165" t="str">
        <v>7Y Swap</v>
      </c>
      <c r="AU165" t="str">
        <v>10Y Swap</v>
      </c>
      <c r="BA165" t="str">
        <f t="array" ref="BA165:BH165">TRANSPOSE($A$2:$A$9)</f>
        <v>3M Fixing</v>
      </c>
      <c r="BB165" t="str">
        <v>1Y Swap</v>
      </c>
      <c r="BC165" t="str">
        <v>2Y Swap</v>
      </c>
      <c r="BD165" t="str">
        <v>3Y Swap</v>
      </c>
      <c r="BE165" t="str">
        <v>4Y Swap</v>
      </c>
      <c r="BF165" t="str">
        <v>5Y Swap</v>
      </c>
      <c r="BG165" t="str">
        <v>7Y Swap</v>
      </c>
      <c r="BH165" t="str">
        <v>10Y Swap</v>
      </c>
      <c r="BN165" t="str">
        <f t="array" ref="BN165:BU165">TRANSPOSE($A$2:$A$9)</f>
        <v>3M Fixing</v>
      </c>
      <c r="BO165" t="str">
        <v>1Y Swap</v>
      </c>
      <c r="BP165" t="str">
        <v>2Y Swap</v>
      </c>
      <c r="BQ165" t="str">
        <v>3Y Swap</v>
      </c>
      <c r="BR165" t="str">
        <v>4Y Swap</v>
      </c>
      <c r="BS165" t="str">
        <v>5Y Swap</v>
      </c>
      <c r="BT165" t="str">
        <v>7Y Swap</v>
      </c>
      <c r="BU165" t="str">
        <v>10Y Swap</v>
      </c>
      <c r="CA165" t="str">
        <f t="array" ref="CA165:CH165">TRANSPOSE($A$2:$A$9)</f>
        <v>3M Fixing</v>
      </c>
      <c r="CB165" t="str">
        <v>1Y Swap</v>
      </c>
      <c r="CC165" t="str">
        <v>2Y Swap</v>
      </c>
      <c r="CD165" t="str">
        <v>3Y Swap</v>
      </c>
      <c r="CE165" t="str">
        <v>4Y Swap</v>
      </c>
      <c r="CF165" t="str">
        <v>5Y Swap</v>
      </c>
      <c r="CG165" t="str">
        <v>7Y Swap</v>
      </c>
      <c r="CH165" t="str">
        <v>10Y Swap</v>
      </c>
      <c r="CN165" t="str">
        <f t="array" ref="CN165:CU165">TRANSPOSE($A$2:$A$9)</f>
        <v>3M Fixing</v>
      </c>
      <c r="CO165" t="str">
        <v>1Y Swap</v>
      </c>
      <c r="CP165" t="str">
        <v>2Y Swap</v>
      </c>
      <c r="CQ165" t="str">
        <v>3Y Swap</v>
      </c>
      <c r="CR165" t="str">
        <v>4Y Swap</v>
      </c>
      <c r="CS165" t="str">
        <v>5Y Swap</v>
      </c>
      <c r="CT165" t="str">
        <v>7Y Swap</v>
      </c>
      <c r="CU165" t="str">
        <v>10Y Swap</v>
      </c>
      <c r="DA165" t="str">
        <f t="array" ref="DA165:DH165">TRANSPOSE($A$2:$A$9)</f>
        <v>3M Fixing</v>
      </c>
      <c r="DB165" t="str">
        <v>1Y Swap</v>
      </c>
      <c r="DC165" t="str">
        <v>2Y Swap</v>
      </c>
      <c r="DD165" t="str">
        <v>3Y Swap</v>
      </c>
      <c r="DE165" t="str">
        <v>4Y Swap</v>
      </c>
      <c r="DF165" t="str">
        <v>5Y Swap</v>
      </c>
      <c r="DG165" t="str">
        <v>7Y Swap</v>
      </c>
      <c r="DH165" t="str">
        <v>10Y Swap</v>
      </c>
    </row>
    <row r="166" spans="1:115" x14ac:dyDescent="0.25">
      <c r="A166" s="9">
        <f>G169</f>
        <v>2.53E-2</v>
      </c>
      <c r="B166" s="9">
        <f>SUM(I170:I173)/SUM(J170:J173)*$F$6</f>
        <v>2.3200000000022154E-2</v>
      </c>
      <c r="C166" s="9">
        <f>SUM(I170:I177)/SUM(J170:J177)*$F$6</f>
        <v>2.2900000000027756E-2</v>
      </c>
      <c r="D166" s="9">
        <f>SUM(I170:I181)/SUM(J170:J181)*$F$6</f>
        <v>2.3600000000029115E-2</v>
      </c>
      <c r="E166" s="9">
        <f>SUM(I170:I185)/SUM(J170:J185)*$F$6</f>
        <v>2.4200000000019799E-2</v>
      </c>
      <c r="F166" s="9">
        <f>SUM(I170:I189)/SUM(J170:J189)*$F$6</f>
        <v>2.4800000000000318E-2</v>
      </c>
      <c r="G166" s="9">
        <f>SUM(I170:I197)/SUM(J170:J197)*$F$6</f>
        <v>2.5699999999970996E-2</v>
      </c>
      <c r="H166" s="9">
        <f>SUM(I170:I209)/SUM(J170:J209)*$F$6</f>
        <v>2.6899999999880679E-2</v>
      </c>
      <c r="N166" s="3">
        <f>T169</f>
        <v>2.5309999999999999E-2</v>
      </c>
      <c r="O166" s="9">
        <f>SUM(V170:V173)/SUM(W170:W173)*$F$6</f>
        <v>2.3205084967978268E-2</v>
      </c>
      <c r="P166" s="9">
        <f>SUM(V170:V177)/SUM(W170:W177)*$F$6</f>
        <v>2.2902570884627549E-2</v>
      </c>
      <c r="Q166" s="9">
        <f>SUM(V170:V181)/SUM(W170:W181)*$F$6</f>
        <v>2.3601734351724867E-2</v>
      </c>
      <c r="R166" s="9">
        <f>SUM(V170:V185)/SUM(W170:W185)*$F$6</f>
        <v>2.420131678273349E-2</v>
      </c>
      <c r="S166" s="9">
        <f>SUM(V170:V189)/SUM(W170:W189)*$F$6</f>
        <v>2.4801066780725967E-2</v>
      </c>
      <c r="T166" s="9">
        <f>SUM(V170:V197)/SUM(W170:W197)*$F$6</f>
        <v>2.5700781949047905E-2</v>
      </c>
      <c r="U166" s="9">
        <f>SUM(V170:V209)/SUM(W170:W209)*$F$6</f>
        <v>2.6900569699571018E-2</v>
      </c>
      <c r="AA166" s="3">
        <f>AG169</f>
        <v>2.53E-2</v>
      </c>
      <c r="AB166" s="9">
        <f>SUM(AI170:AI173)/SUM(AJ170:AJ173)*$F$6</f>
        <v>2.3205088548376468E-2</v>
      </c>
      <c r="AC166" s="9">
        <f>SUM(AI170:AI177)/SUM(AJ170:AJ177)*$F$6</f>
        <v>2.2904655513563171E-2</v>
      </c>
      <c r="AD166" s="9">
        <f>SUM(AI170:AI181)/SUM(AJ170:AJ181)*$F$6</f>
        <v>2.360301037667957E-2</v>
      </c>
      <c r="AE166" s="9">
        <f>SUM(AI170:AI185)/SUM(AJ170:AJ185)*$F$6</f>
        <v>2.4202285067216275E-2</v>
      </c>
      <c r="AF166" s="9">
        <f>SUM(AI170:AI189)/SUM(AJ170:AJ189)*$F$6</f>
        <v>2.4801850807031536E-2</v>
      </c>
      <c r="AG166" s="9">
        <f>SUM(AI170:AI197)/SUM(AJ170:AJ197)*$F$6</f>
        <v>2.5701356176004952E-2</v>
      </c>
      <c r="AH166" s="9">
        <f>SUM(AI170:AI209)/SUM(AJ170:AJ209)*$F$6</f>
        <v>2.6900987610161298E-2</v>
      </c>
      <c r="AN166" s="3">
        <f>AT169</f>
        <v>2.53E-2</v>
      </c>
      <c r="AO166" s="9">
        <f>SUM(AV170:AV173)/SUM(AW170:AW173)*$F$6</f>
        <v>2.3200000000022154E-2</v>
      </c>
      <c r="AP166" s="9">
        <f>SUM(AV170:AV177)/SUM(AW170:AW177)*$F$6</f>
        <v>2.2903142842756772E-2</v>
      </c>
      <c r="AQ166" s="9">
        <f>SUM(AV170:AV181)/SUM(AW170:AW181)*$F$6</f>
        <v>2.3603489427898049E-2</v>
      </c>
      <c r="AR166" s="9">
        <f>SUM(AV170:AV185)/SUM(AW170:AW185)*$F$6</f>
        <v>2.4202551363686042E-2</v>
      </c>
      <c r="AS166" s="9">
        <f>SUM(AV170:AV189)/SUM(AW170:AW189)*$F$6</f>
        <v>2.4802065304108098E-2</v>
      </c>
      <c r="AT166" s="9">
        <f>SUM(AV170:AV197)/SUM(AW170:AW197)*$F$6</f>
        <v>2.570151203755873E-2</v>
      </c>
      <c r="AU166" s="9">
        <f>SUM(AV170:AV209)/SUM(AW170:AW209)*$F$6</f>
        <v>2.690109983929297E-2</v>
      </c>
      <c r="BA166" s="3">
        <f>BG169</f>
        <v>2.53E-2</v>
      </c>
      <c r="BB166" s="9">
        <f>SUM(BI170:BI173)/SUM(BJ170:BJ173)*$F$6</f>
        <v>2.3200000000022154E-2</v>
      </c>
      <c r="BC166" s="9">
        <f>SUM(BI170:BI177)/SUM(BJ170:BJ177)*$F$6</f>
        <v>2.2899803538890037E-2</v>
      </c>
      <c r="BD166" s="9">
        <f>SUM(BI170:BI181)/SUM(BJ170:BJ181)*$F$6</f>
        <v>2.3602065582267882E-2</v>
      </c>
      <c r="BE166" s="9">
        <f>SUM(BI170:BI185)/SUM(BJ170:BJ185)*$F$6</f>
        <v>2.4202580819113403E-2</v>
      </c>
      <c r="BF166" s="9">
        <f>SUM(BI170:BI189)/SUM(BJ170:BJ189)*$F$6</f>
        <v>2.4802012222566096E-2</v>
      </c>
      <c r="BG166" s="9">
        <f>SUM(BI170:BI197)/SUM(BJ170:BJ197)*$F$6</f>
        <v>2.5701471743969365E-2</v>
      </c>
      <c r="BH166" s="9">
        <f>SUM(BI170:BI209)/SUM(BJ170:BJ209)*$F$6</f>
        <v>2.6901069137205628E-2</v>
      </c>
      <c r="BN166" s="3">
        <f>BT169</f>
        <v>2.53E-2</v>
      </c>
      <c r="BO166" s="9">
        <f>SUM(BV170:BV173)/SUM(BW170:BW173)*$F$6</f>
        <v>2.3200000000022154E-2</v>
      </c>
      <c r="BP166" s="9">
        <f>SUM(BV170:BV177)/SUM(BW170:BW177)*$F$6</f>
        <v>2.2900000000027756E-2</v>
      </c>
      <c r="BQ166" s="9">
        <f>SUM(BV170:BV181)/SUM(BW170:BW181)*$F$6</f>
        <v>2.3599870696541868E-2</v>
      </c>
      <c r="BR166" s="9">
        <f>SUM(BV170:BV185)/SUM(BW170:BW185)*$F$6</f>
        <v>2.4201528910189861E-2</v>
      </c>
      <c r="BS166" s="9">
        <f>SUM(BV170:BV189)/SUM(BW170:BW189)*$F$6</f>
        <v>2.4802036570097913E-2</v>
      </c>
      <c r="BT166" s="9">
        <f>SUM(BV170:BV197)/SUM(BW170:BW197)*$F$6</f>
        <v>2.5701263654530092E-2</v>
      </c>
      <c r="BU166" s="9">
        <f>SUM(BV170:BV209)/SUM(BW170:BW209)*$F$6</f>
        <v>2.6900917108512192E-2</v>
      </c>
      <c r="CA166" s="3">
        <f>CG169</f>
        <v>2.53E-2</v>
      </c>
      <c r="CB166" s="9">
        <f>SUM(CI170:CI173)/SUM(CJ170:CJ173)*$F$6</f>
        <v>2.3200000000022154E-2</v>
      </c>
      <c r="CC166" s="9">
        <f>SUM(CI170:CI177)/SUM(CJ170:CJ177)*$F$6</f>
        <v>2.2900000000027756E-2</v>
      </c>
      <c r="CD166" s="9">
        <f>SUM(CI170:CI181)/SUM(CJ170:CJ181)*$F$6</f>
        <v>2.3600000000029115E-2</v>
      </c>
      <c r="CE166" s="9">
        <f>SUM(CI170:CI185)/SUM(CJ170:CJ185)*$F$6</f>
        <v>2.4199904292828901E-2</v>
      </c>
      <c r="CF166" s="9">
        <f>SUM(CI170:CI189)/SUM(CJ170:CJ189)*$F$6</f>
        <v>2.4801168150966786E-2</v>
      </c>
      <c r="CG166" s="9">
        <f>SUM(CI170:CI197)/SUM(CJ170:CJ197)*$F$6</f>
        <v>2.5702275450954517E-2</v>
      </c>
      <c r="CH166" s="9">
        <f>SUM(CI170:CI209)/SUM(CJ170:CJ209)*$F$6</f>
        <v>2.6901474900464156E-2</v>
      </c>
      <c r="CN166" s="3">
        <f>CT169</f>
        <v>2.53E-2</v>
      </c>
      <c r="CO166" s="9">
        <f>SUM(CV170:CV173)/SUM(CW170:CW173)*$F$6</f>
        <v>2.3200000000022154E-2</v>
      </c>
      <c r="CP166" s="9">
        <f>SUM(CV170:CV177)/SUM(CW170:CW177)*$F$6</f>
        <v>2.2900000000027756E-2</v>
      </c>
      <c r="CQ166" s="9">
        <f>SUM(CV170:CV181)/SUM(CW170:CW181)*$F$6</f>
        <v>2.3600000000029115E-2</v>
      </c>
      <c r="CR166" s="9">
        <f>SUM(CV170:CV185)/SUM(CW170:CW185)*$F$6</f>
        <v>2.4200000000019799E-2</v>
      </c>
      <c r="CS166" s="9">
        <f>SUM(CV170:CV189)/SUM(CW170:CW189)*$F$6</f>
        <v>2.4799962253778996E-2</v>
      </c>
      <c r="CT166" s="9">
        <f>SUM(CV170:CV197)/SUM(CW170:CW197)*$F$6</f>
        <v>2.5701564866461933E-2</v>
      </c>
      <c r="CU166" s="9">
        <f>SUM(CV170:CV209)/SUM(CW170:CW209)*$F$6</f>
        <v>2.6902586106182926E-2</v>
      </c>
      <c r="DA166" s="3">
        <f>DG169</f>
        <v>2.53E-2</v>
      </c>
      <c r="DB166" s="9">
        <f>SUM(DI170:DI173)/SUM(DJ170:DJ173)*$F$6</f>
        <v>2.3200000000022154E-2</v>
      </c>
      <c r="DC166" s="9">
        <f>SUM(DI170:DI177)/SUM(DJ170:DJ177)*$F$6</f>
        <v>2.2900000000027756E-2</v>
      </c>
      <c r="DD166" s="9">
        <f>SUM(DI170:DI181)/SUM(DJ170:DJ181)*$F$6</f>
        <v>2.3600000000029115E-2</v>
      </c>
      <c r="DE166" s="9">
        <f>SUM(DI170:DI185)/SUM(DJ170:DJ185)*$F$6</f>
        <v>2.4200000000019799E-2</v>
      </c>
      <c r="DF166" s="9">
        <f>SUM(DI170:DI189)/SUM(DJ170:DJ189)*$F$6</f>
        <v>2.4800000000000318E-2</v>
      </c>
      <c r="DG166" s="9">
        <f>SUM(DI170:DI197)/SUM(DJ170:DJ197)*$F$6</f>
        <v>2.5699925880520225E-2</v>
      </c>
      <c r="DH166" s="9">
        <f>SUM(DI170:DI209)/SUM(DJ170:DJ209)*$F$6</f>
        <v>2.6901420924436321E-2</v>
      </c>
    </row>
    <row r="168" spans="1:115" x14ac:dyDescent="0.25">
      <c r="A168" t="s">
        <v>9</v>
      </c>
      <c r="B168" t="s">
        <v>18</v>
      </c>
      <c r="C168" t="s">
        <v>33</v>
      </c>
      <c r="D168" t="s">
        <v>34</v>
      </c>
      <c r="E168" t="s">
        <v>35</v>
      </c>
      <c r="F168" t="s">
        <v>36</v>
      </c>
      <c r="G168" t="s">
        <v>10</v>
      </c>
      <c r="H168" t="s">
        <v>19</v>
      </c>
      <c r="I168" t="s">
        <v>20</v>
      </c>
      <c r="J168" t="s">
        <v>21</v>
      </c>
      <c r="N168" t="s">
        <v>9</v>
      </c>
      <c r="O168" t="s">
        <v>18</v>
      </c>
      <c r="P168" t="s">
        <v>33</v>
      </c>
      <c r="Q168" t="s">
        <v>34</v>
      </c>
      <c r="R168" t="s">
        <v>35</v>
      </c>
      <c r="S168" t="s">
        <v>36</v>
      </c>
      <c r="T168" t="s">
        <v>10</v>
      </c>
      <c r="U168" t="s">
        <v>19</v>
      </c>
      <c r="V168" t="s">
        <v>20</v>
      </c>
      <c r="W168" t="s">
        <v>21</v>
      </c>
      <c r="AA168" t="s">
        <v>9</v>
      </c>
      <c r="AB168" t="s">
        <v>18</v>
      </c>
      <c r="AC168" t="s">
        <v>33</v>
      </c>
      <c r="AD168" t="s">
        <v>34</v>
      </c>
      <c r="AE168" t="s">
        <v>35</v>
      </c>
      <c r="AF168" t="s">
        <v>36</v>
      </c>
      <c r="AG168" t="s">
        <v>10</v>
      </c>
      <c r="AH168" t="s">
        <v>19</v>
      </c>
      <c r="AI168" t="s">
        <v>20</v>
      </c>
      <c r="AJ168" t="s">
        <v>21</v>
      </c>
      <c r="AN168" t="s">
        <v>9</v>
      </c>
      <c r="AO168" t="s">
        <v>18</v>
      </c>
      <c r="AP168" t="s">
        <v>33</v>
      </c>
      <c r="AQ168" t="s">
        <v>34</v>
      </c>
      <c r="AR168" t="s">
        <v>35</v>
      </c>
      <c r="AS168" t="s">
        <v>36</v>
      </c>
      <c r="AT168" t="s">
        <v>10</v>
      </c>
      <c r="AU168" t="s">
        <v>19</v>
      </c>
      <c r="AV168" t="s">
        <v>20</v>
      </c>
      <c r="AW168" t="s">
        <v>21</v>
      </c>
      <c r="BA168" t="s">
        <v>9</v>
      </c>
      <c r="BB168" t="s">
        <v>18</v>
      </c>
      <c r="BC168" t="s">
        <v>33</v>
      </c>
      <c r="BD168" t="s">
        <v>34</v>
      </c>
      <c r="BE168" t="s">
        <v>35</v>
      </c>
      <c r="BF168" t="s">
        <v>36</v>
      </c>
      <c r="BG168" t="s">
        <v>10</v>
      </c>
      <c r="BH168" t="s">
        <v>19</v>
      </c>
      <c r="BI168" t="s">
        <v>20</v>
      </c>
      <c r="BJ168" t="s">
        <v>21</v>
      </c>
      <c r="BN168" t="s">
        <v>9</v>
      </c>
      <c r="BO168" t="s">
        <v>18</v>
      </c>
      <c r="BP168" t="s">
        <v>33</v>
      </c>
      <c r="BQ168" t="s">
        <v>34</v>
      </c>
      <c r="BR168" t="s">
        <v>35</v>
      </c>
      <c r="BS168" t="s">
        <v>36</v>
      </c>
      <c r="BT168" t="s">
        <v>10</v>
      </c>
      <c r="BU168" t="s">
        <v>19</v>
      </c>
      <c r="BV168" t="s">
        <v>20</v>
      </c>
      <c r="BW168" t="s">
        <v>21</v>
      </c>
      <c r="CA168" t="s">
        <v>9</v>
      </c>
      <c r="CB168" t="s">
        <v>18</v>
      </c>
      <c r="CC168" t="s">
        <v>33</v>
      </c>
      <c r="CD168" t="s">
        <v>34</v>
      </c>
      <c r="CE168" t="s">
        <v>35</v>
      </c>
      <c r="CF168" t="s">
        <v>36</v>
      </c>
      <c r="CG168" t="s">
        <v>10</v>
      </c>
      <c r="CH168" t="s">
        <v>19</v>
      </c>
      <c r="CI168" t="s">
        <v>20</v>
      </c>
      <c r="CJ168" t="s">
        <v>21</v>
      </c>
      <c r="CN168" t="s">
        <v>9</v>
      </c>
      <c r="CO168" t="s">
        <v>18</v>
      </c>
      <c r="CP168" t="s">
        <v>33</v>
      </c>
      <c r="CQ168" t="s">
        <v>34</v>
      </c>
      <c r="CR168" t="s">
        <v>35</v>
      </c>
      <c r="CS168" t="s">
        <v>36</v>
      </c>
      <c r="CT168" t="s">
        <v>10</v>
      </c>
      <c r="CU168" t="s">
        <v>19</v>
      </c>
      <c r="CV168" t="s">
        <v>20</v>
      </c>
      <c r="CW168" t="s">
        <v>21</v>
      </c>
      <c r="DA168" t="s">
        <v>9</v>
      </c>
      <c r="DB168" t="s">
        <v>18</v>
      </c>
      <c r="DC168" t="s">
        <v>33</v>
      </c>
      <c r="DD168" t="s">
        <v>34</v>
      </c>
      <c r="DE168" t="s">
        <v>35</v>
      </c>
      <c r="DF168" t="s">
        <v>36</v>
      </c>
      <c r="DG168" t="s">
        <v>10</v>
      </c>
      <c r="DH168" t="s">
        <v>19</v>
      </c>
      <c r="DI168" t="s">
        <v>20</v>
      </c>
      <c r="DJ168" t="s">
        <v>21</v>
      </c>
    </row>
    <row r="169" spans="1:115" x14ac:dyDescent="0.25">
      <c r="A169" s="7">
        <v>0</v>
      </c>
      <c r="B169" s="7">
        <f t="array" ref="B169:B209">INDEX(A156:A164, MATCH(A169:A209, A156:A164, 1))</f>
        <v>0</v>
      </c>
      <c r="C169" s="11">
        <f t="array" ref="C169:C209">VLOOKUP(B169:B209, A156:K163, COLUMN(H156)-COLUMN(A156) + 1, FALSE)</f>
        <v>2.1795524776819702E-2</v>
      </c>
      <c r="D169" s="11">
        <f t="array" ref="D169:D209">VLOOKUP(B169:B209, A156:K163, COLUMN(I156)-COLUMN(A156) + 1, FALSE)</f>
        <v>-2.4519965373922165E-2</v>
      </c>
      <c r="E169" s="11">
        <f t="array" ref="E169:E209">VLOOKUP(B169:B209, A156:K163, COLUMN(J156)-COLUMN(A156) + 1, FALSE)</f>
        <v>0</v>
      </c>
      <c r="F169" s="1">
        <f t="array" ref="F169:F209">VLOOKUP(B169:B209, A156:K163, COLUMN(K156)-COLUMN(A156) + 1, FALSE)</f>
        <v>2.53E-2</v>
      </c>
      <c r="G169" s="3">
        <f t="shared" ref="G169:G208" si="340">C169*A169^3 + D169*A169^2 + E169*A169 + F169</f>
        <v>2.53E-2</v>
      </c>
      <c r="H169" s="11">
        <v>1</v>
      </c>
      <c r="N169" s="7">
        <v>0</v>
      </c>
      <c r="O169" s="7">
        <f t="array" ref="O169:O209">INDEX(N156:N164, MATCH(N169:N209, N156:N164, 1))</f>
        <v>0</v>
      </c>
      <c r="P169" s="11">
        <f t="array" ref="P169:P209">VLOOKUP(O169:O209, N156:X163, COLUMN(U156)-COLUMN(N156) + 1, FALSE)</f>
        <v>2.1842932184227108E-2</v>
      </c>
      <c r="Q169" s="11">
        <f t="array" ref="Q169:Q209">VLOOKUP(O169:O209, N156:X163, COLUMN(V156)-COLUMN(N156) + 1, FALSE)</f>
        <v>-2.4573298707255498E-2</v>
      </c>
      <c r="R169" s="11">
        <f t="array" ref="R169:R209">VLOOKUP(O169:O209, N156:X163, COLUMN(W156)-COLUMN(N156) + 1, FALSE)</f>
        <v>0</v>
      </c>
      <c r="S169" s="1">
        <f t="array" ref="S169:S209">VLOOKUP(O169:O209, N156:X163, COLUMN(X156)-COLUMN(N156) + 1, FALSE)</f>
        <v>2.5309999999999999E-2</v>
      </c>
      <c r="T169" s="3">
        <f t="shared" ref="T169:T208" si="341">P169*N169^3 + Q169*N169^2 + R169*N169 + S169</f>
        <v>2.5309999999999999E-2</v>
      </c>
      <c r="U169" s="11">
        <v>1</v>
      </c>
      <c r="AA169" s="7">
        <v>0</v>
      </c>
      <c r="AB169" s="7">
        <f t="array" ref="AB169:AB209">INDEX(AA156:AA164, MATCH(AA169:AA209, AA156:AA164, 1))</f>
        <v>0</v>
      </c>
      <c r="AC169" s="11">
        <f t="array" ref="AC169:AC209">VLOOKUP(AB169:AB209, AA156:AK163, COLUMN(AH156)-COLUMN(AA156) + 1, FALSE)</f>
        <v>2.17481173694123E-2</v>
      </c>
      <c r="AD169" s="11">
        <f t="array" ref="AD169:AD209">VLOOKUP(AB169:AB209, AA156:AK163, COLUMN(AI156)-COLUMN(AA156) + 1, FALSE)</f>
        <v>-2.4466632040588836E-2</v>
      </c>
      <c r="AE169" s="11">
        <f t="array" ref="AE169:AE209">VLOOKUP(AB169:AB209, AA156:AK163, COLUMN(AJ156)-COLUMN(AA156) + 1, FALSE)</f>
        <v>0</v>
      </c>
      <c r="AF169" s="1">
        <f t="array" ref="AF169:AF209">VLOOKUP(AB169:AB209, AA156:AK163, COLUMN(AK156)-COLUMN(AA156) + 1, FALSE)</f>
        <v>2.53E-2</v>
      </c>
      <c r="AG169" s="3">
        <f t="shared" ref="AG169:AG208" si="342">AC169*AA169^3 + AD169*AA169^2 + AE169*AA169 + AF169</f>
        <v>2.53E-2</v>
      </c>
      <c r="AH169" s="11">
        <v>1</v>
      </c>
      <c r="AN169" s="7">
        <v>0</v>
      </c>
      <c r="AO169" s="7">
        <f t="array" ref="AO169:AO209">INDEX(AN156:AN164, MATCH(AN169:AN209, AN156:AN164, 1))</f>
        <v>0</v>
      </c>
      <c r="AP169" s="11">
        <f t="array" ref="AP169:AP209">VLOOKUP(AO169:AO209, AN156:AX163, COLUMN(AU156)-COLUMN(AN156) + 1, FALSE)</f>
        <v>2.1795524776819702E-2</v>
      </c>
      <c r="AQ169" s="11">
        <f t="array" ref="AQ169:AQ209">VLOOKUP(AO169:AO209, AN156:AX163, COLUMN(AV156)-COLUMN(AN156) + 1, FALSE)</f>
        <v>-2.4519965373922165E-2</v>
      </c>
      <c r="AR169" s="11">
        <f t="array" ref="AR169:AR209">VLOOKUP(AO169:AO209, AN156:AX163, COLUMN(AW156)-COLUMN(AN156) + 1, FALSE)</f>
        <v>0</v>
      </c>
      <c r="AS169" s="1">
        <f t="array" ref="AS169:AS209">VLOOKUP(AO169:AO209, AN156:AX163, COLUMN(AX156)-COLUMN(AN156) + 1, FALSE)</f>
        <v>2.53E-2</v>
      </c>
      <c r="AT169" s="3">
        <f t="shared" ref="AT169:AT208" si="343">AP169*AN169^3 + AQ169*AN169^2 + AR169*AN169 + AS169</f>
        <v>2.53E-2</v>
      </c>
      <c r="AU169" s="11">
        <v>1</v>
      </c>
      <c r="BA169" s="7">
        <v>0</v>
      </c>
      <c r="BB169" s="7">
        <f t="array" ref="BB169:BB209">INDEX(BA156:BA164, MATCH(BA169:BA209, BA156:BA164, 1))</f>
        <v>0</v>
      </c>
      <c r="BC169" s="11">
        <f t="array" ref="BC169:BC209">VLOOKUP(BB169:BB209, BA156:BK163, COLUMN(BH156)-COLUMN(BA156) + 1, FALSE)</f>
        <v>2.1795524776819702E-2</v>
      </c>
      <c r="BD169" s="11">
        <f t="array" ref="BD169:BD209">VLOOKUP(BB169:BB209, BA156:BK163, COLUMN(BI156)-COLUMN(BA156) + 1, FALSE)</f>
        <v>-2.4519965373922165E-2</v>
      </c>
      <c r="BE169" s="11">
        <f t="array" ref="BE169:BE209">VLOOKUP(BB169:BB209, BA156:BK163, COLUMN(BJ156)-COLUMN(BA156) + 1, FALSE)</f>
        <v>0</v>
      </c>
      <c r="BF169" s="1">
        <f t="array" ref="BF169:BF209">VLOOKUP(BB169:BB209, BA156:BK163, COLUMN(BK156)-COLUMN(BA156) + 1, FALSE)</f>
        <v>2.53E-2</v>
      </c>
      <c r="BG169" s="3">
        <f t="shared" ref="BG169:BG208" si="344">BC169*BA169^3 + BD169*BA169^2 + BE169*BA169 + BF169</f>
        <v>2.53E-2</v>
      </c>
      <c r="BH169" s="11">
        <v>1</v>
      </c>
      <c r="BN169" s="7">
        <v>0</v>
      </c>
      <c r="BO169" s="7">
        <f t="array" ref="BO169:BO209">INDEX(BN156:BN164, MATCH(BN169:BN209, BN156:BN164, 1))</f>
        <v>0</v>
      </c>
      <c r="BP169" s="11">
        <f t="array" ref="BP169:BP209">VLOOKUP(BO169:BO209, BN156:BX163, COLUMN(BU156)-COLUMN(BN156) + 1, FALSE)</f>
        <v>2.1795524776819702E-2</v>
      </c>
      <c r="BQ169" s="11">
        <f t="array" ref="BQ169:BQ209">VLOOKUP(BO169:BO209, BN156:BX163, COLUMN(BV156)-COLUMN(BN156) + 1, FALSE)</f>
        <v>-2.4519965373922165E-2</v>
      </c>
      <c r="BR169" s="11">
        <f t="array" ref="BR169:BR209">VLOOKUP(BO169:BO209, BN156:BX163, COLUMN(BW156)-COLUMN(BN156) + 1, FALSE)</f>
        <v>0</v>
      </c>
      <c r="BS169" s="1">
        <f t="array" ref="BS169:BS209">VLOOKUP(BO169:BO209, BN156:BX163, COLUMN(BX156)-COLUMN(BN156) + 1, FALSE)</f>
        <v>2.53E-2</v>
      </c>
      <c r="BT169" s="3">
        <f t="shared" ref="BT169:BT208" si="345">BP169*BN169^3 + BQ169*BN169^2 + BR169*BN169 + BS169</f>
        <v>2.53E-2</v>
      </c>
      <c r="BU169" s="11">
        <v>1</v>
      </c>
      <c r="CA169" s="7">
        <v>0</v>
      </c>
      <c r="CB169" s="7">
        <f t="array" ref="CB169:CB209">INDEX(CA156:CA164, MATCH(CA169:CA209, CA156:CA164, 1))</f>
        <v>0</v>
      </c>
      <c r="CC169" s="11">
        <f t="array" ref="CC169:CC209">VLOOKUP(CB169:CB209, CA156:CK163, COLUMN(CH156)-COLUMN(CA156) + 1, FALSE)</f>
        <v>2.1795524776819702E-2</v>
      </c>
      <c r="CD169" s="11">
        <f t="array" ref="CD169:CD209">VLOOKUP(CB169:CB209, CA156:CK163, COLUMN(CI156)-COLUMN(CA156) + 1, FALSE)</f>
        <v>-2.4519965373922165E-2</v>
      </c>
      <c r="CE169" s="11">
        <f t="array" ref="CE169:CE209">VLOOKUP(CB169:CB209, CA156:CK163, COLUMN(CJ156)-COLUMN(CA156) + 1, FALSE)</f>
        <v>0</v>
      </c>
      <c r="CF169" s="1">
        <f t="array" ref="CF169:CF209">VLOOKUP(CB169:CB209, CA156:CK163, COLUMN(CK156)-COLUMN(CA156) + 1, FALSE)</f>
        <v>2.53E-2</v>
      </c>
      <c r="CG169" s="3">
        <f t="shared" ref="CG169:CG208" si="346">CC169*CA169^3 + CD169*CA169^2 + CE169*CA169 + CF169</f>
        <v>2.53E-2</v>
      </c>
      <c r="CH169" s="11">
        <v>1</v>
      </c>
      <c r="CN169" s="7">
        <v>0</v>
      </c>
      <c r="CO169" s="7">
        <f t="array" ref="CO169:CO209">INDEX(CN156:CN164, MATCH(CN169:CN209, CN156:CN164, 1))</f>
        <v>0</v>
      </c>
      <c r="CP169" s="11">
        <f t="array" ref="CP169:CP209">VLOOKUP(CO169:CO209, CN156:CX163, COLUMN(CU156)-COLUMN(CN156) + 1, FALSE)</f>
        <v>2.1795524776819702E-2</v>
      </c>
      <c r="CQ169" s="11">
        <f t="array" ref="CQ169:CQ209">VLOOKUP(CO169:CO209, CN156:CX163, COLUMN(CV156)-COLUMN(CN156) + 1, FALSE)</f>
        <v>-2.4519965373922165E-2</v>
      </c>
      <c r="CR169" s="11">
        <f t="array" ref="CR169:CR209">VLOOKUP(CO169:CO209, CN156:CX163, COLUMN(CW156)-COLUMN(CN156) + 1, FALSE)</f>
        <v>0</v>
      </c>
      <c r="CS169" s="1">
        <f t="array" ref="CS169:CS209">VLOOKUP(CO169:CO209, CN156:CX163, COLUMN(CX156)-COLUMN(CN156) + 1, FALSE)</f>
        <v>2.53E-2</v>
      </c>
      <c r="CT169" s="3">
        <f t="shared" ref="CT169:CT208" si="347">CP169*CN169^3 + CQ169*CN169^2 + CR169*CN169 + CS169</f>
        <v>2.53E-2</v>
      </c>
      <c r="CU169" s="11">
        <v>1</v>
      </c>
      <c r="DA169" s="7">
        <v>0</v>
      </c>
      <c r="DB169" s="7">
        <f t="array" ref="DB169:DB209">INDEX(DA156:DA164, MATCH(DA169:DA209, DA156:DA164, 1))</f>
        <v>0</v>
      </c>
      <c r="DC169" s="11">
        <f t="array" ref="DC169:DC209">VLOOKUP(DB169:DB209, DA156:DK163, COLUMN(DH156)-COLUMN(DA156) + 1, FALSE)</f>
        <v>2.1795524776819702E-2</v>
      </c>
      <c r="DD169" s="11">
        <f t="array" ref="DD169:DD209">VLOOKUP(DB169:DB209, DA156:DK163, COLUMN(DI156)-COLUMN(DA156) + 1, FALSE)</f>
        <v>-2.4519965373922165E-2</v>
      </c>
      <c r="DE169" s="11">
        <f t="array" ref="DE169:DE209">VLOOKUP(DB169:DB209, DA156:DK163, COLUMN(DJ156)-COLUMN(DA156) + 1, FALSE)</f>
        <v>0</v>
      </c>
      <c r="DF169" s="1">
        <f t="array" ref="DF169:DF209">VLOOKUP(DB169:DB209, DA156:DK163, COLUMN(DK156)-COLUMN(DA156) + 1, FALSE)</f>
        <v>2.53E-2</v>
      </c>
      <c r="DG169" s="3">
        <f t="shared" ref="DG169:DG208" si="348">DC169*DA169^3 + DD169*DA169^2 + DE169*DA169 + DF169</f>
        <v>2.53E-2</v>
      </c>
      <c r="DH169" s="11">
        <v>1</v>
      </c>
    </row>
    <row r="170" spans="1:115" x14ac:dyDescent="0.25">
      <c r="A170" s="7">
        <v>0.25</v>
      </c>
      <c r="B170" s="7">
        <v>0</v>
      </c>
      <c r="C170" s="11">
        <v>2.1795524776819702E-2</v>
      </c>
      <c r="D170" s="11">
        <v>-2.4519965373922165E-2</v>
      </c>
      <c r="E170" s="11">
        <v>0</v>
      </c>
      <c r="F170" s="1">
        <v>2.53E-2</v>
      </c>
      <c r="G170" s="3">
        <f t="shared" si="340"/>
        <v>2.4108057238767671E-2</v>
      </c>
      <c r="H170" s="11">
        <f t="shared" ref="H170:H209" si="349">H169 / (1 + G169*(A170-A169))</f>
        <v>0.99371475417981281</v>
      </c>
      <c r="I170" s="3">
        <f t="array" ref="I170:I209">G169:G208 * H170:H209 * (A170:A209-A169:A208)</f>
        <v>6.2852458201873157E-3</v>
      </c>
      <c r="J170" s="11">
        <f t="array" ref="J170:J209">(ROUND(A170:A209*$F$6, 0)=A170:A209*$F$6) * H170:H209</f>
        <v>0</v>
      </c>
      <c r="N170" s="7">
        <v>0.25</v>
      </c>
      <c r="O170" s="7">
        <v>0</v>
      </c>
      <c r="P170" s="11">
        <v>2.1842932184227108E-2</v>
      </c>
      <c r="Q170" s="11">
        <v>-2.4573298707255498E-2</v>
      </c>
      <c r="R170" s="11">
        <v>0</v>
      </c>
      <c r="S170" s="1">
        <v>2.5309999999999999E-2</v>
      </c>
      <c r="T170" s="3">
        <f t="shared" si="341"/>
        <v>2.4115464646175078E-2</v>
      </c>
      <c r="U170" s="11">
        <f t="shared" ref="U170:U209" si="350">U169 / (1 + T169*(N170-N169))</f>
        <v>0.99371228551341384</v>
      </c>
      <c r="V170" s="3">
        <f t="array" ref="V170:V209">T169:T208 * U170:U209 * (N170:N209-N169:N208)</f>
        <v>6.2877144865861262E-3</v>
      </c>
      <c r="W170" s="11">
        <f t="array" ref="W170:W209">(ROUND(N170:N209*$F$6, 0)=N170:N209*$F$6) * U170:U209</f>
        <v>0</v>
      </c>
      <c r="AA170" s="7">
        <v>0.25</v>
      </c>
      <c r="AB170" s="7">
        <v>0</v>
      </c>
      <c r="AC170" s="11">
        <v>2.17481173694123E-2</v>
      </c>
      <c r="AD170" s="11">
        <v>-2.4466632040588836E-2</v>
      </c>
      <c r="AE170" s="11">
        <v>0</v>
      </c>
      <c r="AF170" s="1">
        <v>2.53E-2</v>
      </c>
      <c r="AG170" s="3">
        <f t="shared" si="342"/>
        <v>2.4110649831360263E-2</v>
      </c>
      <c r="AH170" s="11">
        <f t="shared" ref="AH170:AH209" si="351">AH169 / (1 + AG169*(AA170-AA169))</f>
        <v>0.99371475417981281</v>
      </c>
      <c r="AI170" s="3">
        <f t="array" ref="AI170:AI209">AG169:AG208 * AH170:AH209 * (AA170:AA209-AA169:AA208)</f>
        <v>6.2852458201873157E-3</v>
      </c>
      <c r="AJ170" s="11">
        <f t="array" ref="AJ170:AJ209">(ROUND(AA170:AA209*$F$6, 0)=AA170:AA209*$F$6) * AH170:AH209</f>
        <v>0</v>
      </c>
      <c r="AK170" s="11"/>
      <c r="AN170" s="7">
        <v>0.25</v>
      </c>
      <c r="AO170" s="7">
        <v>0</v>
      </c>
      <c r="AP170" s="11">
        <v>2.1795524776819702E-2</v>
      </c>
      <c r="AQ170" s="11">
        <v>-2.4519965373922165E-2</v>
      </c>
      <c r="AR170" s="11">
        <v>0</v>
      </c>
      <c r="AS170" s="1">
        <v>2.53E-2</v>
      </c>
      <c r="AT170" s="3">
        <f t="shared" si="343"/>
        <v>2.4108057238767671E-2</v>
      </c>
      <c r="AU170" s="11">
        <f t="shared" ref="AU170:AU209" si="352">AU169 / (1 + AT169*(AN170-AN169))</f>
        <v>0.99371475417981281</v>
      </c>
      <c r="AV170" s="3">
        <f t="array" ref="AV170:AV209">AT169:AT208 * AU170:AU209 * (AN170:AN209-AN169:AN208)</f>
        <v>6.2852458201873157E-3</v>
      </c>
      <c r="AW170" s="11">
        <f t="array" ref="AW170:AW209">(ROUND(AN170:AN209*$F$6, 0)=AN170:AN209*$F$6) * AU170:AU209</f>
        <v>0</v>
      </c>
      <c r="AX170" s="11"/>
      <c r="BA170" s="7">
        <v>0.25</v>
      </c>
      <c r="BB170" s="7">
        <v>0</v>
      </c>
      <c r="BC170" s="11">
        <v>2.1795524776819702E-2</v>
      </c>
      <c r="BD170" s="11">
        <v>-2.4519965373922165E-2</v>
      </c>
      <c r="BE170" s="11">
        <v>0</v>
      </c>
      <c r="BF170" s="1">
        <v>2.53E-2</v>
      </c>
      <c r="BG170" s="3">
        <f t="shared" si="344"/>
        <v>2.4108057238767671E-2</v>
      </c>
      <c r="BH170" s="11">
        <f t="shared" ref="BH170:BH209" si="353">BH169 / (1 + BG169*(BA170-BA169))</f>
        <v>0.99371475417981281</v>
      </c>
      <c r="BI170" s="3">
        <f t="array" ref="BI170:BI209">BG169:BG208 * BH170:BH209 * (BA170:BA209-BA169:BA208)</f>
        <v>6.2852458201873157E-3</v>
      </c>
      <c r="BJ170" s="11">
        <f t="array" ref="BJ170:BJ209">(ROUND(BA170:BA209*$F$6, 0)=BA170:BA209*$F$6) * BH170:BH209</f>
        <v>0</v>
      </c>
      <c r="BK170" s="11"/>
      <c r="BN170" s="7">
        <v>0.25</v>
      </c>
      <c r="BO170" s="7">
        <v>0</v>
      </c>
      <c r="BP170" s="11">
        <v>2.1795524776819702E-2</v>
      </c>
      <c r="BQ170" s="11">
        <v>-2.4519965373922165E-2</v>
      </c>
      <c r="BR170" s="11">
        <v>0</v>
      </c>
      <c r="BS170" s="1">
        <v>2.53E-2</v>
      </c>
      <c r="BT170" s="3">
        <f t="shared" si="345"/>
        <v>2.4108057238767671E-2</v>
      </c>
      <c r="BU170" s="11">
        <f t="shared" ref="BU170:BU209" si="354">BU169 / (1 + BT169*(BN170-BN169))</f>
        <v>0.99371475417981281</v>
      </c>
      <c r="BV170" s="3">
        <f t="array" ref="BV170:BV209">BT169:BT208 * BU170:BU209 * (BN170:BN209-BN169:BN208)</f>
        <v>6.2852458201873157E-3</v>
      </c>
      <c r="BW170" s="11">
        <f t="array" ref="BW170:BW209">(ROUND(BN170:BN209*$F$6, 0)=BN170:BN209*$F$6) * BU170:BU209</f>
        <v>0</v>
      </c>
      <c r="BX170" s="11"/>
      <c r="CA170" s="7">
        <v>0.25</v>
      </c>
      <c r="CB170" s="7">
        <v>0</v>
      </c>
      <c r="CC170" s="11">
        <v>2.1795524776819702E-2</v>
      </c>
      <c r="CD170" s="11">
        <v>-2.4519965373922165E-2</v>
      </c>
      <c r="CE170" s="11">
        <v>0</v>
      </c>
      <c r="CF170" s="1">
        <v>2.53E-2</v>
      </c>
      <c r="CG170" s="3">
        <f t="shared" si="346"/>
        <v>2.4108057238767671E-2</v>
      </c>
      <c r="CH170" s="11">
        <f t="shared" ref="CH170:CH209" si="355">CH169 / (1 + CG169*(CA170-CA169))</f>
        <v>0.99371475417981281</v>
      </c>
      <c r="CI170" s="3">
        <f t="array" ref="CI170:CI209">CG169:CG208 * CH170:CH209 * (CA170:CA209-CA169:CA208)</f>
        <v>6.2852458201873157E-3</v>
      </c>
      <c r="CJ170" s="11">
        <f t="array" ref="CJ170:CJ209">(ROUND(CA170:CA209*$F$6, 0)=CA170:CA209*$F$6) * CH170:CH209</f>
        <v>0</v>
      </c>
      <c r="CK170" s="11"/>
      <c r="CN170" s="7">
        <v>0.25</v>
      </c>
      <c r="CO170" s="7">
        <v>0</v>
      </c>
      <c r="CP170" s="11">
        <v>2.1795524776819702E-2</v>
      </c>
      <c r="CQ170" s="11">
        <v>-2.4519965373922165E-2</v>
      </c>
      <c r="CR170" s="11">
        <v>0</v>
      </c>
      <c r="CS170" s="1">
        <v>2.53E-2</v>
      </c>
      <c r="CT170" s="3">
        <f t="shared" si="347"/>
        <v>2.4108057238767671E-2</v>
      </c>
      <c r="CU170" s="11">
        <f t="shared" ref="CU170:CU209" si="356">CU169 / (1 + CT169*(CN170-CN169))</f>
        <v>0.99371475417981281</v>
      </c>
      <c r="CV170" s="3">
        <f t="array" ref="CV170:CV209">CT169:CT208 * CU170:CU209 * (CN170:CN209-CN169:CN208)</f>
        <v>6.2852458201873157E-3</v>
      </c>
      <c r="CW170" s="11">
        <f t="array" ref="CW170:CW209">(ROUND(CN170:CN209*$F$6, 0)=CN170:CN209*$F$6) * CU170:CU209</f>
        <v>0</v>
      </c>
      <c r="CX170" s="11"/>
      <c r="DA170" s="7">
        <v>0.25</v>
      </c>
      <c r="DB170" s="7">
        <v>0</v>
      </c>
      <c r="DC170" s="11">
        <v>2.1795524776819702E-2</v>
      </c>
      <c r="DD170" s="11">
        <v>-2.4519965373922165E-2</v>
      </c>
      <c r="DE170" s="11">
        <v>0</v>
      </c>
      <c r="DF170" s="1">
        <v>2.53E-2</v>
      </c>
      <c r="DG170" s="3">
        <f t="shared" si="348"/>
        <v>2.4108057238767671E-2</v>
      </c>
      <c r="DH170" s="11">
        <f t="shared" ref="DH170:DH209" si="357">DH169 / (1 + DG169*(DA170-DA169))</f>
        <v>0.99371475417981281</v>
      </c>
      <c r="DI170" s="3">
        <f t="array" ref="DI170:DI209">DG169:DG208 * DH170:DH209 * (DA170:DA209-DA169:DA208)</f>
        <v>6.2852458201873157E-3</v>
      </c>
      <c r="DJ170" s="11">
        <f t="array" ref="DJ170:DJ209">(ROUND(DA170:DA209*$F$6, 0)=DA170:DA209*$F$6) * DH170:DH209</f>
        <v>0</v>
      </c>
      <c r="DK170" s="11"/>
    </row>
    <row r="171" spans="1:115" x14ac:dyDescent="0.25">
      <c r="A171" s="7">
        <v>0.5</v>
      </c>
      <c r="B171" s="7">
        <v>0</v>
      </c>
      <c r="C171" s="11">
        <v>2.1795524776819702E-2</v>
      </c>
      <c r="D171" s="11">
        <v>-2.4519965373922165E-2</v>
      </c>
      <c r="E171" s="11">
        <v>0</v>
      </c>
      <c r="F171" s="1">
        <v>2.53E-2</v>
      </c>
      <c r="G171" s="3">
        <f t="shared" si="340"/>
        <v>2.1894449253621922E-2</v>
      </c>
      <c r="H171" s="11">
        <f t="shared" si="349"/>
        <v>0.98776150147585506</v>
      </c>
      <c r="I171" s="3">
        <v>5.9532527039577532E-3</v>
      </c>
      <c r="J171" s="11">
        <v>0</v>
      </c>
      <c r="N171" s="7">
        <v>0.5</v>
      </c>
      <c r="O171" s="7">
        <v>0</v>
      </c>
      <c r="P171" s="11">
        <v>2.1842932184227108E-2</v>
      </c>
      <c r="Q171" s="11">
        <v>-2.4573298707255498E-2</v>
      </c>
      <c r="R171" s="11">
        <v>0</v>
      </c>
      <c r="S171" s="1">
        <v>2.5309999999999999E-2</v>
      </c>
      <c r="T171" s="3">
        <f t="shared" si="341"/>
        <v>2.1897041846214514E-2</v>
      </c>
      <c r="U171" s="11">
        <f t="shared" si="350"/>
        <v>0.98775722937740018</v>
      </c>
      <c r="V171" s="3">
        <v>5.9550561360136355E-3</v>
      </c>
      <c r="W171" s="11">
        <v>0</v>
      </c>
      <c r="AA171" s="7">
        <v>0.5</v>
      </c>
      <c r="AB171" s="7">
        <v>0</v>
      </c>
      <c r="AC171" s="11">
        <v>2.17481173694123E-2</v>
      </c>
      <c r="AD171" s="11">
        <v>-2.4466632040588836E-2</v>
      </c>
      <c r="AE171" s="11">
        <v>0</v>
      </c>
      <c r="AF171" s="1">
        <v>2.53E-2</v>
      </c>
      <c r="AG171" s="3">
        <f t="shared" si="342"/>
        <v>2.1901856661029329E-2</v>
      </c>
      <c r="AH171" s="11">
        <f t="shared" si="351"/>
        <v>0.98776086509595029</v>
      </c>
      <c r="AI171" s="3">
        <v>5.9538890838624851E-3</v>
      </c>
      <c r="AJ171" s="11">
        <v>0</v>
      </c>
      <c r="AK171" s="11"/>
      <c r="AN171" s="7">
        <v>0.5</v>
      </c>
      <c r="AO171" s="7">
        <v>0</v>
      </c>
      <c r="AP171" s="11">
        <v>2.1795524776819702E-2</v>
      </c>
      <c r="AQ171" s="11">
        <v>-2.4519965373922165E-2</v>
      </c>
      <c r="AR171" s="11">
        <v>0</v>
      </c>
      <c r="AS171" s="1">
        <v>2.53E-2</v>
      </c>
      <c r="AT171" s="3">
        <f t="shared" si="343"/>
        <v>2.1894449253621922E-2</v>
      </c>
      <c r="AU171" s="11">
        <f t="shared" si="352"/>
        <v>0.98776150147585506</v>
      </c>
      <c r="AV171" s="3">
        <v>5.9532527039577532E-3</v>
      </c>
      <c r="AW171" s="11">
        <v>0</v>
      </c>
      <c r="AX171" s="11"/>
      <c r="BA171" s="7">
        <v>0.5</v>
      </c>
      <c r="BB171" s="7">
        <v>0</v>
      </c>
      <c r="BC171" s="11">
        <v>2.1795524776819702E-2</v>
      </c>
      <c r="BD171" s="11">
        <v>-2.4519965373922165E-2</v>
      </c>
      <c r="BE171" s="11">
        <v>0</v>
      </c>
      <c r="BF171" s="1">
        <v>2.53E-2</v>
      </c>
      <c r="BG171" s="3">
        <f t="shared" si="344"/>
        <v>2.1894449253621922E-2</v>
      </c>
      <c r="BH171" s="11">
        <f t="shared" si="353"/>
        <v>0.98776150147585506</v>
      </c>
      <c r="BI171" s="3">
        <v>5.9532527039577532E-3</v>
      </c>
      <c r="BJ171" s="11">
        <v>0</v>
      </c>
      <c r="BK171" s="11"/>
      <c r="BN171" s="7">
        <v>0.5</v>
      </c>
      <c r="BO171" s="7">
        <v>0</v>
      </c>
      <c r="BP171" s="11">
        <v>2.1795524776819702E-2</v>
      </c>
      <c r="BQ171" s="11">
        <v>-2.4519965373922165E-2</v>
      </c>
      <c r="BR171" s="11">
        <v>0</v>
      </c>
      <c r="BS171" s="1">
        <v>2.53E-2</v>
      </c>
      <c r="BT171" s="3">
        <f t="shared" si="345"/>
        <v>2.1894449253621922E-2</v>
      </c>
      <c r="BU171" s="11">
        <f t="shared" si="354"/>
        <v>0.98776150147585506</v>
      </c>
      <c r="BV171" s="3">
        <v>5.9532527039577532E-3</v>
      </c>
      <c r="BW171" s="11">
        <v>0</v>
      </c>
      <c r="BX171" s="11"/>
      <c r="CA171" s="7">
        <v>0.5</v>
      </c>
      <c r="CB171" s="7">
        <v>0</v>
      </c>
      <c r="CC171" s="11">
        <v>2.1795524776819702E-2</v>
      </c>
      <c r="CD171" s="11">
        <v>-2.4519965373922165E-2</v>
      </c>
      <c r="CE171" s="11">
        <v>0</v>
      </c>
      <c r="CF171" s="1">
        <v>2.53E-2</v>
      </c>
      <c r="CG171" s="3">
        <f t="shared" si="346"/>
        <v>2.1894449253621922E-2</v>
      </c>
      <c r="CH171" s="11">
        <f t="shared" si="355"/>
        <v>0.98776150147585506</v>
      </c>
      <c r="CI171" s="3">
        <v>5.9532527039577532E-3</v>
      </c>
      <c r="CJ171" s="11">
        <v>0</v>
      </c>
      <c r="CK171" s="11"/>
      <c r="CN171" s="7">
        <v>0.5</v>
      </c>
      <c r="CO171" s="7">
        <v>0</v>
      </c>
      <c r="CP171" s="11">
        <v>2.1795524776819702E-2</v>
      </c>
      <c r="CQ171" s="11">
        <v>-2.4519965373922165E-2</v>
      </c>
      <c r="CR171" s="11">
        <v>0</v>
      </c>
      <c r="CS171" s="1">
        <v>2.53E-2</v>
      </c>
      <c r="CT171" s="3">
        <f t="shared" si="347"/>
        <v>2.1894449253621922E-2</v>
      </c>
      <c r="CU171" s="11">
        <f t="shared" si="356"/>
        <v>0.98776150147585506</v>
      </c>
      <c r="CV171" s="3">
        <v>5.9532527039577532E-3</v>
      </c>
      <c r="CW171" s="11">
        <v>0</v>
      </c>
      <c r="CX171" s="11"/>
      <c r="DA171" s="7">
        <v>0.5</v>
      </c>
      <c r="DB171" s="7">
        <v>0</v>
      </c>
      <c r="DC171" s="11">
        <v>2.1795524776819702E-2</v>
      </c>
      <c r="DD171" s="11">
        <v>-2.4519965373922165E-2</v>
      </c>
      <c r="DE171" s="11">
        <v>0</v>
      </c>
      <c r="DF171" s="1">
        <v>2.53E-2</v>
      </c>
      <c r="DG171" s="3">
        <f t="shared" si="348"/>
        <v>2.1894449253621922E-2</v>
      </c>
      <c r="DH171" s="11">
        <f t="shared" si="357"/>
        <v>0.98776150147585506</v>
      </c>
      <c r="DI171" s="3">
        <v>5.9532527039577532E-3</v>
      </c>
      <c r="DJ171" s="11">
        <v>0</v>
      </c>
      <c r="DK171" s="11"/>
    </row>
    <row r="172" spans="1:115" x14ac:dyDescent="0.25">
      <c r="A172" s="7">
        <v>0.75</v>
      </c>
      <c r="B172" s="7">
        <v>0.75</v>
      </c>
      <c r="C172" s="11">
        <v>-3.7060713183657158E-3</v>
      </c>
      <c r="D172" s="11">
        <v>1.5057782665553019E-2</v>
      </c>
      <c r="E172" s="11">
        <v>-1.6332678648587381E-2</v>
      </c>
      <c r="F172" s="1">
        <v>2.6045511566892096E-2</v>
      </c>
      <c r="G172" s="3">
        <f t="shared" si="340"/>
        <v>2.0702506492389597E-2</v>
      </c>
      <c r="H172" s="11">
        <f t="shared" si="349"/>
        <v>0.9823843106167669</v>
      </c>
      <c r="I172" s="3">
        <v>5.3771908590882897E-3</v>
      </c>
      <c r="J172" s="11">
        <v>0</v>
      </c>
      <c r="N172" s="7">
        <v>0.75</v>
      </c>
      <c r="O172" s="7">
        <v>0.75</v>
      </c>
      <c r="P172" s="11">
        <v>-3.7060713183657158E-3</v>
      </c>
      <c r="Q172" s="11">
        <v>1.5057782665553019E-2</v>
      </c>
      <c r="R172" s="11">
        <v>-1.6332678648587381E-2</v>
      </c>
      <c r="S172" s="1">
        <v>2.6045511566892096E-2</v>
      </c>
      <c r="T172" s="3">
        <f t="shared" si="341"/>
        <v>2.0702506492389597E-2</v>
      </c>
      <c r="U172" s="11">
        <f t="shared" si="350"/>
        <v>0.98237942851364424</v>
      </c>
      <c r="V172" s="3">
        <v>5.3778008637558918E-3</v>
      </c>
      <c r="W172" s="11">
        <v>0</v>
      </c>
      <c r="AA172" s="7">
        <v>0.75</v>
      </c>
      <c r="AB172" s="7">
        <v>0.75</v>
      </c>
      <c r="AC172" s="11">
        <v>-3.6910713183657164E-3</v>
      </c>
      <c r="AD172" s="11">
        <v>1.4999032665553021E-2</v>
      </c>
      <c r="AE172" s="11">
        <v>-1.6269866148587383E-2</v>
      </c>
      <c r="AF172" s="1">
        <v>2.6035120941892094E-2</v>
      </c>
      <c r="AG172" s="3">
        <f t="shared" si="342"/>
        <v>2.0712506492389596E-2</v>
      </c>
      <c r="AH172" s="11">
        <f t="shared" si="351"/>
        <v>0.9823818683790424</v>
      </c>
      <c r="AI172" s="3">
        <v>5.3789967169079918E-3</v>
      </c>
      <c r="AJ172" s="11">
        <v>0</v>
      </c>
      <c r="AK172" s="11"/>
      <c r="AN172" s="7">
        <v>0.75</v>
      </c>
      <c r="AO172" s="7">
        <v>0.75</v>
      </c>
      <c r="AP172" s="11">
        <v>-3.7260713183657149E-3</v>
      </c>
      <c r="AQ172" s="11">
        <v>1.5132782665553016E-2</v>
      </c>
      <c r="AR172" s="11">
        <v>-1.6411428648587384E-2</v>
      </c>
      <c r="AS172" s="1">
        <v>2.6070824066892095E-2</v>
      </c>
      <c r="AT172" s="3">
        <f t="shared" si="343"/>
        <v>2.0702506492389593E-2</v>
      </c>
      <c r="AU172" s="11">
        <f t="shared" si="352"/>
        <v>0.9823843106167669</v>
      </c>
      <c r="AV172" s="3">
        <v>5.3771908590882897E-3</v>
      </c>
      <c r="AW172" s="11">
        <v>0</v>
      </c>
      <c r="AX172" s="11"/>
      <c r="BA172" s="7">
        <v>0.75</v>
      </c>
      <c r="BB172" s="7">
        <v>0.75</v>
      </c>
      <c r="BC172" s="11">
        <v>-3.701071318365716E-3</v>
      </c>
      <c r="BD172" s="11">
        <v>1.5041532665553021E-2</v>
      </c>
      <c r="BE172" s="11">
        <v>-1.6316741148587388E-2</v>
      </c>
      <c r="BF172" s="1">
        <v>2.6040589691892099E-2</v>
      </c>
      <c r="BG172" s="3">
        <f t="shared" si="344"/>
        <v>2.0702506492389597E-2</v>
      </c>
      <c r="BH172" s="11">
        <f t="shared" si="353"/>
        <v>0.9823843106167669</v>
      </c>
      <c r="BI172" s="3">
        <v>5.3771908590882897E-3</v>
      </c>
      <c r="BJ172" s="11">
        <v>0</v>
      </c>
      <c r="BK172" s="11"/>
      <c r="BN172" s="7">
        <v>0.75</v>
      </c>
      <c r="BO172" s="7">
        <v>0.75</v>
      </c>
      <c r="BP172" s="11">
        <v>-3.7060713183657158E-3</v>
      </c>
      <c r="BQ172" s="11">
        <v>1.5057782665553019E-2</v>
      </c>
      <c r="BR172" s="11">
        <v>-1.6332678648587381E-2</v>
      </c>
      <c r="BS172" s="1">
        <v>2.6045511566892096E-2</v>
      </c>
      <c r="BT172" s="3">
        <f t="shared" si="345"/>
        <v>2.0702506492389597E-2</v>
      </c>
      <c r="BU172" s="11">
        <f t="shared" si="354"/>
        <v>0.9823843106167669</v>
      </c>
      <c r="BV172" s="3">
        <v>5.3771908590882897E-3</v>
      </c>
      <c r="BW172" s="11">
        <v>0</v>
      </c>
      <c r="BX172" s="11"/>
      <c r="CA172" s="7">
        <v>0.75</v>
      </c>
      <c r="CB172" s="7">
        <v>0.75</v>
      </c>
      <c r="CC172" s="11">
        <v>-3.7060713183657158E-3</v>
      </c>
      <c r="CD172" s="11">
        <v>1.5057782665553019E-2</v>
      </c>
      <c r="CE172" s="11">
        <v>-1.6332678648587381E-2</v>
      </c>
      <c r="CF172" s="1">
        <v>2.6045511566892096E-2</v>
      </c>
      <c r="CG172" s="3">
        <f t="shared" si="346"/>
        <v>2.0702506492389597E-2</v>
      </c>
      <c r="CH172" s="11">
        <f t="shared" si="355"/>
        <v>0.9823843106167669</v>
      </c>
      <c r="CI172" s="3">
        <v>5.3771908590882897E-3</v>
      </c>
      <c r="CJ172" s="11">
        <v>0</v>
      </c>
      <c r="CK172" s="11"/>
      <c r="CN172" s="7">
        <v>0.75</v>
      </c>
      <c r="CO172" s="7">
        <v>0.75</v>
      </c>
      <c r="CP172" s="11">
        <v>-3.7060713183657158E-3</v>
      </c>
      <c r="CQ172" s="11">
        <v>1.5057782665553019E-2</v>
      </c>
      <c r="CR172" s="11">
        <v>-1.6332678648587381E-2</v>
      </c>
      <c r="CS172" s="1">
        <v>2.6045511566892096E-2</v>
      </c>
      <c r="CT172" s="3">
        <f t="shared" si="347"/>
        <v>2.0702506492389597E-2</v>
      </c>
      <c r="CU172" s="11">
        <f t="shared" si="356"/>
        <v>0.9823843106167669</v>
      </c>
      <c r="CV172" s="3">
        <v>5.3771908590882897E-3</v>
      </c>
      <c r="CW172" s="11">
        <v>0</v>
      </c>
      <c r="CX172" s="11"/>
      <c r="DA172" s="7">
        <v>0.75</v>
      </c>
      <c r="DB172" s="7">
        <v>0.75</v>
      </c>
      <c r="DC172" s="11">
        <v>-3.7060713183657158E-3</v>
      </c>
      <c r="DD172" s="11">
        <v>1.5057782665553019E-2</v>
      </c>
      <c r="DE172" s="11">
        <v>-1.6332678648587381E-2</v>
      </c>
      <c r="DF172" s="1">
        <v>2.6045511566892096E-2</v>
      </c>
      <c r="DG172" s="3">
        <f t="shared" si="348"/>
        <v>2.0702506492389597E-2</v>
      </c>
      <c r="DH172" s="11">
        <f t="shared" si="357"/>
        <v>0.9823843106167669</v>
      </c>
      <c r="DI172" s="3">
        <v>5.3771908590882897E-3</v>
      </c>
      <c r="DJ172" s="11">
        <v>0</v>
      </c>
      <c r="DK172" s="11"/>
    </row>
    <row r="173" spans="1:115" x14ac:dyDescent="0.25">
      <c r="A173" s="7">
        <v>1</v>
      </c>
      <c r="B173" s="7">
        <v>0.75</v>
      </c>
      <c r="C173" s="11">
        <v>-3.7060713183657158E-3</v>
      </c>
      <c r="D173" s="11">
        <v>1.5057782665553019E-2</v>
      </c>
      <c r="E173" s="11">
        <v>-1.6332678648587381E-2</v>
      </c>
      <c r="F173" s="1">
        <v>2.6045511566892096E-2</v>
      </c>
      <c r="G173" s="3">
        <f t="shared" si="340"/>
        <v>2.1064544265492018E-2</v>
      </c>
      <c r="H173" s="11">
        <f t="shared" si="349"/>
        <v>0.97732603596557732</v>
      </c>
      <c r="I173" s="3">
        <v>5.0582746511896879E-3</v>
      </c>
      <c r="J173" s="11">
        <v>0.97732603596557732</v>
      </c>
      <c r="N173" s="7">
        <v>1</v>
      </c>
      <c r="O173" s="7">
        <v>0.75</v>
      </c>
      <c r="P173" s="11">
        <v>-3.7060713183657158E-3</v>
      </c>
      <c r="Q173" s="11">
        <v>1.5057782665553019E-2</v>
      </c>
      <c r="R173" s="11">
        <v>-1.6332678648587381E-2</v>
      </c>
      <c r="S173" s="1">
        <v>2.6045511566892096E-2</v>
      </c>
      <c r="T173" s="3">
        <f t="shared" si="341"/>
        <v>2.1064544265492018E-2</v>
      </c>
      <c r="U173" s="11">
        <f t="shared" si="350"/>
        <v>0.97732117900029347</v>
      </c>
      <c r="V173" s="3">
        <v>5.0582495133508574E-3</v>
      </c>
      <c r="W173" s="11">
        <v>0.97732117900029347</v>
      </c>
      <c r="AA173" s="7">
        <v>1</v>
      </c>
      <c r="AB173" s="7">
        <v>0.75</v>
      </c>
      <c r="AC173" s="11">
        <v>-3.6910713183657164E-3</v>
      </c>
      <c r="AD173" s="11">
        <v>1.4999032665553021E-2</v>
      </c>
      <c r="AE173" s="11">
        <v>-1.6269866148587383E-2</v>
      </c>
      <c r="AF173" s="1">
        <v>2.6035120941892094E-2</v>
      </c>
      <c r="AG173" s="3">
        <f t="shared" si="342"/>
        <v>2.1073216140492016E-2</v>
      </c>
      <c r="AH173" s="11">
        <f t="shared" si="351"/>
        <v>0.97732117558045239</v>
      </c>
      <c r="AI173" s="3">
        <v>5.0606927985899879E-3</v>
      </c>
      <c r="AJ173" s="11">
        <v>0.97732117558045239</v>
      </c>
      <c r="AK173" s="11"/>
      <c r="AN173" s="7">
        <v>1</v>
      </c>
      <c r="AO173" s="7">
        <v>0.75</v>
      </c>
      <c r="AP173" s="11">
        <v>-3.7260713183657149E-3</v>
      </c>
      <c r="AQ173" s="11">
        <v>1.5132782665553016E-2</v>
      </c>
      <c r="AR173" s="11">
        <v>-1.6411428648587384E-2</v>
      </c>
      <c r="AS173" s="1">
        <v>2.6070824066892095E-2</v>
      </c>
      <c r="AT173" s="3">
        <f t="shared" si="343"/>
        <v>2.1066106765492011E-2</v>
      </c>
      <c r="AU173" s="11">
        <f t="shared" si="352"/>
        <v>0.97732603596557732</v>
      </c>
      <c r="AV173" s="3">
        <v>5.0582746511896879E-3</v>
      </c>
      <c r="AW173" s="11">
        <v>0.97732603596557732</v>
      </c>
      <c r="AX173" s="11"/>
      <c r="BA173" s="7">
        <v>1</v>
      </c>
      <c r="BB173" s="7">
        <v>0.75</v>
      </c>
      <c r="BC173" s="11">
        <v>-3.701071318365716E-3</v>
      </c>
      <c r="BD173" s="11">
        <v>1.5041532665553021E-2</v>
      </c>
      <c r="BE173" s="11">
        <v>-1.6316741148587388E-2</v>
      </c>
      <c r="BF173" s="1">
        <v>2.6040589691892099E-2</v>
      </c>
      <c r="BG173" s="3">
        <f t="shared" si="344"/>
        <v>2.1064309890492017E-2</v>
      </c>
      <c r="BH173" s="11">
        <f t="shared" si="353"/>
        <v>0.97732603596557732</v>
      </c>
      <c r="BI173" s="3">
        <v>5.0582746511896879E-3</v>
      </c>
      <c r="BJ173" s="11">
        <v>0.97732603596557732</v>
      </c>
      <c r="BK173" s="11"/>
      <c r="BN173" s="7">
        <v>1</v>
      </c>
      <c r="BO173" s="7">
        <v>0.75</v>
      </c>
      <c r="BP173" s="11">
        <v>-3.7060713183657158E-3</v>
      </c>
      <c r="BQ173" s="11">
        <v>1.5057782665553019E-2</v>
      </c>
      <c r="BR173" s="11">
        <v>-1.6332678648587381E-2</v>
      </c>
      <c r="BS173" s="1">
        <v>2.6045511566892096E-2</v>
      </c>
      <c r="BT173" s="3">
        <f t="shared" si="345"/>
        <v>2.1064544265492018E-2</v>
      </c>
      <c r="BU173" s="11">
        <f t="shared" si="354"/>
        <v>0.97732603596557732</v>
      </c>
      <c r="BV173" s="3">
        <v>5.0582746511896879E-3</v>
      </c>
      <c r="BW173" s="11">
        <v>0.97732603596557732</v>
      </c>
      <c r="BX173" s="11"/>
      <c r="CA173" s="7">
        <v>1</v>
      </c>
      <c r="CB173" s="7">
        <v>0.75</v>
      </c>
      <c r="CC173" s="11">
        <v>-3.7060713183657158E-3</v>
      </c>
      <c r="CD173" s="11">
        <v>1.5057782665553019E-2</v>
      </c>
      <c r="CE173" s="11">
        <v>-1.6332678648587381E-2</v>
      </c>
      <c r="CF173" s="1">
        <v>2.6045511566892096E-2</v>
      </c>
      <c r="CG173" s="3">
        <f t="shared" si="346"/>
        <v>2.1064544265492018E-2</v>
      </c>
      <c r="CH173" s="11">
        <f t="shared" si="355"/>
        <v>0.97732603596557732</v>
      </c>
      <c r="CI173" s="3">
        <v>5.0582746511896879E-3</v>
      </c>
      <c r="CJ173" s="11">
        <v>0.97732603596557732</v>
      </c>
      <c r="CK173" s="11"/>
      <c r="CN173" s="7">
        <v>1</v>
      </c>
      <c r="CO173" s="7">
        <v>0.75</v>
      </c>
      <c r="CP173" s="11">
        <v>-3.7060713183657158E-3</v>
      </c>
      <c r="CQ173" s="11">
        <v>1.5057782665553019E-2</v>
      </c>
      <c r="CR173" s="11">
        <v>-1.6332678648587381E-2</v>
      </c>
      <c r="CS173" s="1">
        <v>2.6045511566892096E-2</v>
      </c>
      <c r="CT173" s="3">
        <f t="shared" si="347"/>
        <v>2.1064544265492018E-2</v>
      </c>
      <c r="CU173" s="11">
        <f t="shared" si="356"/>
        <v>0.97732603596557732</v>
      </c>
      <c r="CV173" s="3">
        <v>5.0582746511896879E-3</v>
      </c>
      <c r="CW173" s="11">
        <v>0.97732603596557732</v>
      </c>
      <c r="CX173" s="11"/>
      <c r="DA173" s="7">
        <v>1</v>
      </c>
      <c r="DB173" s="7">
        <v>0.75</v>
      </c>
      <c r="DC173" s="11">
        <v>-3.7060713183657158E-3</v>
      </c>
      <c r="DD173" s="11">
        <v>1.5057782665553019E-2</v>
      </c>
      <c r="DE173" s="11">
        <v>-1.6332678648587381E-2</v>
      </c>
      <c r="DF173" s="1">
        <v>2.6045511566892096E-2</v>
      </c>
      <c r="DG173" s="3">
        <f t="shared" si="348"/>
        <v>2.1064544265492018E-2</v>
      </c>
      <c r="DH173" s="11">
        <f t="shared" si="357"/>
        <v>0.97732603596557732</v>
      </c>
      <c r="DI173" s="3">
        <v>5.0582746511896879E-3</v>
      </c>
      <c r="DJ173" s="11">
        <v>0.97732603596557732</v>
      </c>
      <c r="DK173" s="11"/>
    </row>
    <row r="174" spans="1:115" x14ac:dyDescent="0.25">
      <c r="A174" s="7">
        <v>1.25</v>
      </c>
      <c r="B174" s="7">
        <v>0.75</v>
      </c>
      <c r="C174" s="11">
        <v>-3.7060713183657158E-3</v>
      </c>
      <c r="D174" s="11">
        <v>1.5057782665553019E-2</v>
      </c>
      <c r="E174" s="11">
        <v>-1.6332678648587381E-2</v>
      </c>
      <c r="F174" s="1">
        <v>2.6045511566892096E-2</v>
      </c>
      <c r="G174" s="3">
        <f t="shared" si="340"/>
        <v>2.1919028127401423E-2</v>
      </c>
      <c r="H174" s="11">
        <f t="shared" si="349"/>
        <v>0.97220626548694267</v>
      </c>
      <c r="I174" s="3">
        <v>5.1197704786345973E-3</v>
      </c>
      <c r="J174" s="11">
        <v>0</v>
      </c>
      <c r="N174" s="7">
        <v>1.25</v>
      </c>
      <c r="O174" s="7">
        <v>0.75</v>
      </c>
      <c r="P174" s="11">
        <v>-3.7060713183657158E-3</v>
      </c>
      <c r="Q174" s="11">
        <v>1.5057782665553019E-2</v>
      </c>
      <c r="R174" s="11">
        <v>-1.6332678648587381E-2</v>
      </c>
      <c r="S174" s="1">
        <v>2.6045511566892096E-2</v>
      </c>
      <c r="T174" s="3">
        <f t="shared" si="341"/>
        <v>2.1919028127401423E-2</v>
      </c>
      <c r="U174" s="11">
        <f t="shared" si="350"/>
        <v>0.97220143396511016</v>
      </c>
      <c r="V174" s="3">
        <v>5.1197450351832194E-3</v>
      </c>
      <c r="W174" s="11">
        <v>0</v>
      </c>
      <c r="AA174" s="7">
        <v>1.25</v>
      </c>
      <c r="AB174" s="7">
        <v>0.75</v>
      </c>
      <c r="AC174" s="11">
        <v>-3.6910713183657164E-3</v>
      </c>
      <c r="AD174" s="11">
        <v>1.4999032665553021E-2</v>
      </c>
      <c r="AE174" s="11">
        <v>-1.6269866148587383E-2</v>
      </c>
      <c r="AF174" s="1">
        <v>2.6035120941892094E-2</v>
      </c>
      <c r="AG174" s="3">
        <f t="shared" si="342"/>
        <v>2.1924653127401418E-2</v>
      </c>
      <c r="AH174" s="11">
        <f t="shared" si="351"/>
        <v>0.972199333906688</v>
      </c>
      <c r="AI174" s="3">
        <v>5.121841673764501E-3</v>
      </c>
      <c r="AJ174" s="11">
        <v>0</v>
      </c>
      <c r="AK174" s="11"/>
      <c r="AN174" s="7">
        <v>1.25</v>
      </c>
      <c r="AO174" s="7">
        <v>0.75</v>
      </c>
      <c r="AP174" s="11">
        <v>-3.7260713183657149E-3</v>
      </c>
      <c r="AQ174" s="11">
        <v>1.5132782665553016E-2</v>
      </c>
      <c r="AR174" s="11">
        <v>-1.6411428648587384E-2</v>
      </c>
      <c r="AS174" s="1">
        <v>2.6070824066892095E-2</v>
      </c>
      <c r="AT174" s="3">
        <f t="shared" si="343"/>
        <v>2.1924028127401417E-2</v>
      </c>
      <c r="AU174" s="11">
        <f t="shared" si="352"/>
        <v>0.97220588770845084</v>
      </c>
      <c r="AV174" s="3">
        <v>5.1201482571265411E-3</v>
      </c>
      <c r="AW174" s="11">
        <v>0</v>
      </c>
      <c r="AX174" s="11"/>
      <c r="BA174" s="7">
        <v>1.25</v>
      </c>
      <c r="BB174" s="7">
        <v>0.75</v>
      </c>
      <c r="BC174" s="11">
        <v>-3.701071318365716E-3</v>
      </c>
      <c r="BD174" s="11">
        <v>1.5041532665553021E-2</v>
      </c>
      <c r="BE174" s="11">
        <v>-1.6316741148587388E-2</v>
      </c>
      <c r="BF174" s="1">
        <v>2.6040589691892099E-2</v>
      </c>
      <c r="BG174" s="3">
        <f t="shared" si="344"/>
        <v>2.1918403127401422E-2</v>
      </c>
      <c r="BH174" s="11">
        <f t="shared" si="353"/>
        <v>0.97220632215374192</v>
      </c>
      <c r="BI174" s="3">
        <v>5.1197138118354831E-3</v>
      </c>
      <c r="BJ174" s="11">
        <v>0</v>
      </c>
      <c r="BK174" s="11"/>
      <c r="BN174" s="7">
        <v>1.25</v>
      </c>
      <c r="BO174" s="7">
        <v>0.75</v>
      </c>
      <c r="BP174" s="11">
        <v>-3.7060713183657158E-3</v>
      </c>
      <c r="BQ174" s="11">
        <v>1.5057782665553019E-2</v>
      </c>
      <c r="BR174" s="11">
        <v>-1.6332678648587381E-2</v>
      </c>
      <c r="BS174" s="1">
        <v>2.6045511566892096E-2</v>
      </c>
      <c r="BT174" s="3">
        <f t="shared" si="345"/>
        <v>2.1919028127401423E-2</v>
      </c>
      <c r="BU174" s="11">
        <f t="shared" si="354"/>
        <v>0.97220626548694267</v>
      </c>
      <c r="BV174" s="3">
        <v>5.1197704786345973E-3</v>
      </c>
      <c r="BW174" s="11">
        <v>0</v>
      </c>
      <c r="BX174" s="11"/>
      <c r="CA174" s="7">
        <v>1.25</v>
      </c>
      <c r="CB174" s="7">
        <v>0.75</v>
      </c>
      <c r="CC174" s="11">
        <v>-3.7060713183657158E-3</v>
      </c>
      <c r="CD174" s="11">
        <v>1.5057782665553019E-2</v>
      </c>
      <c r="CE174" s="11">
        <v>-1.6332678648587381E-2</v>
      </c>
      <c r="CF174" s="1">
        <v>2.6045511566892096E-2</v>
      </c>
      <c r="CG174" s="3">
        <f t="shared" si="346"/>
        <v>2.1919028127401423E-2</v>
      </c>
      <c r="CH174" s="11">
        <f t="shared" si="355"/>
        <v>0.97220626548694267</v>
      </c>
      <c r="CI174" s="3">
        <v>5.1197704786345973E-3</v>
      </c>
      <c r="CJ174" s="11">
        <v>0</v>
      </c>
      <c r="CK174" s="11"/>
      <c r="CN174" s="7">
        <v>1.25</v>
      </c>
      <c r="CO174" s="7">
        <v>0.75</v>
      </c>
      <c r="CP174" s="11">
        <v>-3.7060713183657158E-3</v>
      </c>
      <c r="CQ174" s="11">
        <v>1.5057782665553019E-2</v>
      </c>
      <c r="CR174" s="11">
        <v>-1.6332678648587381E-2</v>
      </c>
      <c r="CS174" s="1">
        <v>2.6045511566892096E-2</v>
      </c>
      <c r="CT174" s="3">
        <f t="shared" si="347"/>
        <v>2.1919028127401423E-2</v>
      </c>
      <c r="CU174" s="11">
        <f t="shared" si="356"/>
        <v>0.97220626548694267</v>
      </c>
      <c r="CV174" s="3">
        <v>5.1197704786345973E-3</v>
      </c>
      <c r="CW174" s="11">
        <v>0</v>
      </c>
      <c r="CX174" s="11"/>
      <c r="DA174" s="7">
        <v>1.25</v>
      </c>
      <c r="DB174" s="7">
        <v>0.75</v>
      </c>
      <c r="DC174" s="11">
        <v>-3.7060713183657158E-3</v>
      </c>
      <c r="DD174" s="11">
        <v>1.5057782665553019E-2</v>
      </c>
      <c r="DE174" s="11">
        <v>-1.6332678648587381E-2</v>
      </c>
      <c r="DF174" s="1">
        <v>2.6045511566892096E-2</v>
      </c>
      <c r="DG174" s="3">
        <f t="shared" si="348"/>
        <v>2.1919028127401423E-2</v>
      </c>
      <c r="DH174" s="11">
        <f t="shared" si="357"/>
        <v>0.97220626548694267</v>
      </c>
      <c r="DI174" s="3">
        <v>5.1197704786345973E-3</v>
      </c>
      <c r="DJ174" s="11">
        <v>0</v>
      </c>
      <c r="DK174" s="11"/>
    </row>
    <row r="175" spans="1:115" x14ac:dyDescent="0.25">
      <c r="A175" s="7">
        <v>1.5</v>
      </c>
      <c r="B175" s="7">
        <v>0.75</v>
      </c>
      <c r="C175" s="11">
        <v>-3.7060713183657158E-3</v>
      </c>
      <c r="D175" s="11">
        <v>1.5057782665553019E-2</v>
      </c>
      <c r="E175" s="11">
        <v>-1.6332678648587381E-2</v>
      </c>
      <c r="F175" s="1">
        <v>2.6045511566892096E-2</v>
      </c>
      <c r="G175" s="3">
        <f t="shared" si="340"/>
        <v>2.2918513892021024E-2</v>
      </c>
      <c r="H175" s="11">
        <f t="shared" si="349"/>
        <v>0.96690784542184105</v>
      </c>
      <c r="I175" s="3">
        <v>5.2984200651016106E-3</v>
      </c>
      <c r="J175" s="11">
        <v>0</v>
      </c>
      <c r="N175" s="7">
        <v>1.5</v>
      </c>
      <c r="O175" s="7">
        <v>0.75</v>
      </c>
      <c r="P175" s="11">
        <v>-3.7060713183657158E-3</v>
      </c>
      <c r="Q175" s="11">
        <v>1.5057782665553019E-2</v>
      </c>
      <c r="R175" s="11">
        <v>-1.6332678648587381E-2</v>
      </c>
      <c r="S175" s="1">
        <v>2.6045511566892096E-2</v>
      </c>
      <c r="T175" s="3">
        <f t="shared" si="341"/>
        <v>2.2918513892021024E-2</v>
      </c>
      <c r="U175" s="11">
        <f t="shared" si="350"/>
        <v>0.96690304023128526</v>
      </c>
      <c r="V175" s="3">
        <v>5.2983937338248726E-3</v>
      </c>
      <c r="W175" s="11">
        <v>0</v>
      </c>
      <c r="AA175" s="7">
        <v>1.5</v>
      </c>
      <c r="AB175" s="7">
        <v>0.75</v>
      </c>
      <c r="AC175" s="11">
        <v>-3.6910713183657164E-3</v>
      </c>
      <c r="AD175" s="11">
        <v>1.4999032665553021E-2</v>
      </c>
      <c r="AE175" s="11">
        <v>-1.6269866148587383E-2</v>
      </c>
      <c r="AF175" s="1">
        <v>2.6035120941892094E-2</v>
      </c>
      <c r="AG175" s="3">
        <f t="shared" si="342"/>
        <v>2.2920779517021025E-2</v>
      </c>
      <c r="AH175" s="11">
        <f t="shared" si="351"/>
        <v>0.96689959932562852</v>
      </c>
      <c r="AI175" s="3">
        <v>5.2997345810594553E-3</v>
      </c>
      <c r="AJ175" s="11">
        <v>0</v>
      </c>
      <c r="AK175" s="11"/>
      <c r="AN175" s="7">
        <v>1.5</v>
      </c>
      <c r="AO175" s="7">
        <v>0.75</v>
      </c>
      <c r="AP175" s="11">
        <v>-3.7260713183657149E-3</v>
      </c>
      <c r="AQ175" s="11">
        <v>1.5132782665553016E-2</v>
      </c>
      <c r="AR175" s="11">
        <v>-1.6411428648587384E-2</v>
      </c>
      <c r="AS175" s="1">
        <v>2.6070824066892095E-2</v>
      </c>
      <c r="AT175" s="3">
        <f t="shared" si="343"/>
        <v>2.2926951392021017E-2</v>
      </c>
      <c r="AU175" s="11">
        <f t="shared" si="352"/>
        <v>0.96690626765628662</v>
      </c>
      <c r="AV175" s="3">
        <v>5.2996200521642882E-3</v>
      </c>
      <c r="AW175" s="11">
        <v>0</v>
      </c>
      <c r="AX175" s="11"/>
      <c r="BA175" s="7">
        <v>1.5</v>
      </c>
      <c r="BB175" s="7">
        <v>0.75</v>
      </c>
      <c r="BC175" s="11">
        <v>-3.701071318365716E-3</v>
      </c>
      <c r="BD175" s="11">
        <v>1.5041532665553021E-2</v>
      </c>
      <c r="BE175" s="11">
        <v>-1.6316741148587388E-2</v>
      </c>
      <c r="BF175" s="1">
        <v>2.6040589691892099E-2</v>
      </c>
      <c r="BG175" s="3">
        <f t="shared" si="344"/>
        <v>2.291781076702102E-2</v>
      </c>
      <c r="BH175" s="11">
        <f t="shared" si="353"/>
        <v>0.96690805203582908</v>
      </c>
      <c r="BI175" s="3">
        <v>5.2982701179129336E-3</v>
      </c>
      <c r="BJ175" s="11">
        <v>0</v>
      </c>
      <c r="BK175" s="11"/>
      <c r="BN175" s="7">
        <v>1.5</v>
      </c>
      <c r="BO175" s="7">
        <v>0.75</v>
      </c>
      <c r="BP175" s="11">
        <v>-3.7060713183657158E-3</v>
      </c>
      <c r="BQ175" s="11">
        <v>1.5057782665553019E-2</v>
      </c>
      <c r="BR175" s="11">
        <v>-1.6332678648587381E-2</v>
      </c>
      <c r="BS175" s="1">
        <v>2.6045511566892096E-2</v>
      </c>
      <c r="BT175" s="3">
        <f t="shared" si="345"/>
        <v>2.2918513892021024E-2</v>
      </c>
      <c r="BU175" s="11">
        <f t="shared" si="354"/>
        <v>0.96690784542184105</v>
      </c>
      <c r="BV175" s="3">
        <v>5.2984200651016106E-3</v>
      </c>
      <c r="BW175" s="11">
        <v>0</v>
      </c>
      <c r="BX175" s="11"/>
      <c r="CA175" s="7">
        <v>1.5</v>
      </c>
      <c r="CB175" s="7">
        <v>0.75</v>
      </c>
      <c r="CC175" s="11">
        <v>-3.7060713183657158E-3</v>
      </c>
      <c r="CD175" s="11">
        <v>1.5057782665553019E-2</v>
      </c>
      <c r="CE175" s="11">
        <v>-1.6332678648587381E-2</v>
      </c>
      <c r="CF175" s="1">
        <v>2.6045511566892096E-2</v>
      </c>
      <c r="CG175" s="3">
        <f t="shared" si="346"/>
        <v>2.2918513892021024E-2</v>
      </c>
      <c r="CH175" s="11">
        <f t="shared" si="355"/>
        <v>0.96690784542184105</v>
      </c>
      <c r="CI175" s="3">
        <v>5.2984200651016106E-3</v>
      </c>
      <c r="CJ175" s="11">
        <v>0</v>
      </c>
      <c r="CK175" s="11"/>
      <c r="CN175" s="7">
        <v>1.5</v>
      </c>
      <c r="CO175" s="7">
        <v>0.75</v>
      </c>
      <c r="CP175" s="11">
        <v>-3.7060713183657158E-3</v>
      </c>
      <c r="CQ175" s="11">
        <v>1.5057782665553019E-2</v>
      </c>
      <c r="CR175" s="11">
        <v>-1.6332678648587381E-2</v>
      </c>
      <c r="CS175" s="1">
        <v>2.6045511566892096E-2</v>
      </c>
      <c r="CT175" s="3">
        <f t="shared" si="347"/>
        <v>2.2918513892021024E-2</v>
      </c>
      <c r="CU175" s="11">
        <f t="shared" si="356"/>
        <v>0.96690784542184105</v>
      </c>
      <c r="CV175" s="3">
        <v>5.2984200651016106E-3</v>
      </c>
      <c r="CW175" s="11">
        <v>0</v>
      </c>
      <c r="CX175" s="11"/>
      <c r="DA175" s="7">
        <v>1.5</v>
      </c>
      <c r="DB175" s="7">
        <v>0.75</v>
      </c>
      <c r="DC175" s="11">
        <v>-3.7060713183657158E-3</v>
      </c>
      <c r="DD175" s="11">
        <v>1.5057782665553019E-2</v>
      </c>
      <c r="DE175" s="11">
        <v>-1.6332678648587381E-2</v>
      </c>
      <c r="DF175" s="1">
        <v>2.6045511566892096E-2</v>
      </c>
      <c r="DG175" s="3">
        <f t="shared" si="348"/>
        <v>2.2918513892021024E-2</v>
      </c>
      <c r="DH175" s="11">
        <f t="shared" si="357"/>
        <v>0.96690784542184105</v>
      </c>
      <c r="DI175" s="3">
        <v>5.2984200651016106E-3</v>
      </c>
      <c r="DJ175" s="11">
        <v>0</v>
      </c>
      <c r="DK175" s="11"/>
    </row>
    <row r="176" spans="1:115" x14ac:dyDescent="0.25">
      <c r="A176" s="7">
        <v>1.75</v>
      </c>
      <c r="B176" s="7">
        <v>1.75</v>
      </c>
      <c r="C176" s="11">
        <v>2.7360595302820118E-4</v>
      </c>
      <c r="D176" s="11">
        <v>-2.4030576439275295E-3</v>
      </c>
      <c r="E176" s="11">
        <v>8.2169775036629259E-3</v>
      </c>
      <c r="F176" s="1">
        <v>1.522885387186146E-2</v>
      </c>
      <c r="G176" s="3">
        <f t="shared" si="340"/>
        <v>2.3715557373254037E-2</v>
      </c>
      <c r="H176" s="11">
        <f t="shared" si="349"/>
        <v>0.96139938413656245</v>
      </c>
      <c r="I176" s="3">
        <v>5.5084612852785656E-3</v>
      </c>
      <c r="J176" s="11">
        <v>0</v>
      </c>
      <c r="N176" s="7">
        <v>1.75</v>
      </c>
      <c r="O176" s="7">
        <v>1.75</v>
      </c>
      <c r="P176" s="11">
        <v>2.7360595302820118E-4</v>
      </c>
      <c r="Q176" s="11">
        <v>-2.4030576439275295E-3</v>
      </c>
      <c r="R176" s="11">
        <v>8.2169775036629259E-3</v>
      </c>
      <c r="S176" s="1">
        <v>1.522885387186146E-2</v>
      </c>
      <c r="T176" s="3">
        <f t="shared" si="341"/>
        <v>2.3715557373254037E-2</v>
      </c>
      <c r="U176" s="11">
        <f t="shared" si="350"/>
        <v>0.96139460632111406</v>
      </c>
      <c r="V176" s="3">
        <v>5.5084339101711339E-3</v>
      </c>
      <c r="W176" s="11">
        <v>0</v>
      </c>
      <c r="AA176" s="7">
        <v>1.75</v>
      </c>
      <c r="AB176" s="7">
        <v>1.75</v>
      </c>
      <c r="AC176" s="11">
        <v>2.6860595302820138E-4</v>
      </c>
      <c r="AD176" s="11">
        <v>-2.3668076439275309E-3</v>
      </c>
      <c r="AE176" s="11">
        <v>8.1310400036629302E-3</v>
      </c>
      <c r="AF176" s="1">
        <v>1.5295025746861453E-2</v>
      </c>
      <c r="AG176" s="3">
        <f t="shared" si="342"/>
        <v>2.3715557373254037E-2</v>
      </c>
      <c r="AH176" s="11">
        <f t="shared" si="351"/>
        <v>0.96139064358280646</v>
      </c>
      <c r="AI176" s="3">
        <v>5.5089557428221131E-3</v>
      </c>
      <c r="AJ176" s="11">
        <v>0</v>
      </c>
      <c r="AK176" s="11"/>
      <c r="AN176" s="7">
        <v>1.75</v>
      </c>
      <c r="AO176" s="7">
        <v>1.75</v>
      </c>
      <c r="AP176" s="11">
        <v>2.8860595302820057E-4</v>
      </c>
      <c r="AQ176" s="11">
        <v>-2.5068076439275252E-3</v>
      </c>
      <c r="AR176" s="11">
        <v>8.4422900036629171E-3</v>
      </c>
      <c r="AS176" s="1">
        <v>1.5081900746861466E-2</v>
      </c>
      <c r="AT176" s="3">
        <f t="shared" si="343"/>
        <v>2.3725557373254037E-2</v>
      </c>
      <c r="AU176" s="11">
        <f t="shared" si="352"/>
        <v>0.96139579896842597</v>
      </c>
      <c r="AV176" s="3">
        <v>5.5104686878605777E-3</v>
      </c>
      <c r="AW176" s="11">
        <v>0</v>
      </c>
      <c r="AX176" s="11"/>
      <c r="BA176" s="7">
        <v>1.75</v>
      </c>
      <c r="BB176" s="7">
        <v>1.75</v>
      </c>
      <c r="BC176" s="11">
        <v>2.5860595302820179E-4</v>
      </c>
      <c r="BD176" s="11">
        <v>-2.3043076439275335E-3</v>
      </c>
      <c r="BE176" s="11">
        <v>8.0141650036629347E-3</v>
      </c>
      <c r="BF176" s="1">
        <v>1.5361744496861455E-2</v>
      </c>
      <c r="BG176" s="3">
        <f t="shared" si="344"/>
        <v>2.3715557373254037E-2</v>
      </c>
      <c r="BH176" s="11">
        <f t="shared" si="353"/>
        <v>0.96139975760675622</v>
      </c>
      <c r="BI176" s="3">
        <v>5.5082944290728792E-3</v>
      </c>
      <c r="BJ176" s="11">
        <v>0</v>
      </c>
      <c r="BK176" s="11"/>
      <c r="BN176" s="7">
        <v>1.75</v>
      </c>
      <c r="BO176" s="7">
        <v>1.75</v>
      </c>
      <c r="BP176" s="11">
        <v>2.7860595302820097E-4</v>
      </c>
      <c r="BQ176" s="11">
        <v>-2.4343076439275282E-3</v>
      </c>
      <c r="BR176" s="11">
        <v>8.2804150036629234E-3</v>
      </c>
      <c r="BS176" s="1">
        <v>1.5186744496861459E-2</v>
      </c>
      <c r="BT176" s="3">
        <f t="shared" si="345"/>
        <v>2.3715557373254037E-2</v>
      </c>
      <c r="BU176" s="11">
        <f t="shared" si="354"/>
        <v>0.96139938413656245</v>
      </c>
      <c r="BV176" s="3">
        <v>5.5084612852785656E-3</v>
      </c>
      <c r="BW176" s="11">
        <v>0</v>
      </c>
      <c r="BX176" s="11"/>
      <c r="CA176" s="7">
        <v>1.75</v>
      </c>
      <c r="CB176" s="7">
        <v>1.75</v>
      </c>
      <c r="CC176" s="11">
        <v>2.7360595302820118E-4</v>
      </c>
      <c r="CD176" s="11">
        <v>-2.4030576439275295E-3</v>
      </c>
      <c r="CE176" s="11">
        <v>8.2169775036629259E-3</v>
      </c>
      <c r="CF176" s="1">
        <v>1.522885387186146E-2</v>
      </c>
      <c r="CG176" s="3">
        <f t="shared" si="346"/>
        <v>2.3715557373254037E-2</v>
      </c>
      <c r="CH176" s="11">
        <f t="shared" si="355"/>
        <v>0.96139938413656245</v>
      </c>
      <c r="CI176" s="3">
        <v>5.5084612852785656E-3</v>
      </c>
      <c r="CJ176" s="11">
        <v>0</v>
      </c>
      <c r="CK176" s="11"/>
      <c r="CN176" s="7">
        <v>1.75</v>
      </c>
      <c r="CO176" s="7">
        <v>1.75</v>
      </c>
      <c r="CP176" s="11">
        <v>2.7360595302820118E-4</v>
      </c>
      <c r="CQ176" s="11">
        <v>-2.4030576439275295E-3</v>
      </c>
      <c r="CR176" s="11">
        <v>8.2169775036629259E-3</v>
      </c>
      <c r="CS176" s="1">
        <v>1.522885387186146E-2</v>
      </c>
      <c r="CT176" s="3">
        <f t="shared" si="347"/>
        <v>2.3715557373254037E-2</v>
      </c>
      <c r="CU176" s="11">
        <f t="shared" si="356"/>
        <v>0.96139938413656245</v>
      </c>
      <c r="CV176" s="3">
        <v>5.5084612852785656E-3</v>
      </c>
      <c r="CW176" s="11">
        <v>0</v>
      </c>
      <c r="CX176" s="11"/>
      <c r="DA176" s="7">
        <v>1.75</v>
      </c>
      <c r="DB176" s="7">
        <v>1.75</v>
      </c>
      <c r="DC176" s="11">
        <v>2.7360595302820118E-4</v>
      </c>
      <c r="DD176" s="11">
        <v>-2.4030576439275295E-3</v>
      </c>
      <c r="DE176" s="11">
        <v>8.2169775036629259E-3</v>
      </c>
      <c r="DF176" s="1">
        <v>1.522885387186146E-2</v>
      </c>
      <c r="DG176" s="3">
        <f t="shared" si="348"/>
        <v>2.3715557373254037E-2</v>
      </c>
      <c r="DH176" s="11">
        <f t="shared" si="357"/>
        <v>0.96139938413656245</v>
      </c>
      <c r="DI176" s="3">
        <v>5.5084612852785656E-3</v>
      </c>
      <c r="DJ176" s="11">
        <v>0</v>
      </c>
      <c r="DK176" s="11"/>
    </row>
    <row r="177" spans="1:115" x14ac:dyDescent="0.25">
      <c r="A177" s="7">
        <v>2</v>
      </c>
      <c r="B177" s="7">
        <v>1.75</v>
      </c>
      <c r="C177" s="11">
        <v>2.7360595302820118E-4</v>
      </c>
      <c r="D177" s="11">
        <v>-2.4030576439275295E-3</v>
      </c>
      <c r="E177" s="11">
        <v>8.2169775036629259E-3</v>
      </c>
      <c r="F177" s="1">
        <v>1.522885387186146E-2</v>
      </c>
      <c r="G177" s="3">
        <f t="shared" si="340"/>
        <v>2.4239425927702805E-2</v>
      </c>
      <c r="H177" s="11">
        <f t="shared" si="349"/>
        <v>0.95573294923876706</v>
      </c>
      <c r="I177" s="3">
        <v>5.666434897795317E-3</v>
      </c>
      <c r="J177" s="11">
        <v>0.95573294923876706</v>
      </c>
      <c r="N177" s="7">
        <v>2</v>
      </c>
      <c r="O177" s="7">
        <v>1.75</v>
      </c>
      <c r="P177" s="11">
        <v>2.7360595302820118E-4</v>
      </c>
      <c r="Q177" s="11">
        <v>-2.4030576439275295E-3</v>
      </c>
      <c r="R177" s="11">
        <v>8.2169775036629259E-3</v>
      </c>
      <c r="S177" s="1">
        <v>1.522885387186146E-2</v>
      </c>
      <c r="T177" s="3">
        <f t="shared" si="341"/>
        <v>2.4239425927702805E-2</v>
      </c>
      <c r="U177" s="11">
        <f t="shared" si="350"/>
        <v>0.95572819958349919</v>
      </c>
      <c r="V177" s="3">
        <v>5.6664067376148153E-3</v>
      </c>
      <c r="W177" s="11">
        <v>0.95572819958349919</v>
      </c>
      <c r="AA177" s="7">
        <v>2</v>
      </c>
      <c r="AB177" s="7">
        <v>1.75</v>
      </c>
      <c r="AC177" s="11">
        <v>2.6860595302820138E-4</v>
      </c>
      <c r="AD177" s="11">
        <v>-2.3668076439275309E-3</v>
      </c>
      <c r="AE177" s="11">
        <v>8.1310400036629302E-3</v>
      </c>
      <c r="AF177" s="1">
        <v>1.5295025746861453E-2</v>
      </c>
      <c r="AG177" s="3">
        <f t="shared" si="342"/>
        <v>2.4238722802702801E-2</v>
      </c>
      <c r="AH177" s="11">
        <f t="shared" si="351"/>
        <v>0.95572426020135237</v>
      </c>
      <c r="AI177" s="3">
        <v>5.6663833814539852E-3</v>
      </c>
      <c r="AJ177" s="11">
        <v>0.95572426020135237</v>
      </c>
      <c r="AK177" s="11"/>
      <c r="AN177" s="7">
        <v>2</v>
      </c>
      <c r="AO177" s="7">
        <v>1.75</v>
      </c>
      <c r="AP177" s="11">
        <v>2.8860595302820057E-4</v>
      </c>
      <c r="AQ177" s="11">
        <v>-2.5068076439275252E-3</v>
      </c>
      <c r="AR177" s="11">
        <v>8.4422900036629171E-3</v>
      </c>
      <c r="AS177" s="1">
        <v>1.5081900746861466E-2</v>
      </c>
      <c r="AT177" s="3">
        <f t="shared" si="343"/>
        <v>2.4248097802702803E-2</v>
      </c>
      <c r="AU177" s="11">
        <f t="shared" si="352"/>
        <v>0.95572700996639448</v>
      </c>
      <c r="AV177" s="3">
        <v>5.6687890020315559E-3</v>
      </c>
      <c r="AW177" s="11">
        <v>0.95572700996639448</v>
      </c>
      <c r="AX177" s="11"/>
      <c r="BA177" s="7">
        <v>2</v>
      </c>
      <c r="BB177" s="7">
        <v>1.75</v>
      </c>
      <c r="BC177" s="11">
        <v>2.5860595302820179E-4</v>
      </c>
      <c r="BD177" s="11">
        <v>-2.3043076439275335E-3</v>
      </c>
      <c r="BE177" s="11">
        <v>8.0141650036629347E-3</v>
      </c>
      <c r="BF177" s="1">
        <v>1.5361744496861455E-2</v>
      </c>
      <c r="BG177" s="3">
        <f t="shared" si="344"/>
        <v>2.4241691552702803E-2</v>
      </c>
      <c r="BH177" s="11">
        <f t="shared" si="353"/>
        <v>0.95573332050774817</v>
      </c>
      <c r="BI177" s="3">
        <v>5.666437099008023E-3</v>
      </c>
      <c r="BJ177" s="11">
        <v>0.95573332050774817</v>
      </c>
      <c r="BK177" s="11"/>
      <c r="BN177" s="7">
        <v>2</v>
      </c>
      <c r="BO177" s="7">
        <v>1.75</v>
      </c>
      <c r="BP177" s="11">
        <v>2.7860595302820097E-4</v>
      </c>
      <c r="BQ177" s="11">
        <v>-2.4343076439275282E-3</v>
      </c>
      <c r="BR177" s="11">
        <v>8.2804150036629234E-3</v>
      </c>
      <c r="BS177" s="1">
        <v>1.5186744496861459E-2</v>
      </c>
      <c r="BT177" s="3">
        <f t="shared" si="345"/>
        <v>2.42391915527028E-2</v>
      </c>
      <c r="BU177" s="11">
        <f t="shared" si="354"/>
        <v>0.95573294923876706</v>
      </c>
      <c r="BV177" s="3">
        <v>5.666434897795317E-3</v>
      </c>
      <c r="BW177" s="11">
        <v>0.95573294923876706</v>
      </c>
      <c r="BX177" s="11"/>
      <c r="CA177" s="7">
        <v>2</v>
      </c>
      <c r="CB177" s="7">
        <v>1.75</v>
      </c>
      <c r="CC177" s="11">
        <v>2.7360595302820118E-4</v>
      </c>
      <c r="CD177" s="11">
        <v>-2.4030576439275295E-3</v>
      </c>
      <c r="CE177" s="11">
        <v>8.2169775036629259E-3</v>
      </c>
      <c r="CF177" s="1">
        <v>1.522885387186146E-2</v>
      </c>
      <c r="CG177" s="3">
        <f t="shared" si="346"/>
        <v>2.4239425927702805E-2</v>
      </c>
      <c r="CH177" s="11">
        <f t="shared" si="355"/>
        <v>0.95573294923876706</v>
      </c>
      <c r="CI177" s="3">
        <v>5.666434897795317E-3</v>
      </c>
      <c r="CJ177" s="11">
        <v>0.95573294923876706</v>
      </c>
      <c r="CK177" s="11"/>
      <c r="CN177" s="7">
        <v>2</v>
      </c>
      <c r="CO177" s="7">
        <v>1.75</v>
      </c>
      <c r="CP177" s="11">
        <v>2.7360595302820118E-4</v>
      </c>
      <c r="CQ177" s="11">
        <v>-2.4030576439275295E-3</v>
      </c>
      <c r="CR177" s="11">
        <v>8.2169775036629259E-3</v>
      </c>
      <c r="CS177" s="1">
        <v>1.522885387186146E-2</v>
      </c>
      <c r="CT177" s="3">
        <f t="shared" si="347"/>
        <v>2.4239425927702805E-2</v>
      </c>
      <c r="CU177" s="11">
        <f t="shared" si="356"/>
        <v>0.95573294923876706</v>
      </c>
      <c r="CV177" s="3">
        <v>5.666434897795317E-3</v>
      </c>
      <c r="CW177" s="11">
        <v>0.95573294923876706</v>
      </c>
      <c r="CX177" s="11"/>
      <c r="DA177" s="7">
        <v>2</v>
      </c>
      <c r="DB177" s="7">
        <v>1.75</v>
      </c>
      <c r="DC177" s="11">
        <v>2.7360595302820118E-4</v>
      </c>
      <c r="DD177" s="11">
        <v>-2.4030576439275295E-3</v>
      </c>
      <c r="DE177" s="11">
        <v>8.2169775036629259E-3</v>
      </c>
      <c r="DF177" s="1">
        <v>1.522885387186146E-2</v>
      </c>
      <c r="DG177" s="3">
        <f t="shared" si="348"/>
        <v>2.4239425927702805E-2</v>
      </c>
      <c r="DH177" s="11">
        <f t="shared" si="357"/>
        <v>0.95573294923876706</v>
      </c>
      <c r="DI177" s="3">
        <v>5.666434897795317E-3</v>
      </c>
      <c r="DJ177" s="11">
        <v>0.95573294923876706</v>
      </c>
      <c r="DK177" s="11"/>
    </row>
    <row r="178" spans="1:115" x14ac:dyDescent="0.25">
      <c r="A178" s="7">
        <v>2.25</v>
      </c>
      <c r="B178" s="7">
        <v>1.75</v>
      </c>
      <c r="C178" s="11">
        <v>2.7360595302820118E-4</v>
      </c>
      <c r="D178" s="11">
        <v>-2.4030576439275295E-3</v>
      </c>
      <c r="E178" s="11">
        <v>8.2169775036629259E-3</v>
      </c>
      <c r="F178" s="1">
        <v>1.522885387186146E-2</v>
      </c>
      <c r="G178" s="3">
        <f t="shared" si="340"/>
        <v>2.4668116741431781E-2</v>
      </c>
      <c r="H178" s="11">
        <f t="shared" si="349"/>
        <v>0.94997622962599271</v>
      </c>
      <c r="I178" s="3">
        <v>5.7567196127744106E-3</v>
      </c>
      <c r="J178" s="11">
        <v>0</v>
      </c>
      <c r="N178" s="7">
        <v>2.25</v>
      </c>
      <c r="O178" s="7">
        <v>1.75</v>
      </c>
      <c r="P178" s="11">
        <v>2.7360595302820118E-4</v>
      </c>
      <c r="Q178" s="11">
        <v>-2.4030576439275295E-3</v>
      </c>
      <c r="R178" s="11">
        <v>8.2169775036629259E-3</v>
      </c>
      <c r="S178" s="1">
        <v>1.522885387186146E-2</v>
      </c>
      <c r="T178" s="3">
        <f t="shared" si="341"/>
        <v>2.4668116741431781E-2</v>
      </c>
      <c r="U178" s="11">
        <f t="shared" si="350"/>
        <v>0.94997150857958845</v>
      </c>
      <c r="V178" s="3">
        <v>5.7566910039107558E-3</v>
      </c>
      <c r="W178" s="11">
        <v>0</v>
      </c>
      <c r="AA178" s="7">
        <v>2.25</v>
      </c>
      <c r="AB178" s="7">
        <v>1.75</v>
      </c>
      <c r="AC178" s="11">
        <v>2.6860595302820138E-4</v>
      </c>
      <c r="AD178" s="11">
        <v>-2.3668076439275309E-3</v>
      </c>
      <c r="AE178" s="11">
        <v>8.1310400036629302E-3</v>
      </c>
      <c r="AF178" s="1">
        <v>1.5295025746861453E-2</v>
      </c>
      <c r="AG178" s="3">
        <f t="shared" si="342"/>
        <v>2.4667491741431777E-2</v>
      </c>
      <c r="AH178" s="11">
        <f t="shared" si="351"/>
        <v>0.94996775890644292</v>
      </c>
      <c r="AI178" s="3">
        <v>5.7565012949095185E-3</v>
      </c>
      <c r="AJ178" s="11">
        <v>0</v>
      </c>
      <c r="AK178" s="11"/>
      <c r="AN178" s="7">
        <v>2.25</v>
      </c>
      <c r="AO178" s="7">
        <v>1.75</v>
      </c>
      <c r="AP178" s="11">
        <v>2.8860595302820057E-4</v>
      </c>
      <c r="AQ178" s="11">
        <v>-2.5068076439275252E-3</v>
      </c>
      <c r="AR178" s="11">
        <v>8.4422900036629171E-3</v>
      </c>
      <c r="AS178" s="1">
        <v>1.5081900746861466E-2</v>
      </c>
      <c r="AT178" s="3">
        <f t="shared" si="343"/>
        <v>2.4673741741431783E-2</v>
      </c>
      <c r="AU178" s="11">
        <f t="shared" si="352"/>
        <v>0.94996827903153891</v>
      </c>
      <c r="AV178" s="3">
        <v>5.7587309348555056E-3</v>
      </c>
      <c r="AW178" s="11">
        <v>0</v>
      </c>
      <c r="AX178" s="11"/>
      <c r="BA178" s="7">
        <v>2.25</v>
      </c>
      <c r="BB178" s="7">
        <v>1.75</v>
      </c>
      <c r="BC178" s="11">
        <v>2.5860595302820179E-4</v>
      </c>
      <c r="BD178" s="11">
        <v>-2.3043076439275335E-3</v>
      </c>
      <c r="BE178" s="11">
        <v>8.0141650036629347E-3</v>
      </c>
      <c r="BF178" s="1">
        <v>1.5361744496861455E-2</v>
      </c>
      <c r="BG178" s="3">
        <f t="shared" si="344"/>
        <v>2.4673741741431783E-2</v>
      </c>
      <c r="BH178" s="11">
        <f t="shared" si="353"/>
        <v>0.94997606382731004</v>
      </c>
      <c r="BI178" s="3">
        <v>5.7572566804380901E-3</v>
      </c>
      <c r="BJ178" s="11">
        <v>0</v>
      </c>
      <c r="BK178" s="11"/>
      <c r="BN178" s="7">
        <v>2.25</v>
      </c>
      <c r="BO178" s="7">
        <v>1.75</v>
      </c>
      <c r="BP178" s="11">
        <v>2.7860595302820097E-4</v>
      </c>
      <c r="BQ178" s="11">
        <v>-2.4343076439275282E-3</v>
      </c>
      <c r="BR178" s="11">
        <v>8.2804150036629234E-3</v>
      </c>
      <c r="BS178" s="1">
        <v>1.5186744496861459E-2</v>
      </c>
      <c r="BT178" s="3">
        <f t="shared" si="345"/>
        <v>2.4667491741431777E-2</v>
      </c>
      <c r="BU178" s="11">
        <f t="shared" si="354"/>
        <v>0.94997628495338948</v>
      </c>
      <c r="BV178" s="3">
        <v>5.756664285377547E-3</v>
      </c>
      <c r="BW178" s="11">
        <v>0</v>
      </c>
      <c r="BX178" s="11"/>
      <c r="CA178" s="7">
        <v>2.25</v>
      </c>
      <c r="CB178" s="7">
        <v>1.75</v>
      </c>
      <c r="CC178" s="11">
        <v>2.7360595302820118E-4</v>
      </c>
      <c r="CD178" s="11">
        <v>-2.4030576439275295E-3</v>
      </c>
      <c r="CE178" s="11">
        <v>8.2169775036629259E-3</v>
      </c>
      <c r="CF178" s="1">
        <v>1.522885387186146E-2</v>
      </c>
      <c r="CG178" s="3">
        <f t="shared" si="346"/>
        <v>2.4668116741431781E-2</v>
      </c>
      <c r="CH178" s="11">
        <f t="shared" si="355"/>
        <v>0.94997622962599271</v>
      </c>
      <c r="CI178" s="3">
        <v>5.7567196127744106E-3</v>
      </c>
      <c r="CJ178" s="11">
        <v>0</v>
      </c>
      <c r="CK178" s="11"/>
      <c r="CN178" s="7">
        <v>2.25</v>
      </c>
      <c r="CO178" s="7">
        <v>1.75</v>
      </c>
      <c r="CP178" s="11">
        <v>2.7360595302820118E-4</v>
      </c>
      <c r="CQ178" s="11">
        <v>-2.4030576439275295E-3</v>
      </c>
      <c r="CR178" s="11">
        <v>8.2169775036629259E-3</v>
      </c>
      <c r="CS178" s="1">
        <v>1.522885387186146E-2</v>
      </c>
      <c r="CT178" s="3">
        <f t="shared" si="347"/>
        <v>2.4668116741431781E-2</v>
      </c>
      <c r="CU178" s="11">
        <f t="shared" si="356"/>
        <v>0.94997622962599271</v>
      </c>
      <c r="CV178" s="3">
        <v>5.7567196127744106E-3</v>
      </c>
      <c r="CW178" s="11">
        <v>0</v>
      </c>
      <c r="CX178" s="11"/>
      <c r="DA178" s="7">
        <v>2.25</v>
      </c>
      <c r="DB178" s="7">
        <v>1.75</v>
      </c>
      <c r="DC178" s="11">
        <v>2.7360595302820118E-4</v>
      </c>
      <c r="DD178" s="11">
        <v>-2.4030576439275295E-3</v>
      </c>
      <c r="DE178" s="11">
        <v>8.2169775036629259E-3</v>
      </c>
      <c r="DF178" s="1">
        <v>1.522885387186146E-2</v>
      </c>
      <c r="DG178" s="3">
        <f t="shared" si="348"/>
        <v>2.4668116741431781E-2</v>
      </c>
      <c r="DH178" s="11">
        <f t="shared" si="357"/>
        <v>0.94997622962599271</v>
      </c>
      <c r="DI178" s="3">
        <v>5.7567196127744106E-3</v>
      </c>
      <c r="DJ178" s="11">
        <v>0</v>
      </c>
      <c r="DK178" s="11"/>
    </row>
    <row r="179" spans="1:115" x14ac:dyDescent="0.25">
      <c r="A179" s="7">
        <v>2.5</v>
      </c>
      <c r="B179" s="7">
        <v>1.75</v>
      </c>
      <c r="C179" s="11">
        <v>2.7360595302820118E-4</v>
      </c>
      <c r="D179" s="11">
        <v>-2.4030576439275295E-3</v>
      </c>
      <c r="E179" s="11">
        <v>8.2169775036629259E-3</v>
      </c>
      <c r="F179" s="1">
        <v>1.522885387186146E-2</v>
      </c>
      <c r="G179" s="3">
        <f t="shared" si="340"/>
        <v>2.5027280372537361E-2</v>
      </c>
      <c r="H179" s="11">
        <f t="shared" si="349"/>
        <v>0.94415360677753468</v>
      </c>
      <c r="I179" s="3">
        <v>5.8226228484580256E-3</v>
      </c>
      <c r="J179" s="11">
        <v>0</v>
      </c>
      <c r="N179" s="7">
        <v>2.5</v>
      </c>
      <c r="O179" s="7">
        <v>1.75</v>
      </c>
      <c r="P179" s="11">
        <v>2.7360595302820118E-4</v>
      </c>
      <c r="Q179" s="11">
        <v>-2.4030576439275295E-3</v>
      </c>
      <c r="R179" s="11">
        <v>8.2169775036629259E-3</v>
      </c>
      <c r="S179" s="1">
        <v>1.522885387186146E-2</v>
      </c>
      <c r="T179" s="3">
        <f t="shared" si="341"/>
        <v>2.5027280372537361E-2</v>
      </c>
      <c r="U179" s="11">
        <f t="shared" si="350"/>
        <v>0.94414891466750994</v>
      </c>
      <c r="V179" s="3">
        <v>5.822593912078562E-3</v>
      </c>
      <c r="W179" s="11">
        <v>0</v>
      </c>
      <c r="AA179" s="7">
        <v>2.5</v>
      </c>
      <c r="AB179" s="7">
        <v>1.75</v>
      </c>
      <c r="AC179" s="11">
        <v>2.6860595302820138E-4</v>
      </c>
      <c r="AD179" s="11">
        <v>-2.3668076439275309E-3</v>
      </c>
      <c r="AE179" s="11">
        <v>8.1310400036629302E-3</v>
      </c>
      <c r="AF179" s="1">
        <v>1.5295025746861453E-2</v>
      </c>
      <c r="AG179" s="3">
        <f t="shared" si="342"/>
        <v>2.5027045997537356E-2</v>
      </c>
      <c r="AH179" s="11">
        <f t="shared" si="351"/>
        <v>0.94414533459548167</v>
      </c>
      <c r="AI179" s="3">
        <v>5.8224243109613466E-3</v>
      </c>
      <c r="AJ179" s="11">
        <v>0</v>
      </c>
      <c r="AK179" s="11"/>
      <c r="AN179" s="7">
        <v>2.5</v>
      </c>
      <c r="AO179" s="7">
        <v>1.75</v>
      </c>
      <c r="AP179" s="11">
        <v>2.8860595302820057E-4</v>
      </c>
      <c r="AQ179" s="11">
        <v>-2.5068076439275252E-3</v>
      </c>
      <c r="AR179" s="11">
        <v>8.4422900036629171E-3</v>
      </c>
      <c r="AS179" s="1">
        <v>1.5081900746861466E-2</v>
      </c>
      <c r="AT179" s="3">
        <f t="shared" si="343"/>
        <v>2.5029545997537359E-2</v>
      </c>
      <c r="AU179" s="11">
        <f t="shared" si="352"/>
        <v>0.94414438534885881</v>
      </c>
      <c r="AV179" s="3">
        <v>5.8238936826801478E-3</v>
      </c>
      <c r="AW179" s="11">
        <v>0</v>
      </c>
      <c r="AX179" s="11"/>
      <c r="BA179" s="7">
        <v>2.5</v>
      </c>
      <c r="BB179" s="7">
        <v>1.75</v>
      </c>
      <c r="BC179" s="11">
        <v>2.5860595302820179E-4</v>
      </c>
      <c r="BD179" s="11">
        <v>-2.3043076439275335E-3</v>
      </c>
      <c r="BE179" s="11">
        <v>8.0141650036629347E-3</v>
      </c>
      <c r="BF179" s="1">
        <v>1.5361744496861455E-2</v>
      </c>
      <c r="BG179" s="3">
        <f t="shared" si="344"/>
        <v>2.5035952247537359E-2</v>
      </c>
      <c r="BH179" s="11">
        <f t="shared" si="353"/>
        <v>0.94415212241901214</v>
      </c>
      <c r="BI179" s="3">
        <v>5.8239414082978478E-3</v>
      </c>
      <c r="BJ179" s="11">
        <v>0</v>
      </c>
      <c r="BK179" s="11"/>
      <c r="BN179" s="7">
        <v>2.5</v>
      </c>
      <c r="BO179" s="7">
        <v>1.75</v>
      </c>
      <c r="BP179" s="11">
        <v>2.7860595302820097E-4</v>
      </c>
      <c r="BQ179" s="11">
        <v>-2.4343076439275282E-3</v>
      </c>
      <c r="BR179" s="11">
        <v>8.2804150036629234E-3</v>
      </c>
      <c r="BS179" s="1">
        <v>1.5186744496861459E-2</v>
      </c>
      <c r="BT179" s="3">
        <f t="shared" si="345"/>
        <v>2.5026577247537353E-2</v>
      </c>
      <c r="BU179" s="11">
        <f t="shared" si="354"/>
        <v>0.944153808385641</v>
      </c>
      <c r="BV179" s="3">
        <v>5.8224765677485401E-3</v>
      </c>
      <c r="BW179" s="11">
        <v>0</v>
      </c>
      <c r="BX179" s="11"/>
      <c r="CA179" s="7">
        <v>2.5</v>
      </c>
      <c r="CB179" s="7">
        <v>1.75</v>
      </c>
      <c r="CC179" s="11">
        <v>2.7360595302820118E-4</v>
      </c>
      <c r="CD179" s="11">
        <v>-2.4030576439275295E-3</v>
      </c>
      <c r="CE179" s="11">
        <v>8.2169775036629259E-3</v>
      </c>
      <c r="CF179" s="1">
        <v>1.522885387186146E-2</v>
      </c>
      <c r="CG179" s="3">
        <f t="shared" si="346"/>
        <v>2.5027280372537361E-2</v>
      </c>
      <c r="CH179" s="11">
        <f t="shared" si="355"/>
        <v>0.94415360677753468</v>
      </c>
      <c r="CI179" s="3">
        <v>5.8226228484580256E-3</v>
      </c>
      <c r="CJ179" s="11">
        <v>0</v>
      </c>
      <c r="CK179" s="11"/>
      <c r="CN179" s="7">
        <v>2.5</v>
      </c>
      <c r="CO179" s="7">
        <v>1.75</v>
      </c>
      <c r="CP179" s="11">
        <v>2.7360595302820118E-4</v>
      </c>
      <c r="CQ179" s="11">
        <v>-2.4030576439275295E-3</v>
      </c>
      <c r="CR179" s="11">
        <v>8.2169775036629259E-3</v>
      </c>
      <c r="CS179" s="1">
        <v>1.522885387186146E-2</v>
      </c>
      <c r="CT179" s="3">
        <f t="shared" si="347"/>
        <v>2.5027280372537361E-2</v>
      </c>
      <c r="CU179" s="11">
        <f t="shared" si="356"/>
        <v>0.94415360677753468</v>
      </c>
      <c r="CV179" s="3">
        <v>5.8226228484580256E-3</v>
      </c>
      <c r="CW179" s="11">
        <v>0</v>
      </c>
      <c r="CX179" s="11"/>
      <c r="DA179" s="7">
        <v>2.5</v>
      </c>
      <c r="DB179" s="7">
        <v>1.75</v>
      </c>
      <c r="DC179" s="11">
        <v>2.7360595302820118E-4</v>
      </c>
      <c r="DD179" s="11">
        <v>-2.4030576439275295E-3</v>
      </c>
      <c r="DE179" s="11">
        <v>8.2169775036629259E-3</v>
      </c>
      <c r="DF179" s="1">
        <v>1.522885387186146E-2</v>
      </c>
      <c r="DG179" s="3">
        <f t="shared" si="348"/>
        <v>2.5027280372537361E-2</v>
      </c>
      <c r="DH179" s="11">
        <f t="shared" si="357"/>
        <v>0.94415360677753468</v>
      </c>
      <c r="DI179" s="3">
        <v>5.8226228484580256E-3</v>
      </c>
      <c r="DJ179" s="11">
        <v>0</v>
      </c>
      <c r="DK179" s="11"/>
    </row>
    <row r="180" spans="1:115" x14ac:dyDescent="0.25">
      <c r="A180" s="7">
        <v>2.75</v>
      </c>
      <c r="B180" s="7">
        <v>2.75</v>
      </c>
      <c r="C180" s="11">
        <v>7.6954098055849116E-4</v>
      </c>
      <c r="D180" s="11">
        <v>-7.5376685546391141E-3</v>
      </c>
      <c r="E180" s="11">
        <v>2.5205811575483184E-2</v>
      </c>
      <c r="F180" s="1">
        <v>-2.9738435890568904E-3</v>
      </c>
      <c r="G180" s="3">
        <f t="shared" si="340"/>
        <v>2.5342567379115929E-2</v>
      </c>
      <c r="H180" s="11">
        <f t="shared" si="349"/>
        <v>0.93828293923031336</v>
      </c>
      <c r="I180" s="3">
        <v>5.8706675472213719E-3</v>
      </c>
      <c r="J180" s="11">
        <v>0</v>
      </c>
      <c r="N180" s="7">
        <v>2.75</v>
      </c>
      <c r="O180" s="7">
        <v>2.75</v>
      </c>
      <c r="P180" s="11">
        <v>7.6954098055849116E-4</v>
      </c>
      <c r="Q180" s="11">
        <v>-7.5376685546391141E-3</v>
      </c>
      <c r="R180" s="11">
        <v>2.5205811575483184E-2</v>
      </c>
      <c r="S180" s="1">
        <v>-2.9738435890568904E-3</v>
      </c>
      <c r="T180" s="3">
        <f t="shared" si="341"/>
        <v>2.5342567379115929E-2</v>
      </c>
      <c r="U180" s="11">
        <f t="shared" si="350"/>
        <v>0.93827827629543326</v>
      </c>
      <c r="V180" s="3">
        <v>5.8706383720767211E-3</v>
      </c>
      <c r="W180" s="11">
        <v>0</v>
      </c>
      <c r="AA180" s="7">
        <v>2.75</v>
      </c>
      <c r="AB180" s="7">
        <v>2.75</v>
      </c>
      <c r="AC180" s="11">
        <v>7.6954098055849116E-4</v>
      </c>
      <c r="AD180" s="11">
        <v>-7.5376685546391141E-3</v>
      </c>
      <c r="AE180" s="11">
        <v>2.5205811575483184E-2</v>
      </c>
      <c r="AF180" s="1">
        <v>-2.9738435890568904E-3</v>
      </c>
      <c r="AG180" s="3">
        <f t="shared" si="342"/>
        <v>2.5342567379115929E-2</v>
      </c>
      <c r="AH180" s="11">
        <f t="shared" si="351"/>
        <v>0.93827477311918606</v>
      </c>
      <c r="AI180" s="3">
        <v>5.8705614762956989E-3</v>
      </c>
      <c r="AJ180" s="11">
        <v>0</v>
      </c>
      <c r="AK180" s="11"/>
      <c r="AN180" s="7">
        <v>2.75</v>
      </c>
      <c r="AO180" s="7">
        <v>2.75</v>
      </c>
      <c r="AP180" s="11">
        <v>7.6454098055849136E-4</v>
      </c>
      <c r="AQ180" s="11">
        <v>-7.4864185546391158E-3</v>
      </c>
      <c r="AR180" s="11">
        <v>2.5032374075483192E-2</v>
      </c>
      <c r="AS180" s="1">
        <v>-2.7804842140569108E-3</v>
      </c>
      <c r="AT180" s="3">
        <f t="shared" si="343"/>
        <v>2.5342567379115929E-2</v>
      </c>
      <c r="AU180" s="11">
        <f t="shared" si="352"/>
        <v>0.93827324700034542</v>
      </c>
      <c r="AV180" s="3">
        <v>5.8711383485134695E-3</v>
      </c>
      <c r="AW180" s="11">
        <v>0</v>
      </c>
      <c r="AX180" s="11"/>
      <c r="BA180" s="7">
        <v>2.75</v>
      </c>
      <c r="BB180" s="7">
        <v>2.75</v>
      </c>
      <c r="BC180" s="11">
        <v>7.8454098055849054E-4</v>
      </c>
      <c r="BD180" s="11">
        <v>-7.6864185546391076E-3</v>
      </c>
      <c r="BE180" s="11">
        <v>2.5683624075483167E-2</v>
      </c>
      <c r="BF180" s="1">
        <v>-3.464859214056884E-3</v>
      </c>
      <c r="BG180" s="3">
        <f t="shared" si="344"/>
        <v>2.5352567379115926E-2</v>
      </c>
      <c r="BH180" s="11">
        <f t="shared" si="353"/>
        <v>0.9382794425891352</v>
      </c>
      <c r="BI180" s="3">
        <v>5.8726798298768899E-3</v>
      </c>
      <c r="BJ180" s="11">
        <v>0</v>
      </c>
      <c r="BK180" s="11"/>
      <c r="BN180" s="7">
        <v>2.75</v>
      </c>
      <c r="BO180" s="7">
        <v>2.75</v>
      </c>
      <c r="BP180" s="11">
        <v>7.5454098055849177E-4</v>
      </c>
      <c r="BQ180" s="11">
        <v>-7.3939185546391204E-3</v>
      </c>
      <c r="BR180" s="11">
        <v>2.4760499075483205E-2</v>
      </c>
      <c r="BS180" s="1">
        <v>-2.5243904640569192E-3</v>
      </c>
      <c r="BT180" s="3">
        <f t="shared" si="345"/>
        <v>2.5342567379115943E-2</v>
      </c>
      <c r="BU180" s="11">
        <f t="shared" si="354"/>
        <v>0.93828330349191225</v>
      </c>
      <c r="BV180" s="3">
        <v>5.870504893728719E-3</v>
      </c>
      <c r="BW180" s="11">
        <v>0</v>
      </c>
      <c r="BX180" s="11"/>
      <c r="CA180" s="7">
        <v>2.75</v>
      </c>
      <c r="CB180" s="7">
        <v>2.75</v>
      </c>
      <c r="CC180" s="11">
        <v>7.7454098055849095E-4</v>
      </c>
      <c r="CD180" s="11">
        <v>-7.5839185546391127E-3</v>
      </c>
      <c r="CE180" s="11">
        <v>2.534674907548318E-2</v>
      </c>
      <c r="CF180" s="1">
        <v>-3.115640464056893E-3</v>
      </c>
      <c r="CG180" s="3">
        <f t="shared" si="346"/>
        <v>2.5342567379115936E-2</v>
      </c>
      <c r="CH180" s="11">
        <f t="shared" si="355"/>
        <v>0.93828293923031336</v>
      </c>
      <c r="CI180" s="3">
        <v>5.8706675472213719E-3</v>
      </c>
      <c r="CJ180" s="11">
        <v>0</v>
      </c>
      <c r="CK180" s="11"/>
      <c r="CN180" s="7">
        <v>2.75</v>
      </c>
      <c r="CO180" s="7">
        <v>2.75</v>
      </c>
      <c r="CP180" s="11">
        <v>7.6954098055849116E-4</v>
      </c>
      <c r="CQ180" s="11">
        <v>-7.5376685546391141E-3</v>
      </c>
      <c r="CR180" s="11">
        <v>2.5205811575483184E-2</v>
      </c>
      <c r="CS180" s="1">
        <v>-2.9738435890568904E-3</v>
      </c>
      <c r="CT180" s="3">
        <f t="shared" si="347"/>
        <v>2.5342567379115929E-2</v>
      </c>
      <c r="CU180" s="11">
        <f t="shared" si="356"/>
        <v>0.93828293923031336</v>
      </c>
      <c r="CV180" s="3">
        <v>5.8706675472213719E-3</v>
      </c>
      <c r="CW180" s="11">
        <v>0</v>
      </c>
      <c r="CX180" s="11"/>
      <c r="DA180" s="7">
        <v>2.75</v>
      </c>
      <c r="DB180" s="7">
        <v>2.75</v>
      </c>
      <c r="DC180" s="11">
        <v>7.6954098055849116E-4</v>
      </c>
      <c r="DD180" s="11">
        <v>-7.5376685546391141E-3</v>
      </c>
      <c r="DE180" s="11">
        <v>2.5205811575483184E-2</v>
      </c>
      <c r="DF180" s="1">
        <v>-2.9738435890568904E-3</v>
      </c>
      <c r="DG180" s="3">
        <f t="shared" si="348"/>
        <v>2.5342567379115929E-2</v>
      </c>
      <c r="DH180" s="11">
        <f t="shared" si="357"/>
        <v>0.93828293923031336</v>
      </c>
      <c r="DI180" s="3">
        <v>5.8706675472213719E-3</v>
      </c>
      <c r="DJ180" s="11">
        <v>0</v>
      </c>
      <c r="DK180" s="11"/>
    </row>
    <row r="181" spans="1:115" x14ac:dyDescent="0.25">
      <c r="A181" s="7">
        <v>3</v>
      </c>
      <c r="B181" s="7">
        <v>2.75</v>
      </c>
      <c r="C181" s="11">
        <v>7.6954098055849116E-4</v>
      </c>
      <c r="D181" s="11">
        <v>-7.5376685546391141E-3</v>
      </c>
      <c r="E181" s="11">
        <v>2.5205811575483184E-2</v>
      </c>
      <c r="F181" s="1">
        <v>-2.9738435890568904E-3</v>
      </c>
      <c r="G181" s="3">
        <f t="shared" si="340"/>
        <v>2.5582180620719888E-2</v>
      </c>
      <c r="H181" s="11">
        <f t="shared" si="349"/>
        <v>0.93237574047391003</v>
      </c>
      <c r="I181" s="3">
        <v>5.9071987564032931E-3</v>
      </c>
      <c r="J181" s="11">
        <v>0.93237574047391003</v>
      </c>
      <c r="N181" s="7">
        <v>3</v>
      </c>
      <c r="O181" s="7">
        <v>2.75</v>
      </c>
      <c r="P181" s="11">
        <v>7.6954098055849116E-4</v>
      </c>
      <c r="Q181" s="11">
        <v>-7.5376685546391141E-3</v>
      </c>
      <c r="R181" s="11">
        <v>2.5205811575483184E-2</v>
      </c>
      <c r="S181" s="1">
        <v>-2.9738435890568904E-3</v>
      </c>
      <c r="T181" s="3">
        <f t="shared" si="341"/>
        <v>2.5582180620719888E-2</v>
      </c>
      <c r="U181" s="11">
        <f t="shared" si="350"/>
        <v>0.93237110689572178</v>
      </c>
      <c r="V181" s="3">
        <v>5.9071693997114327E-3</v>
      </c>
      <c r="W181" s="11">
        <v>0.93237110689572178</v>
      </c>
      <c r="AA181" s="7">
        <v>3</v>
      </c>
      <c r="AB181" s="7">
        <v>2.75</v>
      </c>
      <c r="AC181" s="11">
        <v>7.6954098055849116E-4</v>
      </c>
      <c r="AD181" s="11">
        <v>-7.5376685546391141E-3</v>
      </c>
      <c r="AE181" s="11">
        <v>2.5205811575483184E-2</v>
      </c>
      <c r="AF181" s="1">
        <v>-2.9738435890568904E-3</v>
      </c>
      <c r="AG181" s="3">
        <f t="shared" si="342"/>
        <v>2.5582180620719888E-2</v>
      </c>
      <c r="AH181" s="11">
        <f t="shared" si="351"/>
        <v>0.93236762577461108</v>
      </c>
      <c r="AI181" s="3">
        <v>5.9071473445748571E-3</v>
      </c>
      <c r="AJ181" s="11">
        <v>0.93236762577461108</v>
      </c>
      <c r="AK181" s="11"/>
      <c r="AN181" s="7">
        <v>3</v>
      </c>
      <c r="AO181" s="7">
        <v>2.75</v>
      </c>
      <c r="AP181" s="11">
        <v>7.6454098055849136E-4</v>
      </c>
      <c r="AQ181" s="11">
        <v>-7.4864185546391158E-3</v>
      </c>
      <c r="AR181" s="11">
        <v>2.5032374075483192E-2</v>
      </c>
      <c r="AS181" s="1">
        <v>-2.7804842140569108E-3</v>
      </c>
      <c r="AT181" s="3">
        <f t="shared" si="343"/>
        <v>2.558147749571988E-2</v>
      </c>
      <c r="AU181" s="11">
        <f t="shared" si="352"/>
        <v>0.93236610926383956</v>
      </c>
      <c r="AV181" s="3">
        <v>5.9071377365057546E-3</v>
      </c>
      <c r="AW181" s="11">
        <v>0.93236610926383956</v>
      </c>
      <c r="AX181" s="11"/>
      <c r="BA181" s="7">
        <v>3</v>
      </c>
      <c r="BB181" s="7">
        <v>2.75</v>
      </c>
      <c r="BC181" s="11">
        <v>7.8454098055849054E-4</v>
      </c>
      <c r="BD181" s="11">
        <v>-7.6864185546391076E-3</v>
      </c>
      <c r="BE181" s="11">
        <v>2.5683624075483167E-2</v>
      </c>
      <c r="BF181" s="1">
        <v>-3.464859214056884E-3</v>
      </c>
      <c r="BG181" s="3">
        <f t="shared" si="344"/>
        <v>2.5590852495719893E-2</v>
      </c>
      <c r="BH181" s="11">
        <f t="shared" si="353"/>
        <v>0.93236994959678132</v>
      </c>
      <c r="BI181" s="3">
        <v>5.9094929923538299E-3</v>
      </c>
      <c r="BJ181" s="11">
        <v>0.93236994959678132</v>
      </c>
      <c r="BK181" s="11"/>
      <c r="BN181" s="7">
        <v>3</v>
      </c>
      <c r="BO181" s="7">
        <v>2.75</v>
      </c>
      <c r="BP181" s="11">
        <v>7.5454098055849177E-4</v>
      </c>
      <c r="BQ181" s="11">
        <v>-7.3939185546391204E-3</v>
      </c>
      <c r="BR181" s="11">
        <v>2.4760499075483205E-2</v>
      </c>
      <c r="BS181" s="1">
        <v>-2.5243904640569192E-3</v>
      </c>
      <c r="BT181" s="3">
        <f t="shared" si="345"/>
        <v>2.5584446245719879E-2</v>
      </c>
      <c r="BU181" s="11">
        <f t="shared" si="354"/>
        <v>0.93237610244220737</v>
      </c>
      <c r="BV181" s="3">
        <v>5.9072010497047871E-3</v>
      </c>
      <c r="BW181" s="11">
        <v>0.93237610244220737</v>
      </c>
      <c r="BX181" s="11"/>
      <c r="CA181" s="7">
        <v>3</v>
      </c>
      <c r="CB181" s="7">
        <v>2.75</v>
      </c>
      <c r="CC181" s="11">
        <v>7.7454098055849095E-4</v>
      </c>
      <c r="CD181" s="11">
        <v>-7.5839185546391127E-3</v>
      </c>
      <c r="CE181" s="11">
        <v>2.534674907548318E-2</v>
      </c>
      <c r="CF181" s="1">
        <v>-3.115640464056893E-3</v>
      </c>
      <c r="CG181" s="3">
        <f t="shared" si="346"/>
        <v>2.5581946245719897E-2</v>
      </c>
      <c r="CH181" s="11">
        <f t="shared" si="355"/>
        <v>0.93237574047391003</v>
      </c>
      <c r="CI181" s="3">
        <v>5.9071987564032948E-3</v>
      </c>
      <c r="CJ181" s="11">
        <v>0.93237574047391003</v>
      </c>
      <c r="CK181" s="11"/>
      <c r="CN181" s="7">
        <v>3</v>
      </c>
      <c r="CO181" s="7">
        <v>2.75</v>
      </c>
      <c r="CP181" s="11">
        <v>7.6954098055849116E-4</v>
      </c>
      <c r="CQ181" s="11">
        <v>-7.5376685546391141E-3</v>
      </c>
      <c r="CR181" s="11">
        <v>2.5205811575483184E-2</v>
      </c>
      <c r="CS181" s="1">
        <v>-2.9738435890568904E-3</v>
      </c>
      <c r="CT181" s="3">
        <f t="shared" si="347"/>
        <v>2.5582180620719888E-2</v>
      </c>
      <c r="CU181" s="11">
        <f t="shared" si="356"/>
        <v>0.93237574047391003</v>
      </c>
      <c r="CV181" s="3">
        <v>5.9071987564032931E-3</v>
      </c>
      <c r="CW181" s="11">
        <v>0.93237574047391003</v>
      </c>
      <c r="CX181" s="11"/>
      <c r="DA181" s="7">
        <v>3</v>
      </c>
      <c r="DB181" s="7">
        <v>2.75</v>
      </c>
      <c r="DC181" s="11">
        <v>7.6954098055849116E-4</v>
      </c>
      <c r="DD181" s="11">
        <v>-7.5376685546391141E-3</v>
      </c>
      <c r="DE181" s="11">
        <v>2.5205811575483184E-2</v>
      </c>
      <c r="DF181" s="1">
        <v>-2.9738435890568904E-3</v>
      </c>
      <c r="DG181" s="3">
        <f t="shared" si="348"/>
        <v>2.5582180620719888E-2</v>
      </c>
      <c r="DH181" s="11">
        <f t="shared" si="357"/>
        <v>0.93237574047391003</v>
      </c>
      <c r="DI181" s="3">
        <v>5.9071987564032931E-3</v>
      </c>
      <c r="DJ181" s="11">
        <v>0.93237574047391003</v>
      </c>
      <c r="DK181" s="11"/>
    </row>
    <row r="182" spans="1:115" x14ac:dyDescent="0.25">
      <c r="A182" s="7">
        <v>3.25</v>
      </c>
      <c r="B182" s="7">
        <v>2.75</v>
      </c>
      <c r="C182" s="11">
        <v>7.6954098055849116E-4</v>
      </c>
      <c r="D182" s="11">
        <v>-7.5376685546391141E-3</v>
      </c>
      <c r="E182" s="11">
        <v>2.5205811575483184E-2</v>
      </c>
      <c r="F182" s="1">
        <v>-2.9738435890568904E-3</v>
      </c>
      <c r="G182" s="3">
        <f t="shared" si="340"/>
        <v>2.574531889612227E-2</v>
      </c>
      <c r="H182" s="11">
        <f t="shared" si="349"/>
        <v>0.92645058393034063</v>
      </c>
      <c r="I182" s="3">
        <v>5.9251565435693458E-3</v>
      </c>
      <c r="J182" s="11">
        <v>0</v>
      </c>
      <c r="N182" s="7">
        <v>3.25</v>
      </c>
      <c r="O182" s="7">
        <v>2.75</v>
      </c>
      <c r="P182" s="11">
        <v>7.6954098055849116E-4</v>
      </c>
      <c r="Q182" s="11">
        <v>-7.5376685546391141E-3</v>
      </c>
      <c r="R182" s="11">
        <v>2.5205811575483184E-2</v>
      </c>
      <c r="S182" s="1">
        <v>-2.9738435890568904E-3</v>
      </c>
      <c r="T182" s="3">
        <f t="shared" si="341"/>
        <v>2.574531889612227E-2</v>
      </c>
      <c r="U182" s="11">
        <f t="shared" si="350"/>
        <v>0.92644597979808807</v>
      </c>
      <c r="V182" s="3">
        <v>5.9251270976336248E-3</v>
      </c>
      <c r="W182" s="11">
        <v>0</v>
      </c>
      <c r="AA182" s="7">
        <v>3.25</v>
      </c>
      <c r="AB182" s="7">
        <v>2.75</v>
      </c>
      <c r="AC182" s="11">
        <v>7.6954098055849116E-4</v>
      </c>
      <c r="AD182" s="11">
        <v>-7.5376685546391141E-3</v>
      </c>
      <c r="AE182" s="11">
        <v>2.5205811575483184E-2</v>
      </c>
      <c r="AF182" s="1">
        <v>-2.9738435890568904E-3</v>
      </c>
      <c r="AG182" s="3">
        <f t="shared" si="342"/>
        <v>2.574531889612227E-2</v>
      </c>
      <c r="AH182" s="11">
        <f t="shared" si="351"/>
        <v>0.92644252079916123</v>
      </c>
      <c r="AI182" s="3">
        <v>5.9251049754497961E-3</v>
      </c>
      <c r="AJ182" s="11">
        <v>0</v>
      </c>
      <c r="AK182" s="11"/>
      <c r="AN182" s="7">
        <v>3.25</v>
      </c>
      <c r="AO182" s="7">
        <v>2.75</v>
      </c>
      <c r="AP182" s="11">
        <v>7.6454098055849136E-4</v>
      </c>
      <c r="AQ182" s="11">
        <v>-7.4864185546391158E-3</v>
      </c>
      <c r="AR182" s="11">
        <v>2.5032374075483192E-2</v>
      </c>
      <c r="AS182" s="1">
        <v>-2.7804842140569108E-3</v>
      </c>
      <c r="AT182" s="3">
        <f t="shared" si="343"/>
        <v>2.5744693896122259E-2</v>
      </c>
      <c r="AU182" s="11">
        <f t="shared" si="352"/>
        <v>0.926441175741753</v>
      </c>
      <c r="AV182" s="3">
        <v>5.9249335220864802E-3</v>
      </c>
      <c r="AW182" s="11">
        <v>0</v>
      </c>
      <c r="AX182" s="11"/>
      <c r="BA182" s="7">
        <v>3.25</v>
      </c>
      <c r="BB182" s="7">
        <v>2.75</v>
      </c>
      <c r="BC182" s="11">
        <v>7.8454098055849054E-4</v>
      </c>
      <c r="BD182" s="11">
        <v>-7.6864185546391076E-3</v>
      </c>
      <c r="BE182" s="11">
        <v>2.5683624075483167E-2</v>
      </c>
      <c r="BF182" s="1">
        <v>-3.464859214056884E-3</v>
      </c>
      <c r="BG182" s="3">
        <f t="shared" si="344"/>
        <v>2.5750943896122272E-2</v>
      </c>
      <c r="BH182" s="11">
        <f t="shared" si="353"/>
        <v>0.92644283411837136</v>
      </c>
      <c r="BI182" s="3">
        <v>5.9271154784099837E-3</v>
      </c>
      <c r="BJ182" s="11">
        <v>0</v>
      </c>
      <c r="BK182" s="11"/>
      <c r="BN182" s="7">
        <v>3.25</v>
      </c>
      <c r="BO182" s="7">
        <v>2.75</v>
      </c>
      <c r="BP182" s="11">
        <v>7.5454098055849177E-4</v>
      </c>
      <c r="BQ182" s="11">
        <v>-7.3939185546391204E-3</v>
      </c>
      <c r="BR182" s="11">
        <v>2.4760499075483205E-2</v>
      </c>
      <c r="BS182" s="1">
        <v>-2.5243904640569192E-3</v>
      </c>
      <c r="BT182" s="3">
        <f t="shared" si="345"/>
        <v>2.5750943896122265E-2</v>
      </c>
      <c r="BU182" s="11">
        <f t="shared" si="354"/>
        <v>0.92645042218577334</v>
      </c>
      <c r="BV182" s="3">
        <v>5.9256802564341014E-3</v>
      </c>
      <c r="BW182" s="11">
        <v>0</v>
      </c>
      <c r="BX182" s="11"/>
      <c r="CA182" s="7">
        <v>3.25</v>
      </c>
      <c r="CB182" s="7">
        <v>2.75</v>
      </c>
      <c r="CC182" s="11">
        <v>7.7454098055849095E-4</v>
      </c>
      <c r="CD182" s="11">
        <v>-7.5839185546391127E-3</v>
      </c>
      <c r="CE182" s="11">
        <v>2.534674907548318E-2</v>
      </c>
      <c r="CF182" s="1">
        <v>-3.115640464056893E-3</v>
      </c>
      <c r="CG182" s="3">
        <f t="shared" si="346"/>
        <v>2.5744693896122259E-2</v>
      </c>
      <c r="CH182" s="11">
        <f t="shared" si="355"/>
        <v>0.92645063786958692</v>
      </c>
      <c r="CI182" s="3">
        <v>5.9251026043231712E-3</v>
      </c>
      <c r="CJ182" s="11">
        <v>0</v>
      </c>
      <c r="CK182" s="11"/>
      <c r="CN182" s="7">
        <v>3.25</v>
      </c>
      <c r="CO182" s="7">
        <v>2.75</v>
      </c>
      <c r="CP182" s="11">
        <v>7.6954098055849116E-4</v>
      </c>
      <c r="CQ182" s="11">
        <v>-7.5376685546391141E-3</v>
      </c>
      <c r="CR182" s="11">
        <v>2.5205811575483184E-2</v>
      </c>
      <c r="CS182" s="1">
        <v>-2.9738435890568904E-3</v>
      </c>
      <c r="CT182" s="3">
        <f t="shared" si="347"/>
        <v>2.574531889612227E-2</v>
      </c>
      <c r="CU182" s="11">
        <f t="shared" si="356"/>
        <v>0.92645058393034063</v>
      </c>
      <c r="CV182" s="3">
        <v>5.9251565435693458E-3</v>
      </c>
      <c r="CW182" s="11">
        <v>0</v>
      </c>
      <c r="CX182" s="11"/>
      <c r="DA182" s="7">
        <v>3.25</v>
      </c>
      <c r="DB182" s="7">
        <v>2.75</v>
      </c>
      <c r="DC182" s="11">
        <v>7.6954098055849116E-4</v>
      </c>
      <c r="DD182" s="11">
        <v>-7.5376685546391141E-3</v>
      </c>
      <c r="DE182" s="11">
        <v>2.5205811575483184E-2</v>
      </c>
      <c r="DF182" s="1">
        <v>-2.9738435890568904E-3</v>
      </c>
      <c r="DG182" s="3">
        <f t="shared" si="348"/>
        <v>2.574531889612227E-2</v>
      </c>
      <c r="DH182" s="11">
        <f t="shared" si="357"/>
        <v>0.92645058393034063</v>
      </c>
      <c r="DI182" s="3">
        <v>5.9251565435693458E-3</v>
      </c>
      <c r="DJ182" s="11">
        <v>0</v>
      </c>
      <c r="DK182" s="11"/>
    </row>
    <row r="183" spans="1:115" x14ac:dyDescent="0.25">
      <c r="A183" s="7">
        <v>3.5</v>
      </c>
      <c r="B183" s="7">
        <v>2.75</v>
      </c>
      <c r="C183" s="11">
        <v>7.6954098055849116E-4</v>
      </c>
      <c r="D183" s="11">
        <v>-7.5376685546391141E-3</v>
      </c>
      <c r="E183" s="11">
        <v>2.5205811575483184E-2</v>
      </c>
      <c r="F183" s="1">
        <v>-2.9738435890568904E-3</v>
      </c>
      <c r="G183" s="3">
        <f t="shared" si="340"/>
        <v>2.5904126672250408E-2</v>
      </c>
      <c r="H183" s="11">
        <f t="shared" si="349"/>
        <v>0.92052577651323209</v>
      </c>
      <c r="I183" s="3">
        <v>5.9248074171084353E-3</v>
      </c>
      <c r="J183" s="11">
        <v>0</v>
      </c>
      <c r="N183" s="7">
        <v>3.5</v>
      </c>
      <c r="O183" s="7">
        <v>2.75</v>
      </c>
      <c r="P183" s="11">
        <v>7.6954098055849116E-4</v>
      </c>
      <c r="Q183" s="11">
        <v>-7.5376685546391141E-3</v>
      </c>
      <c r="R183" s="11">
        <v>2.5205811575483184E-2</v>
      </c>
      <c r="S183" s="1">
        <v>-2.9738435890568904E-3</v>
      </c>
      <c r="T183" s="3">
        <f t="shared" si="341"/>
        <v>2.5904126672250408E-2</v>
      </c>
      <c r="U183" s="11">
        <f t="shared" si="350"/>
        <v>0.92052120182518027</v>
      </c>
      <c r="V183" s="3">
        <v>5.9247779729077492E-3</v>
      </c>
      <c r="W183" s="11">
        <v>0</v>
      </c>
      <c r="AA183" s="7">
        <v>3.5</v>
      </c>
      <c r="AB183" s="7">
        <v>2.75</v>
      </c>
      <c r="AC183" s="11">
        <v>7.6954098055849116E-4</v>
      </c>
      <c r="AD183" s="11">
        <v>-7.5376685546391141E-3</v>
      </c>
      <c r="AE183" s="11">
        <v>2.5205811575483184E-2</v>
      </c>
      <c r="AF183" s="1">
        <v>-2.9738435890568904E-3</v>
      </c>
      <c r="AG183" s="3">
        <f t="shared" si="342"/>
        <v>2.5904126672250408E-2</v>
      </c>
      <c r="AH183" s="11">
        <f t="shared" si="351"/>
        <v>0.92051776494713378</v>
      </c>
      <c r="AI183" s="3">
        <v>5.9247558520274203E-3</v>
      </c>
      <c r="AJ183" s="11">
        <v>0</v>
      </c>
      <c r="AK183" s="11"/>
      <c r="AN183" s="7">
        <v>3.5</v>
      </c>
      <c r="AO183" s="7">
        <v>2.75</v>
      </c>
      <c r="AP183" s="11">
        <v>7.6454098055849136E-4</v>
      </c>
      <c r="AQ183" s="11">
        <v>-7.4864185546391158E-3</v>
      </c>
      <c r="AR183" s="11">
        <v>2.5032374075483192E-2</v>
      </c>
      <c r="AS183" s="1">
        <v>-2.7804842140569108E-3</v>
      </c>
      <c r="AT183" s="3">
        <f t="shared" si="343"/>
        <v>2.5903892297250403E-2</v>
      </c>
      <c r="AU183" s="11">
        <f t="shared" si="352"/>
        <v>0.92051657140248677</v>
      </c>
      <c r="AV183" s="3">
        <v>5.9246043392662479E-3</v>
      </c>
      <c r="AW183" s="11">
        <v>0</v>
      </c>
      <c r="AX183" s="11"/>
      <c r="BA183" s="7">
        <v>3.5</v>
      </c>
      <c r="BB183" s="7">
        <v>2.75</v>
      </c>
      <c r="BC183" s="11">
        <v>7.8454098055849054E-4</v>
      </c>
      <c r="BD183" s="11">
        <v>-7.6864185546391076E-3</v>
      </c>
      <c r="BE183" s="11">
        <v>2.5683624075483167E-2</v>
      </c>
      <c r="BF183" s="1">
        <v>-3.464859214056884E-3</v>
      </c>
      <c r="BG183" s="3">
        <f t="shared" si="344"/>
        <v>2.5906392297250412E-2</v>
      </c>
      <c r="BH183" s="11">
        <f t="shared" si="353"/>
        <v>0.92051679006427534</v>
      </c>
      <c r="BI183" s="3">
        <v>5.9260440540959292E-3</v>
      </c>
      <c r="BJ183" s="11">
        <v>0</v>
      </c>
      <c r="BK183" s="11"/>
      <c r="BN183" s="7">
        <v>3.5</v>
      </c>
      <c r="BO183" s="7">
        <v>2.75</v>
      </c>
      <c r="BP183" s="11">
        <v>7.5454098055849177E-4</v>
      </c>
      <c r="BQ183" s="11">
        <v>-7.3939185546391204E-3</v>
      </c>
      <c r="BR183" s="11">
        <v>2.4760499075483205E-2</v>
      </c>
      <c r="BS183" s="1">
        <v>-2.5243904640569192E-3</v>
      </c>
      <c r="BT183" s="3">
        <f t="shared" si="345"/>
        <v>2.5912798547250405E-2</v>
      </c>
      <c r="BU183" s="11">
        <f t="shared" si="354"/>
        <v>0.92052432959417452</v>
      </c>
      <c r="BV183" s="3">
        <v>5.9260925915987873E-3</v>
      </c>
      <c r="BW183" s="11">
        <v>0</v>
      </c>
      <c r="BX183" s="11"/>
      <c r="CA183" s="7">
        <v>3.5</v>
      </c>
      <c r="CB183" s="7">
        <v>2.75</v>
      </c>
      <c r="CC183" s="11">
        <v>7.7454098055849095E-4</v>
      </c>
      <c r="CD183" s="11">
        <v>-7.5839185546391127E-3</v>
      </c>
      <c r="CE183" s="11">
        <v>2.534674907548318E-2</v>
      </c>
      <c r="CF183" s="1">
        <v>-3.115640464056893E-3</v>
      </c>
      <c r="CG183" s="3">
        <f t="shared" si="346"/>
        <v>2.5903423547250413E-2</v>
      </c>
      <c r="CH183" s="11">
        <f t="shared" si="355"/>
        <v>0.92052597301988015</v>
      </c>
      <c r="CI183" s="3">
        <v>5.9246648497067282E-3</v>
      </c>
      <c r="CJ183" s="11">
        <v>0</v>
      </c>
      <c r="CK183" s="11"/>
      <c r="CN183" s="7">
        <v>3.5</v>
      </c>
      <c r="CO183" s="7">
        <v>2.75</v>
      </c>
      <c r="CP183" s="11">
        <v>7.6954098055849116E-4</v>
      </c>
      <c r="CQ183" s="11">
        <v>-7.5376685546391141E-3</v>
      </c>
      <c r="CR183" s="11">
        <v>2.5205811575483184E-2</v>
      </c>
      <c r="CS183" s="1">
        <v>-2.9738435890568904E-3</v>
      </c>
      <c r="CT183" s="3">
        <f t="shared" si="347"/>
        <v>2.5904126672250408E-2</v>
      </c>
      <c r="CU183" s="11">
        <f t="shared" si="356"/>
        <v>0.92052577651323209</v>
      </c>
      <c r="CV183" s="3">
        <v>5.9248074171084353E-3</v>
      </c>
      <c r="CW183" s="11">
        <v>0</v>
      </c>
      <c r="CX183" s="11"/>
      <c r="DA183" s="7">
        <v>3.5</v>
      </c>
      <c r="DB183" s="7">
        <v>2.75</v>
      </c>
      <c r="DC183" s="11">
        <v>7.6954098055849116E-4</v>
      </c>
      <c r="DD183" s="11">
        <v>-7.5376685546391141E-3</v>
      </c>
      <c r="DE183" s="11">
        <v>2.5205811575483184E-2</v>
      </c>
      <c r="DF183" s="1">
        <v>-2.9738435890568904E-3</v>
      </c>
      <c r="DG183" s="3">
        <f t="shared" si="348"/>
        <v>2.5904126672250408E-2</v>
      </c>
      <c r="DH183" s="11">
        <f t="shared" si="357"/>
        <v>0.92052577651323209</v>
      </c>
      <c r="DI183" s="3">
        <v>5.9248074171084353E-3</v>
      </c>
      <c r="DJ183" s="11">
        <v>0</v>
      </c>
      <c r="DK183" s="11"/>
    </row>
    <row r="184" spans="1:115" x14ac:dyDescent="0.25">
      <c r="A184" s="7">
        <v>3.75</v>
      </c>
      <c r="B184" s="7">
        <v>3.75</v>
      </c>
      <c r="C184" s="11">
        <v>-9.9382572674332811E-4</v>
      </c>
      <c r="D184" s="11">
        <v>1.252449164869119E-2</v>
      </c>
      <c r="E184" s="11">
        <v>-5.0868356985198593E-2</v>
      </c>
      <c r="F184" s="1">
        <v>9.3170201859536728E-2</v>
      </c>
      <c r="G184" s="3">
        <f t="shared" si="340"/>
        <v>2.6130748416031691E-2</v>
      </c>
      <c r="H184" s="11">
        <f t="shared" si="349"/>
        <v>0.91460277994659989</v>
      </c>
      <c r="I184" s="3">
        <v>5.9229965666322722E-3</v>
      </c>
      <c r="J184" s="11">
        <v>0</v>
      </c>
      <c r="N184" s="7">
        <v>3.75</v>
      </c>
      <c r="O184" s="7">
        <v>3.75</v>
      </c>
      <c r="P184" s="11">
        <v>-9.9382572674332811E-4</v>
      </c>
      <c r="Q184" s="11">
        <v>1.252449164869119E-2</v>
      </c>
      <c r="R184" s="11">
        <v>-5.0868356985198593E-2</v>
      </c>
      <c r="S184" s="1">
        <v>9.3170201859536728E-2</v>
      </c>
      <c r="T184" s="3">
        <f t="shared" si="341"/>
        <v>2.6130748416031691E-2</v>
      </c>
      <c r="U184" s="11">
        <f t="shared" si="350"/>
        <v>0.91459823469374946</v>
      </c>
      <c r="V184" s="3">
        <v>5.9229671314308735E-3</v>
      </c>
      <c r="W184" s="11">
        <v>0</v>
      </c>
      <c r="AA184" s="7">
        <v>3.75</v>
      </c>
      <c r="AB184" s="7">
        <v>3.75</v>
      </c>
      <c r="AC184" s="11">
        <v>-9.9382572674332811E-4</v>
      </c>
      <c r="AD184" s="11">
        <v>1.252449164869119E-2</v>
      </c>
      <c r="AE184" s="11">
        <v>-5.0868356985198593E-2</v>
      </c>
      <c r="AF184" s="1">
        <v>9.3170201859536728E-2</v>
      </c>
      <c r="AG184" s="3">
        <f t="shared" si="342"/>
        <v>2.6130748416031691E-2</v>
      </c>
      <c r="AH184" s="11">
        <f t="shared" si="351"/>
        <v>0.91459481992982228</v>
      </c>
      <c r="AI184" s="3">
        <v>5.9229450173115417E-3</v>
      </c>
      <c r="AJ184" s="11">
        <v>0</v>
      </c>
      <c r="AK184" s="11"/>
      <c r="AN184" s="7">
        <v>3.75</v>
      </c>
      <c r="AO184" s="7">
        <v>3.75</v>
      </c>
      <c r="AP184" s="11">
        <v>-9.9382572674332811E-4</v>
      </c>
      <c r="AQ184" s="11">
        <v>1.252449164869119E-2</v>
      </c>
      <c r="AR184" s="11">
        <v>-5.0868356985198593E-2</v>
      </c>
      <c r="AS184" s="1">
        <v>9.3170201859536728E-2</v>
      </c>
      <c r="AT184" s="3">
        <f t="shared" si="343"/>
        <v>2.6130748416031691E-2</v>
      </c>
      <c r="AU184" s="11">
        <f t="shared" si="352"/>
        <v>0.91459368730953383</v>
      </c>
      <c r="AV184" s="3">
        <v>5.9228840929528188E-3</v>
      </c>
      <c r="AW184" s="11">
        <v>0</v>
      </c>
      <c r="AX184" s="11"/>
      <c r="BA184" s="7">
        <v>3.75</v>
      </c>
      <c r="BB184" s="7">
        <v>3.75</v>
      </c>
      <c r="BC184" s="11">
        <v>-9.988257267433279E-4</v>
      </c>
      <c r="BD184" s="11">
        <v>1.2590741648691187E-2</v>
      </c>
      <c r="BE184" s="11">
        <v>-5.1159294485198591E-2</v>
      </c>
      <c r="BF184" s="1">
        <v>9.3593248734536769E-2</v>
      </c>
      <c r="BG184" s="3">
        <f t="shared" si="344"/>
        <v>2.6130748416031704E-2</v>
      </c>
      <c r="BH184" s="11">
        <f t="shared" si="353"/>
        <v>0.91459333662153308</v>
      </c>
      <c r="BI184" s="3">
        <v>5.9234534427421593E-3</v>
      </c>
      <c r="BJ184" s="11">
        <v>0</v>
      </c>
      <c r="BK184" s="11"/>
      <c r="BN184" s="7">
        <v>3.75</v>
      </c>
      <c r="BO184" s="7">
        <v>3.75</v>
      </c>
      <c r="BP184" s="11">
        <v>-9.7882572674332872E-4</v>
      </c>
      <c r="BQ184" s="11">
        <v>1.2330741648691197E-2</v>
      </c>
      <c r="BR184" s="11">
        <v>-5.0048044485198624E-2</v>
      </c>
      <c r="BS184" s="1">
        <v>9.2037623734536805E-2</v>
      </c>
      <c r="BT184" s="3">
        <f t="shared" si="345"/>
        <v>2.6140748416031701E-2</v>
      </c>
      <c r="BU184" s="11">
        <f t="shared" si="354"/>
        <v>0.91459937227288723</v>
      </c>
      <c r="BV184" s="3">
        <v>5.9249573212872509E-3</v>
      </c>
      <c r="BW184" s="11">
        <v>0</v>
      </c>
      <c r="BX184" s="11"/>
      <c r="CA184" s="7">
        <v>3.75</v>
      </c>
      <c r="CB184" s="7">
        <v>3.75</v>
      </c>
      <c r="CC184" s="11">
        <v>-1.0063257267433276E-3</v>
      </c>
      <c r="CD184" s="11">
        <v>1.2682616648691183E-2</v>
      </c>
      <c r="CE184" s="11">
        <v>-5.1521950735198552E-2</v>
      </c>
      <c r="CF184" s="1">
        <v>9.4056725297036681E-2</v>
      </c>
      <c r="CG184" s="3">
        <f t="shared" si="346"/>
        <v>2.6130748416031691E-2</v>
      </c>
      <c r="CH184" s="11">
        <f t="shared" si="355"/>
        <v>0.9146031349244822</v>
      </c>
      <c r="CI184" s="3">
        <v>5.9228380953979696E-3</v>
      </c>
      <c r="CJ184" s="11">
        <v>0</v>
      </c>
      <c r="CK184" s="11"/>
      <c r="CN184" s="7">
        <v>3.75</v>
      </c>
      <c r="CO184" s="7">
        <v>3.75</v>
      </c>
      <c r="CP184" s="11">
        <v>-9.9132572674332821E-4</v>
      </c>
      <c r="CQ184" s="11">
        <v>1.249386664869119E-2</v>
      </c>
      <c r="CR184" s="11">
        <v>-5.0744138235198598E-2</v>
      </c>
      <c r="CS184" s="1">
        <v>9.3003209672036763E-2</v>
      </c>
      <c r="CT184" s="3">
        <f t="shared" si="347"/>
        <v>2.6130748416031691E-2</v>
      </c>
      <c r="CU184" s="11">
        <f t="shared" si="356"/>
        <v>0.91460277994659989</v>
      </c>
      <c r="CV184" s="3">
        <v>5.9229965666322722E-3</v>
      </c>
      <c r="CW184" s="11">
        <v>0</v>
      </c>
      <c r="CX184" s="11"/>
      <c r="DA184" s="7">
        <v>3.75</v>
      </c>
      <c r="DB184" s="7">
        <v>3.75</v>
      </c>
      <c r="DC184" s="11">
        <v>-9.9382572674332811E-4</v>
      </c>
      <c r="DD184" s="11">
        <v>1.252449164869119E-2</v>
      </c>
      <c r="DE184" s="11">
        <v>-5.0868356985198593E-2</v>
      </c>
      <c r="DF184" s="1">
        <v>9.3170201859536728E-2</v>
      </c>
      <c r="DG184" s="3">
        <f t="shared" si="348"/>
        <v>2.6130748416031691E-2</v>
      </c>
      <c r="DH184" s="11">
        <f t="shared" si="357"/>
        <v>0.91460277994659989</v>
      </c>
      <c r="DI184" s="3">
        <v>5.9229965666322722E-3</v>
      </c>
      <c r="DJ184" s="11">
        <v>0</v>
      </c>
      <c r="DK184" s="11"/>
    </row>
    <row r="185" spans="1:115" x14ac:dyDescent="0.25">
      <c r="A185" s="7">
        <v>4</v>
      </c>
      <c r="B185" s="7">
        <v>3.75</v>
      </c>
      <c r="C185" s="11">
        <v>-9.9382572674332811E-4</v>
      </c>
      <c r="D185" s="11">
        <v>1.252449164869119E-2</v>
      </c>
      <c r="E185" s="11">
        <v>-5.0868356985198593E-2</v>
      </c>
      <c r="F185" s="1">
        <v>9.3170201859536728E-2</v>
      </c>
      <c r="G185" s="3">
        <f t="shared" si="340"/>
        <v>2.6483793786228393E-2</v>
      </c>
      <c r="H185" s="11">
        <f t="shared" si="349"/>
        <v>0.90866674442346385</v>
      </c>
      <c r="I185" s="3">
        <v>5.936035523136025E-3</v>
      </c>
      <c r="J185" s="11">
        <v>0.90866674442346385</v>
      </c>
      <c r="N185" s="7">
        <v>4</v>
      </c>
      <c r="O185" s="7">
        <v>3.75</v>
      </c>
      <c r="P185" s="11">
        <v>-9.9382572674332811E-4</v>
      </c>
      <c r="Q185" s="11">
        <v>1.252449164869119E-2</v>
      </c>
      <c r="R185" s="11">
        <v>-5.0868356985198593E-2</v>
      </c>
      <c r="S185" s="1">
        <v>9.3170201859536728E-2</v>
      </c>
      <c r="T185" s="3">
        <f t="shared" si="341"/>
        <v>2.6483793786228393E-2</v>
      </c>
      <c r="U185" s="11">
        <f t="shared" si="350"/>
        <v>0.90866222867061386</v>
      </c>
      <c r="V185" s="3">
        <v>5.9360060231356173E-3</v>
      </c>
      <c r="W185" s="11">
        <v>0.90866222867061386</v>
      </c>
      <c r="AA185" s="7">
        <v>4</v>
      </c>
      <c r="AB185" s="7">
        <v>3.75</v>
      </c>
      <c r="AC185" s="11">
        <v>-9.9382572674332811E-4</v>
      </c>
      <c r="AD185" s="11">
        <v>1.252449164869119E-2</v>
      </c>
      <c r="AE185" s="11">
        <v>-5.0868356985198593E-2</v>
      </c>
      <c r="AF185" s="1">
        <v>9.3170201859536728E-2</v>
      </c>
      <c r="AG185" s="3">
        <f t="shared" si="342"/>
        <v>2.6483793786228393E-2</v>
      </c>
      <c r="AH185" s="11">
        <f t="shared" si="351"/>
        <v>0.90865883606948827</v>
      </c>
      <c r="AI185" s="3">
        <v>5.9359838603339947E-3</v>
      </c>
      <c r="AJ185" s="11">
        <v>0.90865883606948827</v>
      </c>
      <c r="AK185" s="11"/>
      <c r="AN185" s="7">
        <v>4</v>
      </c>
      <c r="AO185" s="7">
        <v>3.75</v>
      </c>
      <c r="AP185" s="11">
        <v>-9.9382572674332811E-4</v>
      </c>
      <c r="AQ185" s="11">
        <v>1.252449164869119E-2</v>
      </c>
      <c r="AR185" s="11">
        <v>-5.0868356985198593E-2</v>
      </c>
      <c r="AS185" s="1">
        <v>9.3170201859536728E-2</v>
      </c>
      <c r="AT185" s="3">
        <f t="shared" si="343"/>
        <v>2.6483793786228393E-2</v>
      </c>
      <c r="AU185" s="11">
        <f t="shared" si="352"/>
        <v>0.90865771080023183</v>
      </c>
      <c r="AV185" s="3">
        <v>5.9359765093020354E-3</v>
      </c>
      <c r="AW185" s="11">
        <v>0.90865771080023183</v>
      </c>
      <c r="AX185" s="11"/>
      <c r="BA185" s="7">
        <v>4</v>
      </c>
      <c r="BB185" s="7">
        <v>3.75</v>
      </c>
      <c r="BC185" s="11">
        <v>-9.988257267433279E-4</v>
      </c>
      <c r="BD185" s="11">
        <v>1.2590741648691187E-2</v>
      </c>
      <c r="BE185" s="11">
        <v>-5.1159294485198591E-2</v>
      </c>
      <c r="BF185" s="1">
        <v>9.3593248734536769E-2</v>
      </c>
      <c r="BG185" s="3">
        <f t="shared" si="344"/>
        <v>2.6483090661228406E-2</v>
      </c>
      <c r="BH185" s="11">
        <f t="shared" si="353"/>
        <v>0.9086573623882972</v>
      </c>
      <c r="BI185" s="3">
        <v>5.9359742332358856E-3</v>
      </c>
      <c r="BJ185" s="11">
        <v>0.9086573623882972</v>
      </c>
      <c r="BK185" s="11"/>
      <c r="BN185" s="7">
        <v>4</v>
      </c>
      <c r="BO185" s="7">
        <v>3.75</v>
      </c>
      <c r="BP185" s="11">
        <v>-9.7882572674332872E-4</v>
      </c>
      <c r="BQ185" s="11">
        <v>1.2330741648691197E-2</v>
      </c>
      <c r="BR185" s="11">
        <v>-5.0048044485198624E-2</v>
      </c>
      <c r="BS185" s="1">
        <v>9.2037623734536805E-2</v>
      </c>
      <c r="BT185" s="3">
        <f t="shared" si="345"/>
        <v>2.6492465661228426E-2</v>
      </c>
      <c r="BU185" s="11">
        <f t="shared" si="354"/>
        <v>0.90866110195746108</v>
      </c>
      <c r="BV185" s="3">
        <v>5.9382703154260297E-3</v>
      </c>
      <c r="BW185" s="11">
        <v>0.90866110195746108</v>
      </c>
      <c r="BX185" s="11"/>
      <c r="CA185" s="7">
        <v>4</v>
      </c>
      <c r="CB185" s="7">
        <v>3.75</v>
      </c>
      <c r="CC185" s="11">
        <v>-1.0063257267433276E-3</v>
      </c>
      <c r="CD185" s="11">
        <v>1.2682616648691183E-2</v>
      </c>
      <c r="CE185" s="11">
        <v>-5.1521950735198552E-2</v>
      </c>
      <c r="CF185" s="1">
        <v>9.4056725297036681E-2</v>
      </c>
      <c r="CG185" s="3">
        <f t="shared" si="346"/>
        <v>2.6485942223728437E-2</v>
      </c>
      <c r="CH185" s="11">
        <f t="shared" si="355"/>
        <v>0.90866709709743743</v>
      </c>
      <c r="CI185" s="3">
        <v>5.9360378270447442E-3</v>
      </c>
      <c r="CJ185" s="11">
        <v>0.90866709709743743</v>
      </c>
      <c r="CK185" s="11"/>
      <c r="CN185" s="7">
        <v>4</v>
      </c>
      <c r="CO185" s="7">
        <v>3.75</v>
      </c>
      <c r="CP185" s="11">
        <v>-9.9132572674332821E-4</v>
      </c>
      <c r="CQ185" s="11">
        <v>1.249386664869119E-2</v>
      </c>
      <c r="CR185" s="11">
        <v>-5.0744138235198598E-2</v>
      </c>
      <c r="CS185" s="1">
        <v>9.3003209672036763E-2</v>
      </c>
      <c r="CT185" s="3">
        <f t="shared" si="347"/>
        <v>2.6483676598728412E-2</v>
      </c>
      <c r="CU185" s="11">
        <f t="shared" si="356"/>
        <v>0.90866674442346385</v>
      </c>
      <c r="CV185" s="3">
        <v>5.936035523136025E-3</v>
      </c>
      <c r="CW185" s="11">
        <v>0.90866674442346385</v>
      </c>
      <c r="CX185" s="11"/>
      <c r="DA185" s="7">
        <v>4</v>
      </c>
      <c r="DB185" s="7">
        <v>3.75</v>
      </c>
      <c r="DC185" s="11">
        <v>-9.9382572674332811E-4</v>
      </c>
      <c r="DD185" s="11">
        <v>1.252449164869119E-2</v>
      </c>
      <c r="DE185" s="11">
        <v>-5.0868356985198593E-2</v>
      </c>
      <c r="DF185" s="1">
        <v>9.3170201859536728E-2</v>
      </c>
      <c r="DG185" s="3">
        <f t="shared" si="348"/>
        <v>2.6483793786228393E-2</v>
      </c>
      <c r="DH185" s="11">
        <f t="shared" si="357"/>
        <v>0.90866674442346385</v>
      </c>
      <c r="DI185" s="3">
        <v>5.936035523136025E-3</v>
      </c>
      <c r="DJ185" s="11">
        <v>0.90866674442346385</v>
      </c>
      <c r="DK185" s="11"/>
    </row>
    <row r="186" spans="1:115" x14ac:dyDescent="0.25">
      <c r="A186" s="7">
        <v>4.25</v>
      </c>
      <c r="B186" s="7">
        <v>3.75</v>
      </c>
      <c r="C186" s="11">
        <v>-9.9382572674332811E-4</v>
      </c>
      <c r="D186" s="11">
        <v>1.252449164869119E-2</v>
      </c>
      <c r="E186" s="11">
        <v>-5.0868356985198593E-2</v>
      </c>
      <c r="F186" s="1">
        <v>9.3170201859536728E-2</v>
      </c>
      <c r="G186" s="3">
        <f t="shared" si="340"/>
        <v>2.6911662022396532E-2</v>
      </c>
      <c r="H186" s="11">
        <f t="shared" si="349"/>
        <v>0.90269007994095618</v>
      </c>
      <c r="I186" s="3">
        <v>5.9766644825075769E-3</v>
      </c>
      <c r="J186" s="11">
        <v>0</v>
      </c>
      <c r="N186" s="7">
        <v>4.25</v>
      </c>
      <c r="O186" s="7">
        <v>3.75</v>
      </c>
      <c r="P186" s="11">
        <v>-9.9382572674332811E-4</v>
      </c>
      <c r="Q186" s="11">
        <v>1.252449164869119E-2</v>
      </c>
      <c r="R186" s="11">
        <v>-5.0868356985198593E-2</v>
      </c>
      <c r="S186" s="1">
        <v>9.3170201859536728E-2</v>
      </c>
      <c r="T186" s="3">
        <f t="shared" si="341"/>
        <v>2.6911662022396532E-2</v>
      </c>
      <c r="U186" s="11">
        <f t="shared" si="350"/>
        <v>0.90268559389001823</v>
      </c>
      <c r="V186" s="3">
        <v>5.9766347805955879E-3</v>
      </c>
      <c r="W186" s="11">
        <v>0</v>
      </c>
      <c r="AA186" s="7">
        <v>4.25</v>
      </c>
      <c r="AB186" s="7">
        <v>3.75</v>
      </c>
      <c r="AC186" s="11">
        <v>-9.9382572674332811E-4</v>
      </c>
      <c r="AD186" s="11">
        <v>1.252449164869119E-2</v>
      </c>
      <c r="AE186" s="11">
        <v>-5.0868356985198593E-2</v>
      </c>
      <c r="AF186" s="1">
        <v>9.3170201859536728E-2</v>
      </c>
      <c r="AG186" s="3">
        <f t="shared" si="342"/>
        <v>2.6911662022396532E-2</v>
      </c>
      <c r="AH186" s="11">
        <f t="shared" si="351"/>
        <v>0.90268222360338668</v>
      </c>
      <c r="AI186" s="3">
        <v>5.9766124661015507E-3</v>
      </c>
      <c r="AJ186" s="11">
        <v>0</v>
      </c>
      <c r="AK186" s="11"/>
      <c r="AN186" s="7">
        <v>4.25</v>
      </c>
      <c r="AO186" s="7">
        <v>3.75</v>
      </c>
      <c r="AP186" s="11">
        <v>-9.9382572674332811E-4</v>
      </c>
      <c r="AQ186" s="11">
        <v>1.252449164869119E-2</v>
      </c>
      <c r="AR186" s="11">
        <v>-5.0868356985198593E-2</v>
      </c>
      <c r="AS186" s="1">
        <v>9.3170201859536728E-2</v>
      </c>
      <c r="AT186" s="3">
        <f t="shared" si="343"/>
        <v>2.6911662022396532E-2</v>
      </c>
      <c r="AU186" s="11">
        <f t="shared" si="352"/>
        <v>0.902681105735476</v>
      </c>
      <c r="AV186" s="3">
        <v>5.9766050647557436E-3</v>
      </c>
      <c r="AW186" s="11">
        <v>0</v>
      </c>
      <c r="AX186" s="11"/>
      <c r="BA186" s="7">
        <v>4.25</v>
      </c>
      <c r="BB186" s="7">
        <v>3.75</v>
      </c>
      <c r="BC186" s="11">
        <v>-9.988257267433279E-4</v>
      </c>
      <c r="BD186" s="11">
        <v>1.2590741648691187E-2</v>
      </c>
      <c r="BE186" s="11">
        <v>-5.1159294485198591E-2</v>
      </c>
      <c r="BF186" s="1">
        <v>9.3593248734536769E-2</v>
      </c>
      <c r="BG186" s="3">
        <f t="shared" si="344"/>
        <v>2.6911037022396514E-2</v>
      </c>
      <c r="BH186" s="11">
        <f t="shared" si="353"/>
        <v>0.90268091724590116</v>
      </c>
      <c r="BI186" s="3">
        <v>5.9764451423960042E-3</v>
      </c>
      <c r="BJ186" s="11">
        <v>0</v>
      </c>
      <c r="BK186" s="11"/>
      <c r="BN186" s="7">
        <v>4.25</v>
      </c>
      <c r="BO186" s="7">
        <v>3.75</v>
      </c>
      <c r="BP186" s="11">
        <v>-9.7882572674332872E-4</v>
      </c>
      <c r="BQ186" s="11">
        <v>1.2330741648691197E-2</v>
      </c>
      <c r="BR186" s="11">
        <v>-5.0048044485198624E-2</v>
      </c>
      <c r="BS186" s="1">
        <v>9.2037623734536805E-2</v>
      </c>
      <c r="BT186" s="3">
        <f t="shared" si="345"/>
        <v>2.6917287022396569E-2</v>
      </c>
      <c r="BU186" s="11">
        <f t="shared" si="354"/>
        <v>0.90268253047208058</v>
      </c>
      <c r="BV186" s="3">
        <v>5.9785714853805945E-3</v>
      </c>
      <c r="BW186" s="11">
        <v>0</v>
      </c>
      <c r="BX186" s="11"/>
      <c r="CA186" s="7">
        <v>4.25</v>
      </c>
      <c r="CB186" s="7">
        <v>3.75</v>
      </c>
      <c r="CC186" s="11">
        <v>-1.0063257267433276E-3</v>
      </c>
      <c r="CD186" s="11">
        <v>1.2682616648691183E-2</v>
      </c>
      <c r="CE186" s="11">
        <v>-5.1521950735198552E-2</v>
      </c>
      <c r="CF186" s="1">
        <v>9.4056725297036681E-2</v>
      </c>
      <c r="CG186" s="3">
        <f t="shared" si="346"/>
        <v>2.6916974522396608E-2</v>
      </c>
      <c r="CH186" s="11">
        <f t="shared" si="355"/>
        <v>0.90268994864102581</v>
      </c>
      <c r="CI186" s="3">
        <v>5.9771484564116496E-3</v>
      </c>
      <c r="CJ186" s="11">
        <v>0</v>
      </c>
      <c r="CK186" s="11"/>
      <c r="CN186" s="7">
        <v>4.25</v>
      </c>
      <c r="CO186" s="7">
        <v>3.75</v>
      </c>
      <c r="CP186" s="11">
        <v>-9.9132572674332821E-4</v>
      </c>
      <c r="CQ186" s="11">
        <v>1.249386664869119E-2</v>
      </c>
      <c r="CR186" s="11">
        <v>-5.0744138235198598E-2</v>
      </c>
      <c r="CS186" s="1">
        <v>9.3003209672036763E-2</v>
      </c>
      <c r="CT186" s="3">
        <f t="shared" si="347"/>
        <v>2.6911349522396516E-2</v>
      </c>
      <c r="CU186" s="11">
        <f t="shared" si="356"/>
        <v>0.90269010621300971</v>
      </c>
      <c r="CV186" s="3">
        <v>5.9766382104542871E-3</v>
      </c>
      <c r="CW186" s="11">
        <v>0</v>
      </c>
      <c r="CX186" s="11"/>
      <c r="DA186" s="7">
        <v>4.25</v>
      </c>
      <c r="DB186" s="7">
        <v>3.75</v>
      </c>
      <c r="DC186" s="11">
        <v>-9.9382572674332811E-4</v>
      </c>
      <c r="DD186" s="11">
        <v>1.252449164869119E-2</v>
      </c>
      <c r="DE186" s="11">
        <v>-5.0868356985198593E-2</v>
      </c>
      <c r="DF186" s="1">
        <v>9.3170201859536728E-2</v>
      </c>
      <c r="DG186" s="3">
        <f t="shared" si="348"/>
        <v>2.6911662022396532E-2</v>
      </c>
      <c r="DH186" s="11">
        <f t="shared" si="357"/>
        <v>0.90269007994095618</v>
      </c>
      <c r="DI186" s="3">
        <v>5.9766644825075769E-3</v>
      </c>
      <c r="DJ186" s="11">
        <v>0</v>
      </c>
      <c r="DK186" s="11"/>
    </row>
    <row r="187" spans="1:115" x14ac:dyDescent="0.25">
      <c r="A187" s="7">
        <v>4.5</v>
      </c>
      <c r="B187" s="7">
        <v>3.75</v>
      </c>
      <c r="C187" s="11">
        <v>-9.9382572674332811E-4</v>
      </c>
      <c r="D187" s="11">
        <v>1.252449164869119E-2</v>
      </c>
      <c r="E187" s="11">
        <v>-5.0868356985198593E-2</v>
      </c>
      <c r="F187" s="1">
        <v>9.3170201859536728E-2</v>
      </c>
      <c r="G187" s="3">
        <f t="shared" si="340"/>
        <v>2.7321181962653873E-2</v>
      </c>
      <c r="H187" s="11">
        <f t="shared" si="349"/>
        <v>0.89665744441744921</v>
      </c>
      <c r="I187" s="3">
        <v>6.0326355235070491E-3</v>
      </c>
      <c r="J187" s="11">
        <v>0</v>
      </c>
      <c r="N187" s="7">
        <v>4.5</v>
      </c>
      <c r="O187" s="7">
        <v>3.75</v>
      </c>
      <c r="P187" s="11">
        <v>-9.9382572674332811E-4</v>
      </c>
      <c r="Q187" s="11">
        <v>1.252449164869119E-2</v>
      </c>
      <c r="R187" s="11">
        <v>-5.0868356985198593E-2</v>
      </c>
      <c r="S187" s="1">
        <v>9.3170201859536728E-2</v>
      </c>
      <c r="T187" s="3">
        <f t="shared" si="341"/>
        <v>2.7321181962653873E-2</v>
      </c>
      <c r="U187" s="11">
        <f t="shared" si="350"/>
        <v>0.89665298834657958</v>
      </c>
      <c r="V187" s="3">
        <v>6.0326055434387514E-3</v>
      </c>
      <c r="W187" s="11">
        <v>0</v>
      </c>
      <c r="AA187" s="7">
        <v>4.5</v>
      </c>
      <c r="AB187" s="7">
        <v>3.75</v>
      </c>
      <c r="AC187" s="11">
        <v>-9.9382572674332811E-4</v>
      </c>
      <c r="AD187" s="11">
        <v>1.252449164869119E-2</v>
      </c>
      <c r="AE187" s="11">
        <v>-5.0868356985198593E-2</v>
      </c>
      <c r="AF187" s="1">
        <v>9.3170201859536728E-2</v>
      </c>
      <c r="AG187" s="3">
        <f t="shared" si="342"/>
        <v>2.7321181962653873E-2</v>
      </c>
      <c r="AH187" s="11">
        <f t="shared" si="351"/>
        <v>0.89664964058341567</v>
      </c>
      <c r="AI187" s="3">
        <v>6.0325830199710519E-3</v>
      </c>
      <c r="AJ187" s="11">
        <v>0</v>
      </c>
      <c r="AK187" s="11"/>
      <c r="AN187" s="7">
        <v>4.5</v>
      </c>
      <c r="AO187" s="7">
        <v>3.75</v>
      </c>
      <c r="AP187" s="11">
        <v>-9.9382572674332811E-4</v>
      </c>
      <c r="AQ187" s="11">
        <v>1.252449164869119E-2</v>
      </c>
      <c r="AR187" s="11">
        <v>-5.0868356985198593E-2</v>
      </c>
      <c r="AS187" s="1">
        <v>9.3170201859536728E-2</v>
      </c>
      <c r="AT187" s="3">
        <f t="shared" si="343"/>
        <v>2.7321181962653873E-2</v>
      </c>
      <c r="AU187" s="11">
        <f t="shared" si="352"/>
        <v>0.89664853018616397</v>
      </c>
      <c r="AV187" s="3">
        <v>6.0325755493121644E-3</v>
      </c>
      <c r="AW187" s="11">
        <v>0</v>
      </c>
      <c r="AX187" s="11"/>
      <c r="BA187" s="7">
        <v>4.5</v>
      </c>
      <c r="BB187" s="7">
        <v>3.75</v>
      </c>
      <c r="BC187" s="11">
        <v>-9.988257267433279E-4</v>
      </c>
      <c r="BD187" s="11">
        <v>1.2590741648691187E-2</v>
      </c>
      <c r="BE187" s="11">
        <v>-5.1159294485198591E-2</v>
      </c>
      <c r="BF187" s="1">
        <v>9.3593248734536769E-2</v>
      </c>
      <c r="BG187" s="3">
        <f t="shared" si="344"/>
        <v>2.7320947587653896E-2</v>
      </c>
      <c r="BH187" s="11">
        <f t="shared" si="353"/>
        <v>0.89664848212129067</v>
      </c>
      <c r="BI187" s="3">
        <v>6.0324351246104227E-3</v>
      </c>
      <c r="BJ187" s="11">
        <v>0</v>
      </c>
      <c r="BK187" s="11"/>
      <c r="BN187" s="7">
        <v>4.5</v>
      </c>
      <c r="BO187" s="7">
        <v>3.75</v>
      </c>
      <c r="BP187" s="11">
        <v>-9.7882572674332872E-4</v>
      </c>
      <c r="BQ187" s="11">
        <v>1.2330741648691197E-2</v>
      </c>
      <c r="BR187" s="11">
        <v>-5.0048044485198624E-2</v>
      </c>
      <c r="BS187" s="1">
        <v>9.2037623734536805E-2</v>
      </c>
      <c r="BT187" s="3">
        <f t="shared" si="345"/>
        <v>2.7323447587653926E-2</v>
      </c>
      <c r="BU187" s="11">
        <f t="shared" si="354"/>
        <v>0.89664869291571347</v>
      </c>
      <c r="BV187" s="3">
        <v>6.033837556367245E-3</v>
      </c>
      <c r="BW187" s="11">
        <v>0</v>
      </c>
      <c r="BX187" s="11"/>
      <c r="CA187" s="7">
        <v>4.5</v>
      </c>
      <c r="CB187" s="7">
        <v>3.75</v>
      </c>
      <c r="CC187" s="11">
        <v>-1.0063257267433276E-3</v>
      </c>
      <c r="CD187" s="11">
        <v>1.2682616648691183E-2</v>
      </c>
      <c r="CE187" s="11">
        <v>-5.1521950735198552E-2</v>
      </c>
      <c r="CF187" s="1">
        <v>9.4056725297036681E-2</v>
      </c>
      <c r="CG187" s="3">
        <f t="shared" si="346"/>
        <v>2.7329502275153905E-2</v>
      </c>
      <c r="CH187" s="11">
        <f t="shared" si="355"/>
        <v>0.89665613108210385</v>
      </c>
      <c r="CI187" s="3">
        <v>6.0338175589219256E-3</v>
      </c>
      <c r="CJ187" s="11">
        <v>0</v>
      </c>
      <c r="CK187" s="11"/>
      <c r="CN187" s="7">
        <v>4.5</v>
      </c>
      <c r="CO187" s="7">
        <v>3.75</v>
      </c>
      <c r="CP187" s="11">
        <v>-9.9132572674332821E-4</v>
      </c>
      <c r="CQ187" s="11">
        <v>1.249386664869119E-2</v>
      </c>
      <c r="CR187" s="11">
        <v>-5.0744138235198598E-2</v>
      </c>
      <c r="CS187" s="1">
        <v>9.3003209672036763E-2</v>
      </c>
      <c r="CT187" s="3">
        <f t="shared" si="347"/>
        <v>2.73208304001539E-2</v>
      </c>
      <c r="CU187" s="11">
        <f t="shared" si="356"/>
        <v>0.89665754009714793</v>
      </c>
      <c r="CV187" s="3">
        <v>6.0325661158616541E-3</v>
      </c>
      <c r="CW187" s="11">
        <v>0</v>
      </c>
      <c r="CX187" s="11"/>
      <c r="DA187" s="7">
        <v>4.5</v>
      </c>
      <c r="DB187" s="7">
        <v>3.75</v>
      </c>
      <c r="DC187" s="11">
        <v>-9.9382572674332811E-4</v>
      </c>
      <c r="DD187" s="11">
        <v>1.252449164869119E-2</v>
      </c>
      <c r="DE187" s="11">
        <v>-5.0868356985198593E-2</v>
      </c>
      <c r="DF187" s="1">
        <v>9.3170201859536728E-2</v>
      </c>
      <c r="DG187" s="3">
        <f t="shared" si="348"/>
        <v>2.7321181962653873E-2</v>
      </c>
      <c r="DH187" s="11">
        <f t="shared" si="357"/>
        <v>0.89665744441744921</v>
      </c>
      <c r="DI187" s="3">
        <v>6.0326355235070491E-3</v>
      </c>
      <c r="DJ187" s="11">
        <v>0</v>
      </c>
      <c r="DK187" s="11"/>
    </row>
    <row r="188" spans="1:115" x14ac:dyDescent="0.25">
      <c r="A188" s="7">
        <v>4.75</v>
      </c>
      <c r="B188" s="7">
        <v>4.75</v>
      </c>
      <c r="C188" s="11">
        <v>2.714864453094069E-4</v>
      </c>
      <c r="D188" s="11">
        <v>-4.7335043516068161E-3</v>
      </c>
      <c r="E188" s="11">
        <v>2.7436787371812967E-2</v>
      </c>
      <c r="F188" s="1">
        <v>-2.5001577018758603E-2</v>
      </c>
      <c r="G188" s="3">
        <f t="shared" si="340"/>
        <v>2.7619182445118282E-2</v>
      </c>
      <c r="H188" s="11">
        <f t="shared" si="349"/>
        <v>0.89057455703642374</v>
      </c>
      <c r="I188" s="3">
        <v>6.0828873810255006E-3</v>
      </c>
      <c r="J188" s="11">
        <v>0</v>
      </c>
      <c r="N188" s="7">
        <v>4.75</v>
      </c>
      <c r="O188" s="7">
        <v>4.75</v>
      </c>
      <c r="P188" s="11">
        <v>2.714864453094069E-4</v>
      </c>
      <c r="Q188" s="11">
        <v>-4.7335043516068161E-3</v>
      </c>
      <c r="R188" s="11">
        <v>2.7436787371812967E-2</v>
      </c>
      <c r="S188" s="1">
        <v>-2.5001577018758603E-2</v>
      </c>
      <c r="T188" s="3">
        <f t="shared" si="341"/>
        <v>2.7619182445118282E-2</v>
      </c>
      <c r="U188" s="11">
        <f t="shared" si="350"/>
        <v>0.89057013119535644</v>
      </c>
      <c r="V188" s="3">
        <v>6.0828571512232168E-3</v>
      </c>
      <c r="W188" s="11">
        <v>0</v>
      </c>
      <c r="AA188" s="7">
        <v>4.75</v>
      </c>
      <c r="AB188" s="7">
        <v>4.75</v>
      </c>
      <c r="AC188" s="11">
        <v>2.714864453094069E-4</v>
      </c>
      <c r="AD188" s="11">
        <v>-4.7335043516068161E-3</v>
      </c>
      <c r="AE188" s="11">
        <v>2.7436787371812967E-2</v>
      </c>
      <c r="AF188" s="1">
        <v>-2.5001577018758603E-2</v>
      </c>
      <c r="AG188" s="3">
        <f t="shared" si="342"/>
        <v>2.7619182445118282E-2</v>
      </c>
      <c r="AH188" s="11">
        <f t="shared" si="351"/>
        <v>0.89056680614328076</v>
      </c>
      <c r="AI188" s="3">
        <v>6.0828344401350175E-3</v>
      </c>
      <c r="AJ188" s="11">
        <v>0</v>
      </c>
      <c r="AK188" s="11"/>
      <c r="AN188" s="7">
        <v>4.75</v>
      </c>
      <c r="AO188" s="7">
        <v>4.75</v>
      </c>
      <c r="AP188" s="11">
        <v>2.714864453094069E-4</v>
      </c>
      <c r="AQ188" s="11">
        <v>-4.7335043516068161E-3</v>
      </c>
      <c r="AR188" s="11">
        <v>2.7436787371812967E-2</v>
      </c>
      <c r="AS188" s="1">
        <v>-2.5001577018758603E-2</v>
      </c>
      <c r="AT188" s="3">
        <f t="shared" si="343"/>
        <v>2.7619182445118282E-2</v>
      </c>
      <c r="AU188" s="11">
        <f t="shared" si="352"/>
        <v>0.89056570327891849</v>
      </c>
      <c r="AV188" s="3">
        <v>6.0828269072455369E-3</v>
      </c>
      <c r="AW188" s="11">
        <v>0</v>
      </c>
      <c r="AX188" s="11"/>
      <c r="BA188" s="7">
        <v>4.75</v>
      </c>
      <c r="BB188" s="7">
        <v>4.75</v>
      </c>
      <c r="BC188" s="11">
        <v>2.714864453094069E-4</v>
      </c>
      <c r="BD188" s="11">
        <v>-4.7335043516068161E-3</v>
      </c>
      <c r="BE188" s="11">
        <v>2.7436787371812967E-2</v>
      </c>
      <c r="BF188" s="1">
        <v>-2.5001577018758603E-2</v>
      </c>
      <c r="BG188" s="3">
        <f t="shared" si="344"/>
        <v>2.7619182445118282E-2</v>
      </c>
      <c r="BH188" s="11">
        <f t="shared" si="353"/>
        <v>0.89056570736770191</v>
      </c>
      <c r="BI188" s="3">
        <v>6.0827747535887253E-3</v>
      </c>
      <c r="BJ188" s="11">
        <v>0</v>
      </c>
      <c r="BK188" s="11"/>
      <c r="BN188" s="7">
        <v>4.75</v>
      </c>
      <c r="BO188" s="7">
        <v>4.75</v>
      </c>
      <c r="BP188" s="11">
        <v>2.7023644530940695E-4</v>
      </c>
      <c r="BQ188" s="11">
        <v>-4.7106918516068175E-3</v>
      </c>
      <c r="BR188" s="11">
        <v>2.7299677996812974E-2</v>
      </c>
      <c r="BS188" s="1">
        <v>-2.4731049675008623E-2</v>
      </c>
      <c r="BT188" s="3">
        <f t="shared" si="345"/>
        <v>2.7619182445118282E-2</v>
      </c>
      <c r="BU188" s="11">
        <f t="shared" si="354"/>
        <v>0.89056536390470586</v>
      </c>
      <c r="BV188" s="3">
        <v>6.083329011007544E-3</v>
      </c>
      <c r="BW188" s="11">
        <v>0</v>
      </c>
      <c r="BX188" s="11"/>
      <c r="CA188" s="7">
        <v>4.75</v>
      </c>
      <c r="CB188" s="7">
        <v>4.75</v>
      </c>
      <c r="CC188" s="11">
        <v>2.739864453094068E-4</v>
      </c>
      <c r="CD188" s="11">
        <v>-4.7778793516068145E-3</v>
      </c>
      <c r="CE188" s="11">
        <v>2.7691631121812953E-2</v>
      </c>
      <c r="CF188" s="1">
        <v>-2.5468803581258567E-2</v>
      </c>
      <c r="CG188" s="3">
        <f t="shared" si="346"/>
        <v>2.7629182445118292E-2</v>
      </c>
      <c r="CH188" s="11">
        <f t="shared" si="355"/>
        <v>0.89057141271957718</v>
      </c>
      <c r="CI188" s="3">
        <v>6.0847183625266782E-3</v>
      </c>
      <c r="CJ188" s="11">
        <v>0</v>
      </c>
      <c r="CK188" s="11"/>
      <c r="CN188" s="7">
        <v>4.75</v>
      </c>
      <c r="CO188" s="7">
        <v>4.75</v>
      </c>
      <c r="CP188" s="11">
        <v>2.6981977864274026E-4</v>
      </c>
      <c r="CQ188" s="11">
        <v>-4.7051710182734836E-3</v>
      </c>
      <c r="CR188" s="11">
        <v>2.7282933205146305E-2</v>
      </c>
      <c r="CS188" s="1">
        <v>-2.4731420768758616E-2</v>
      </c>
      <c r="CT188" s="3">
        <f t="shared" si="347"/>
        <v>2.7619182445118295E-2</v>
      </c>
      <c r="CU188" s="11">
        <f t="shared" si="356"/>
        <v>0.89057472980920294</v>
      </c>
      <c r="CV188" s="3">
        <v>6.0828102879450291E-3</v>
      </c>
      <c r="CW188" s="11">
        <v>0</v>
      </c>
      <c r="CX188" s="11"/>
      <c r="DA188" s="7">
        <v>4.75</v>
      </c>
      <c r="DB188" s="7">
        <v>4.75</v>
      </c>
      <c r="DC188" s="11">
        <v>2.7190311197607369E-4</v>
      </c>
      <c r="DD188" s="11">
        <v>-4.7402751849401521E-3</v>
      </c>
      <c r="DE188" s="11">
        <v>2.7472907163479651E-2</v>
      </c>
      <c r="DF188" s="1">
        <v>-2.5065034050008636E-2</v>
      </c>
      <c r="DG188" s="3">
        <f t="shared" si="348"/>
        <v>2.7619182445118295E-2</v>
      </c>
      <c r="DH188" s="11">
        <f t="shared" si="357"/>
        <v>0.89057455703642374</v>
      </c>
      <c r="DI188" s="3">
        <v>6.0828873810255006E-3</v>
      </c>
      <c r="DJ188" s="11">
        <v>0</v>
      </c>
      <c r="DK188" s="11"/>
    </row>
    <row r="189" spans="1:115" x14ac:dyDescent="0.25">
      <c r="A189" s="7">
        <v>5</v>
      </c>
      <c r="B189" s="7">
        <v>4.75</v>
      </c>
      <c r="C189" s="11">
        <v>2.714864453094069E-4</v>
      </c>
      <c r="D189" s="11">
        <v>-4.7335043516068161E-3</v>
      </c>
      <c r="E189" s="11">
        <v>2.7436787371812967E-2</v>
      </c>
      <c r="F189" s="1">
        <v>-2.5001577018758603E-2</v>
      </c>
      <c r="G189" s="3">
        <f t="shared" si="340"/>
        <v>2.7780556713811688E-2</v>
      </c>
      <c r="H189" s="11">
        <f t="shared" si="349"/>
        <v>0.88446748979457079</v>
      </c>
      <c r="I189" s="3">
        <v>6.1070672418530106E-3</v>
      </c>
      <c r="J189" s="11">
        <v>0.88446748979457079</v>
      </c>
      <c r="N189" s="7">
        <v>5</v>
      </c>
      <c r="O189" s="7">
        <v>4.75</v>
      </c>
      <c r="P189" s="11">
        <v>2.714864453094069E-4</v>
      </c>
      <c r="Q189" s="11">
        <v>-4.7335043516068161E-3</v>
      </c>
      <c r="R189" s="11">
        <v>2.7436787371812967E-2</v>
      </c>
      <c r="S189" s="1">
        <v>-2.5001577018758603E-2</v>
      </c>
      <c r="T189" s="3">
        <f t="shared" si="341"/>
        <v>2.7780556713811688E-2</v>
      </c>
      <c r="U189" s="11">
        <f t="shared" si="350"/>
        <v>0.88446309430347114</v>
      </c>
      <c r="V189" s="3">
        <v>6.1070368918853561E-3</v>
      </c>
      <c r="W189" s="11">
        <v>0.88446309430347114</v>
      </c>
      <c r="AA189" s="7">
        <v>5</v>
      </c>
      <c r="AB189" s="7">
        <v>4.75</v>
      </c>
      <c r="AC189" s="11">
        <v>2.714864453094069E-4</v>
      </c>
      <c r="AD189" s="11">
        <v>-4.7335043516068161E-3</v>
      </c>
      <c r="AE189" s="11">
        <v>2.7436787371812967E-2</v>
      </c>
      <c r="AF189" s="1">
        <v>-2.5001577018758603E-2</v>
      </c>
      <c r="AG189" s="3">
        <f t="shared" si="342"/>
        <v>2.7780556713811688E-2</v>
      </c>
      <c r="AH189" s="11">
        <f t="shared" si="351"/>
        <v>0.8844597920527616</v>
      </c>
      <c r="AI189" s="3">
        <v>6.1070140905191495E-3</v>
      </c>
      <c r="AJ189" s="11">
        <v>0.8844597920527616</v>
      </c>
      <c r="AK189" s="11"/>
      <c r="AN189" s="7">
        <v>5</v>
      </c>
      <c r="AO189" s="7">
        <v>4.75</v>
      </c>
      <c r="AP189" s="11">
        <v>2.714864453094069E-4</v>
      </c>
      <c r="AQ189" s="11">
        <v>-4.7335043516068161E-3</v>
      </c>
      <c r="AR189" s="11">
        <v>2.7436787371812967E-2</v>
      </c>
      <c r="AS189" s="1">
        <v>-2.5001577018758603E-2</v>
      </c>
      <c r="AT189" s="3">
        <f t="shared" si="343"/>
        <v>2.7780556713811688E-2</v>
      </c>
      <c r="AU189" s="11">
        <f t="shared" si="352"/>
        <v>0.88445869675123256</v>
      </c>
      <c r="AV189" s="3">
        <v>6.1070065276859591E-3</v>
      </c>
      <c r="AW189" s="11">
        <v>0.88445869675123256</v>
      </c>
      <c r="AX189" s="11"/>
      <c r="BA189" s="7">
        <v>5</v>
      </c>
      <c r="BB189" s="7">
        <v>4.75</v>
      </c>
      <c r="BC189" s="11">
        <v>2.714864453094069E-4</v>
      </c>
      <c r="BD189" s="11">
        <v>-4.7335043516068161E-3</v>
      </c>
      <c r="BE189" s="11">
        <v>2.7436787371812967E-2</v>
      </c>
      <c r="BF189" s="1">
        <v>-2.5001577018758603E-2</v>
      </c>
      <c r="BG189" s="3">
        <f t="shared" si="344"/>
        <v>2.7780556713811688E-2</v>
      </c>
      <c r="BH189" s="11">
        <f t="shared" si="353"/>
        <v>0.88445870081197731</v>
      </c>
      <c r="BI189" s="3">
        <v>6.1070065557245713E-3</v>
      </c>
      <c r="BJ189" s="11">
        <v>0.88445870081197731</v>
      </c>
      <c r="BK189" s="11"/>
      <c r="BN189" s="7">
        <v>5</v>
      </c>
      <c r="BO189" s="7">
        <v>4.75</v>
      </c>
      <c r="BP189" s="11">
        <v>2.7023644530940695E-4</v>
      </c>
      <c r="BQ189" s="11">
        <v>-4.7106918516068175E-3</v>
      </c>
      <c r="BR189" s="11">
        <v>2.7299677996812974E-2</v>
      </c>
      <c r="BS189" s="1">
        <v>-2.4731049675008623E-2</v>
      </c>
      <c r="BT189" s="3">
        <f t="shared" si="345"/>
        <v>2.777959968256169E-2</v>
      </c>
      <c r="BU189" s="11">
        <f t="shared" si="354"/>
        <v>0.88445835970426034</v>
      </c>
      <c r="BV189" s="3">
        <v>6.107004200445504E-3</v>
      </c>
      <c r="BW189" s="11">
        <v>0.88445835970426034</v>
      </c>
      <c r="BX189" s="11"/>
      <c r="CA189" s="7">
        <v>5</v>
      </c>
      <c r="CB189" s="7">
        <v>4.75</v>
      </c>
      <c r="CC189" s="11">
        <v>2.739864453094068E-4</v>
      </c>
      <c r="CD189" s="11">
        <v>-4.7778793516068145E-3</v>
      </c>
      <c r="CE189" s="11">
        <v>2.7691631121812953E-2</v>
      </c>
      <c r="CF189" s="1">
        <v>-2.5468803581258567E-2</v>
      </c>
      <c r="CG189" s="3">
        <f t="shared" si="346"/>
        <v>2.7790673901311694E-2</v>
      </c>
      <c r="CH189" s="11">
        <f t="shared" si="355"/>
        <v>0.88446217104716029</v>
      </c>
      <c r="CI189" s="3">
        <v>6.1092416724168536E-3</v>
      </c>
      <c r="CJ189" s="11">
        <v>0.88446217104716029</v>
      </c>
      <c r="CK189" s="11"/>
      <c r="CN189" s="7">
        <v>5</v>
      </c>
      <c r="CO189" s="7">
        <v>4.75</v>
      </c>
      <c r="CP189" s="11">
        <v>2.6981977864274026E-4</v>
      </c>
      <c r="CQ189" s="11">
        <v>-4.7051710182734836E-3</v>
      </c>
      <c r="CR189" s="11">
        <v>2.7282933205146305E-2</v>
      </c>
      <c r="CS189" s="1">
        <v>-2.4731420768758616E-2</v>
      </c>
      <c r="CT189" s="3">
        <f t="shared" si="347"/>
        <v>2.778144213047834E-2</v>
      </c>
      <c r="CU189" s="11">
        <f t="shared" si="356"/>
        <v>0.88446766138256994</v>
      </c>
      <c r="CV189" s="3">
        <v>6.1070684266330772E-3</v>
      </c>
      <c r="CW189" s="11">
        <v>0.88446766138256994</v>
      </c>
      <c r="CX189" s="11"/>
      <c r="DA189" s="7">
        <v>5</v>
      </c>
      <c r="DB189" s="7">
        <v>4.75</v>
      </c>
      <c r="DC189" s="11">
        <v>2.7190311197607369E-4</v>
      </c>
      <c r="DD189" s="11">
        <v>-4.7402751849401521E-3</v>
      </c>
      <c r="DE189" s="11">
        <v>2.7472907163479651E-2</v>
      </c>
      <c r="DF189" s="1">
        <v>-2.5065034050008636E-2</v>
      </c>
      <c r="DG189" s="3">
        <f t="shared" si="348"/>
        <v>2.7780511140895039E-2</v>
      </c>
      <c r="DH189" s="11">
        <f t="shared" si="357"/>
        <v>0.88446748979457079</v>
      </c>
      <c r="DI189" s="3">
        <v>6.1070672418530141E-3</v>
      </c>
      <c r="DJ189" s="11">
        <v>0.88446748979457079</v>
      </c>
      <c r="DK189" s="11"/>
    </row>
    <row r="190" spans="1:115" x14ac:dyDescent="0.25">
      <c r="A190" s="7">
        <v>5.25</v>
      </c>
      <c r="B190" s="7">
        <v>4.75</v>
      </c>
      <c r="C190" s="11">
        <v>2.714864453094069E-4</v>
      </c>
      <c r="D190" s="11">
        <v>-4.7335043516068161E-3</v>
      </c>
      <c r="E190" s="11">
        <v>2.7436787371812967E-2</v>
      </c>
      <c r="F190" s="1">
        <v>-2.5001577018758603E-2</v>
      </c>
      <c r="G190" s="3">
        <f t="shared" si="340"/>
        <v>2.7859280023509361E-2</v>
      </c>
      <c r="H190" s="11">
        <f t="shared" si="349"/>
        <v>0.87836710797987538</v>
      </c>
      <c r="I190" s="3">
        <v>6.1003818146954207E-3</v>
      </c>
      <c r="J190" s="11">
        <v>0</v>
      </c>
      <c r="N190" s="7">
        <v>5.25</v>
      </c>
      <c r="O190" s="7">
        <v>4.75</v>
      </c>
      <c r="P190" s="11">
        <v>2.714864453094069E-4</v>
      </c>
      <c r="Q190" s="11">
        <v>-4.7335043516068161E-3</v>
      </c>
      <c r="R190" s="11">
        <v>2.7436787371812967E-2</v>
      </c>
      <c r="S190" s="1">
        <v>-2.5001577018758603E-2</v>
      </c>
      <c r="T190" s="3">
        <f t="shared" si="341"/>
        <v>2.7859280023509361E-2</v>
      </c>
      <c r="U190" s="11">
        <f t="shared" si="350"/>
        <v>0.87836274280551918</v>
      </c>
      <c r="V190" s="3">
        <v>6.1003514979519786E-3</v>
      </c>
      <c r="W190" s="11">
        <v>0</v>
      </c>
      <c r="AA190" s="7">
        <v>5.25</v>
      </c>
      <c r="AB190" s="7">
        <v>4.75</v>
      </c>
      <c r="AC190" s="11">
        <v>2.714864453094069E-4</v>
      </c>
      <c r="AD190" s="11">
        <v>-4.7335043516068161E-3</v>
      </c>
      <c r="AE190" s="11">
        <v>2.7436787371812967E-2</v>
      </c>
      <c r="AF190" s="1">
        <v>-2.5001577018758603E-2</v>
      </c>
      <c r="AG190" s="3">
        <f t="shared" si="342"/>
        <v>2.7859280023509361E-2</v>
      </c>
      <c r="AH190" s="11">
        <f t="shared" si="351"/>
        <v>0.87835946333121506</v>
      </c>
      <c r="AI190" s="3">
        <v>6.1003287215465043E-3</v>
      </c>
      <c r="AJ190" s="11">
        <v>0</v>
      </c>
      <c r="AK190" s="11"/>
      <c r="AN190" s="7">
        <v>5.25</v>
      </c>
      <c r="AO190" s="7">
        <v>4.75</v>
      </c>
      <c r="AP190" s="11">
        <v>2.714864453094069E-4</v>
      </c>
      <c r="AQ190" s="11">
        <v>-4.7335043516068161E-3</v>
      </c>
      <c r="AR190" s="11">
        <v>2.7436787371812967E-2</v>
      </c>
      <c r="AS190" s="1">
        <v>-2.5001577018758603E-2</v>
      </c>
      <c r="AT190" s="3">
        <f t="shared" si="343"/>
        <v>2.7859280023509361E-2</v>
      </c>
      <c r="AU190" s="11">
        <f t="shared" si="352"/>
        <v>0.87835837558424013</v>
      </c>
      <c r="AV190" s="3">
        <v>6.1003211669923727E-3</v>
      </c>
      <c r="AW190" s="11">
        <v>0</v>
      </c>
      <c r="AX190" s="11"/>
      <c r="BA190" s="7">
        <v>5.25</v>
      </c>
      <c r="BB190" s="7">
        <v>4.75</v>
      </c>
      <c r="BC190" s="11">
        <v>2.714864453094069E-4</v>
      </c>
      <c r="BD190" s="11">
        <v>-4.7335043516068161E-3</v>
      </c>
      <c r="BE190" s="11">
        <v>2.7436787371812967E-2</v>
      </c>
      <c r="BF190" s="1">
        <v>-2.5001577018758603E-2</v>
      </c>
      <c r="BG190" s="3">
        <f t="shared" si="344"/>
        <v>2.7859280023509361E-2</v>
      </c>
      <c r="BH190" s="11">
        <f t="shared" si="353"/>
        <v>0.87835837961697694</v>
      </c>
      <c r="BI190" s="3">
        <v>6.1003211950002908E-3</v>
      </c>
      <c r="BJ190" s="11">
        <v>0</v>
      </c>
      <c r="BK190" s="11"/>
      <c r="BN190" s="7">
        <v>5.25</v>
      </c>
      <c r="BO190" s="7">
        <v>4.75</v>
      </c>
      <c r="BP190" s="11">
        <v>2.7023644530940695E-4</v>
      </c>
      <c r="BQ190" s="11">
        <v>-4.7106918516068175E-3</v>
      </c>
      <c r="BR190" s="11">
        <v>2.7299677996812974E-2</v>
      </c>
      <c r="BS190" s="1">
        <v>-2.4731049675008623E-2</v>
      </c>
      <c r="BT190" s="3">
        <f t="shared" si="345"/>
        <v>2.7857873773509345E-2</v>
      </c>
      <c r="BU190" s="11">
        <f t="shared" si="354"/>
        <v>0.87835824956655162</v>
      </c>
      <c r="BV190" s="3">
        <v>6.1001101377086047E-3</v>
      </c>
      <c r="BW190" s="11">
        <v>0</v>
      </c>
      <c r="BX190" s="11"/>
      <c r="CA190" s="7">
        <v>5.25</v>
      </c>
      <c r="CB190" s="7">
        <v>4.75</v>
      </c>
      <c r="CC190" s="11">
        <v>2.739864453094068E-4</v>
      </c>
      <c r="CD190" s="11">
        <v>-4.7778793516068145E-3</v>
      </c>
      <c r="CE190" s="11">
        <v>2.7691631121812953E-2</v>
      </c>
      <c r="CF190" s="1">
        <v>-2.5468803581258567E-2</v>
      </c>
      <c r="CG190" s="3">
        <f t="shared" si="346"/>
        <v>2.7868655023509367E-2</v>
      </c>
      <c r="CH190" s="11">
        <f t="shared" si="355"/>
        <v>0.87835961960800868</v>
      </c>
      <c r="CI190" s="3">
        <v>6.1025514391515887E-3</v>
      </c>
      <c r="CJ190" s="11">
        <v>0</v>
      </c>
      <c r="CK190" s="11"/>
      <c r="CN190" s="7">
        <v>5.25</v>
      </c>
      <c r="CO190" s="7">
        <v>4.75</v>
      </c>
      <c r="CP190" s="11">
        <v>2.6981977864274026E-4</v>
      </c>
      <c r="CQ190" s="11">
        <v>-4.7051710182734836E-3</v>
      </c>
      <c r="CR190" s="11">
        <v>2.7282933205146305E-2</v>
      </c>
      <c r="CS190" s="1">
        <v>-2.4731420768758616E-2</v>
      </c>
      <c r="CT190" s="3">
        <f t="shared" si="347"/>
        <v>2.7861467523509376E-2</v>
      </c>
      <c r="CU190" s="11">
        <f t="shared" si="356"/>
        <v>0.87836708529520857</v>
      </c>
      <c r="CV190" s="3">
        <v>6.1005760873614426E-3</v>
      </c>
      <c r="CW190" s="11">
        <v>0</v>
      </c>
      <c r="CX190" s="11"/>
      <c r="DA190" s="7">
        <v>5.25</v>
      </c>
      <c r="DB190" s="7">
        <v>4.75</v>
      </c>
      <c r="DC190" s="11">
        <v>2.7190311197607369E-4</v>
      </c>
      <c r="DD190" s="11">
        <v>-4.7402751849401521E-3</v>
      </c>
      <c r="DE190" s="11">
        <v>2.7472907163479651E-2</v>
      </c>
      <c r="DF190" s="1">
        <v>-2.5065034050008636E-2</v>
      </c>
      <c r="DG190" s="3">
        <f t="shared" si="348"/>
        <v>2.7859123773509395E-2</v>
      </c>
      <c r="DH190" s="11">
        <f t="shared" si="357"/>
        <v>0.87836711791828959</v>
      </c>
      <c r="DI190" s="3">
        <v>6.1003718762812275E-3</v>
      </c>
      <c r="DJ190" s="11">
        <v>0</v>
      </c>
      <c r="DK190" s="11"/>
    </row>
    <row r="191" spans="1:115" x14ac:dyDescent="0.25">
      <c r="A191" s="7">
        <v>5.5</v>
      </c>
      <c r="B191" s="7">
        <v>4.75</v>
      </c>
      <c r="C191" s="11">
        <v>2.714864453094069E-4</v>
      </c>
      <c r="D191" s="11">
        <v>-4.7335043516068161E-3</v>
      </c>
      <c r="E191" s="11">
        <v>2.7436787371812967E-2</v>
      </c>
      <c r="F191" s="1">
        <v>-2.5001577018758603E-2</v>
      </c>
      <c r="G191" s="3">
        <f t="shared" si="340"/>
        <v>2.7880804228459094E-2</v>
      </c>
      <c r="H191" s="11">
        <f t="shared" si="349"/>
        <v>0.87229175292811978</v>
      </c>
      <c r="I191" s="3">
        <v>6.0753550517555826E-3</v>
      </c>
      <c r="J191" s="11">
        <v>0</v>
      </c>
      <c r="N191" s="7">
        <v>5.5</v>
      </c>
      <c r="O191" s="7">
        <v>4.75</v>
      </c>
      <c r="P191" s="11">
        <v>2.714864453094069E-4</v>
      </c>
      <c r="Q191" s="11">
        <v>-4.7335043516068161E-3</v>
      </c>
      <c r="R191" s="11">
        <v>2.7436787371812967E-2</v>
      </c>
      <c r="S191" s="1">
        <v>-2.5001577018758603E-2</v>
      </c>
      <c r="T191" s="3">
        <f t="shared" si="341"/>
        <v>2.7880804228459094E-2</v>
      </c>
      <c r="U191" s="11">
        <f t="shared" si="350"/>
        <v>0.87228741794613285</v>
      </c>
      <c r="V191" s="3">
        <v>6.0753248593863147E-3</v>
      </c>
      <c r="W191" s="11">
        <v>0</v>
      </c>
      <c r="AA191" s="7">
        <v>5.5</v>
      </c>
      <c r="AB191" s="7">
        <v>4.75</v>
      </c>
      <c r="AC191" s="11">
        <v>2.714864453094069E-4</v>
      </c>
      <c r="AD191" s="11">
        <v>-4.7335043516068161E-3</v>
      </c>
      <c r="AE191" s="11">
        <v>2.7436787371812967E-2</v>
      </c>
      <c r="AF191" s="1">
        <v>-2.5001577018758603E-2</v>
      </c>
      <c r="AG191" s="3">
        <f t="shared" si="342"/>
        <v>2.7880804228459094E-2</v>
      </c>
      <c r="AH191" s="11">
        <f t="shared" si="351"/>
        <v>0.87228416115479412</v>
      </c>
      <c r="AI191" s="3">
        <v>6.0753021764208444E-3</v>
      </c>
      <c r="AJ191" s="11">
        <v>0</v>
      </c>
      <c r="AK191" s="11"/>
      <c r="AN191" s="7">
        <v>5.5</v>
      </c>
      <c r="AO191" s="7">
        <v>4.75</v>
      </c>
      <c r="AP191" s="11">
        <v>2.714864453094069E-4</v>
      </c>
      <c r="AQ191" s="11">
        <v>-4.7335043516068161E-3</v>
      </c>
      <c r="AR191" s="11">
        <v>2.7436787371812967E-2</v>
      </c>
      <c r="AS191" s="1">
        <v>-2.5001577018758603E-2</v>
      </c>
      <c r="AT191" s="3">
        <f t="shared" si="343"/>
        <v>2.7880804228459094E-2</v>
      </c>
      <c r="AU191" s="11">
        <f t="shared" si="352"/>
        <v>0.87228308093138085</v>
      </c>
      <c r="AV191" s="3">
        <v>6.0752946528592044E-3</v>
      </c>
      <c r="AW191" s="11">
        <v>0</v>
      </c>
      <c r="AX191" s="11"/>
      <c r="BA191" s="7">
        <v>5.5</v>
      </c>
      <c r="BB191" s="7">
        <v>4.75</v>
      </c>
      <c r="BC191" s="11">
        <v>2.714864453094069E-4</v>
      </c>
      <c r="BD191" s="11">
        <v>-4.7335043516068161E-3</v>
      </c>
      <c r="BE191" s="11">
        <v>2.7436787371812967E-2</v>
      </c>
      <c r="BF191" s="1">
        <v>-2.5001577018758603E-2</v>
      </c>
      <c r="BG191" s="3">
        <f t="shared" si="344"/>
        <v>2.7880804228459094E-2</v>
      </c>
      <c r="BH191" s="11">
        <f t="shared" si="353"/>
        <v>0.87228308493622464</v>
      </c>
      <c r="BI191" s="3">
        <v>6.0752946807522204E-3</v>
      </c>
      <c r="BJ191" s="11">
        <v>0</v>
      </c>
      <c r="BK191" s="11"/>
      <c r="BN191" s="7">
        <v>5.5</v>
      </c>
      <c r="BO191" s="7">
        <v>4.75</v>
      </c>
      <c r="BP191" s="11">
        <v>2.7023644530940695E-4</v>
      </c>
      <c r="BQ191" s="11">
        <v>-4.7106918516068175E-3</v>
      </c>
      <c r="BR191" s="11">
        <v>2.7299677996812974E-2</v>
      </c>
      <c r="BS191" s="1">
        <v>-2.4731049675008623E-2</v>
      </c>
      <c r="BT191" s="3">
        <f t="shared" si="345"/>
        <v>2.7879339384709087E-2</v>
      </c>
      <c r="BU191" s="11">
        <f t="shared" si="354"/>
        <v>0.87228326032632264</v>
      </c>
      <c r="BV191" s="3">
        <v>6.0749892402289724E-3</v>
      </c>
      <c r="BW191" s="11">
        <v>0</v>
      </c>
      <c r="BX191" s="11"/>
      <c r="CA191" s="7">
        <v>5.5</v>
      </c>
      <c r="CB191" s="7">
        <v>4.75</v>
      </c>
      <c r="CC191" s="11">
        <v>2.739864453094068E-4</v>
      </c>
      <c r="CD191" s="11">
        <v>-4.7778793516068145E-3</v>
      </c>
      <c r="CE191" s="11">
        <v>2.7691631121812953E-2</v>
      </c>
      <c r="CF191" s="1">
        <v>-2.5468803581258567E-2</v>
      </c>
      <c r="CG191" s="3">
        <f t="shared" si="346"/>
        <v>2.7888812040959096E-2</v>
      </c>
      <c r="CH191" s="11">
        <f t="shared" si="355"/>
        <v>0.8722822860795415</v>
      </c>
      <c r="CI191" s="3">
        <v>6.0773335284672126E-3</v>
      </c>
      <c r="CJ191" s="11">
        <v>0</v>
      </c>
      <c r="CK191" s="11"/>
      <c r="CN191" s="7">
        <v>5.5</v>
      </c>
      <c r="CO191" s="7">
        <v>4.75</v>
      </c>
      <c r="CP191" s="11">
        <v>2.6981977864274026E-4</v>
      </c>
      <c r="CQ191" s="11">
        <v>-4.7051710182734836E-3</v>
      </c>
      <c r="CR191" s="11">
        <v>2.7282933205146305E-2</v>
      </c>
      <c r="CS191" s="1">
        <v>-2.4731420768758616E-2</v>
      </c>
      <c r="CT191" s="3">
        <f t="shared" si="347"/>
        <v>2.7884554228459091E-2</v>
      </c>
      <c r="CU191" s="11">
        <f t="shared" si="356"/>
        <v>0.87229125666555141</v>
      </c>
      <c r="CV191" s="3">
        <v>6.0758286296571104E-3</v>
      </c>
      <c r="CW191" s="11">
        <v>0</v>
      </c>
      <c r="CX191" s="11"/>
      <c r="DA191" s="7">
        <v>5.5</v>
      </c>
      <c r="DB191" s="7">
        <v>4.75</v>
      </c>
      <c r="DC191" s="11">
        <v>2.7190311197607369E-4</v>
      </c>
      <c r="DD191" s="11">
        <v>-4.7402751849401521E-3</v>
      </c>
      <c r="DE191" s="11">
        <v>2.7472907163479651E-2</v>
      </c>
      <c r="DF191" s="1">
        <v>-2.5065034050008636E-2</v>
      </c>
      <c r="DG191" s="3">
        <f t="shared" si="348"/>
        <v>2.7880511259709098E-2</v>
      </c>
      <c r="DH191" s="11">
        <f t="shared" si="357"/>
        <v>0.87229179663601475</v>
      </c>
      <c r="DI191" s="3">
        <v>6.0753212822749056E-3</v>
      </c>
      <c r="DJ191" s="11">
        <v>0</v>
      </c>
      <c r="DK191" s="11"/>
    </row>
    <row r="192" spans="1:115" x14ac:dyDescent="0.25">
      <c r="A192" s="7">
        <v>5.75</v>
      </c>
      <c r="B192" s="7">
        <v>4.75</v>
      </c>
      <c r="C192" s="11">
        <v>2.714864453094069E-4</v>
      </c>
      <c r="D192" s="11">
        <v>-4.7335043516068161E-3</v>
      </c>
      <c r="E192" s="11">
        <v>2.7436787371812967E-2</v>
      </c>
      <c r="F192" s="1">
        <v>-2.5001577018758603E-2</v>
      </c>
      <c r="G192" s="3">
        <f t="shared" si="340"/>
        <v>2.7870581182908638E-2</v>
      </c>
      <c r="H192" s="11">
        <f t="shared" si="349"/>
        <v>0.86625378984640267</v>
      </c>
      <c r="I192" s="3">
        <v>6.0379630817170744E-3</v>
      </c>
      <c r="J192" s="11">
        <v>0</v>
      </c>
      <c r="N192" s="7">
        <v>5.75</v>
      </c>
      <c r="O192" s="7">
        <v>4.75</v>
      </c>
      <c r="P192" s="11">
        <v>2.714864453094069E-4</v>
      </c>
      <c r="Q192" s="11">
        <v>-4.7335043516068161E-3</v>
      </c>
      <c r="R192" s="11">
        <v>2.7436787371812967E-2</v>
      </c>
      <c r="S192" s="1">
        <v>-2.5001577018758603E-2</v>
      </c>
      <c r="T192" s="3">
        <f t="shared" si="341"/>
        <v>2.7870581182908638E-2</v>
      </c>
      <c r="U192" s="11">
        <f t="shared" si="350"/>
        <v>0.8662494848709601</v>
      </c>
      <c r="V192" s="3">
        <v>6.0379330751726941E-3</v>
      </c>
      <c r="W192" s="11">
        <v>0</v>
      </c>
      <c r="AA192" s="7">
        <v>5.75</v>
      </c>
      <c r="AB192" s="7">
        <v>4.75</v>
      </c>
      <c r="AC192" s="11">
        <v>2.714864453094069E-4</v>
      </c>
      <c r="AD192" s="11">
        <v>-4.7335043516068161E-3</v>
      </c>
      <c r="AE192" s="11">
        <v>2.7436787371812967E-2</v>
      </c>
      <c r="AF192" s="1">
        <v>-2.5001577018758603E-2</v>
      </c>
      <c r="AG192" s="3">
        <f t="shared" si="342"/>
        <v>2.7870581182908638E-2</v>
      </c>
      <c r="AH192" s="11">
        <f t="shared" si="351"/>
        <v>0.86624625062298</v>
      </c>
      <c r="AI192" s="3">
        <v>6.0379105318140039E-3</v>
      </c>
      <c r="AJ192" s="11">
        <v>0</v>
      </c>
      <c r="AK192" s="11"/>
      <c r="AN192" s="7">
        <v>5.75</v>
      </c>
      <c r="AO192" s="7">
        <v>4.75</v>
      </c>
      <c r="AP192" s="11">
        <v>2.714864453094069E-4</v>
      </c>
      <c r="AQ192" s="11">
        <v>-4.7335043516068161E-3</v>
      </c>
      <c r="AR192" s="11">
        <v>2.7436787371812967E-2</v>
      </c>
      <c r="AS192" s="1">
        <v>-2.5001577018758603E-2</v>
      </c>
      <c r="AT192" s="3">
        <f t="shared" si="343"/>
        <v>2.7870581182908638E-2</v>
      </c>
      <c r="AU192" s="11">
        <f t="shared" si="352"/>
        <v>0.8662451778768232</v>
      </c>
      <c r="AV192" s="3">
        <v>6.0379030545576083E-3</v>
      </c>
      <c r="AW192" s="11">
        <v>0</v>
      </c>
      <c r="AX192" s="11"/>
      <c r="BA192" s="7">
        <v>5.75</v>
      </c>
      <c r="BB192" s="7">
        <v>4.75</v>
      </c>
      <c r="BC192" s="11">
        <v>2.714864453094069E-4</v>
      </c>
      <c r="BD192" s="11">
        <v>-4.7335043516068161E-3</v>
      </c>
      <c r="BE192" s="11">
        <v>2.7436787371812967E-2</v>
      </c>
      <c r="BF192" s="1">
        <v>-2.5001577018758603E-2</v>
      </c>
      <c r="BG192" s="3">
        <f t="shared" si="344"/>
        <v>2.7870581182908638E-2</v>
      </c>
      <c r="BH192" s="11">
        <f t="shared" si="353"/>
        <v>0.86624518185394561</v>
      </c>
      <c r="BI192" s="3">
        <v>6.0379030822789509E-3</v>
      </c>
      <c r="BJ192" s="11">
        <v>0</v>
      </c>
      <c r="BK192" s="11"/>
      <c r="BN192" s="7">
        <v>5.75</v>
      </c>
      <c r="BO192" s="7">
        <v>4.75</v>
      </c>
      <c r="BP192" s="11">
        <v>2.7023644530940695E-4</v>
      </c>
      <c r="BQ192" s="11">
        <v>-4.7106918516068175E-3</v>
      </c>
      <c r="BR192" s="11">
        <v>2.7299677996812974E-2</v>
      </c>
      <c r="BS192" s="1">
        <v>-2.4731049675008623E-2</v>
      </c>
      <c r="BT192" s="3">
        <f t="shared" si="345"/>
        <v>2.7869331182908616E-2</v>
      </c>
      <c r="BU192" s="11">
        <f t="shared" si="354"/>
        <v>0.86624567106279893</v>
      </c>
      <c r="BV192" s="3">
        <v>6.037589263523711E-3</v>
      </c>
      <c r="BW192" s="11">
        <v>0</v>
      </c>
      <c r="BX192" s="11"/>
      <c r="CA192" s="7">
        <v>5.75</v>
      </c>
      <c r="CB192" s="7">
        <v>4.75</v>
      </c>
      <c r="CC192" s="11">
        <v>2.739864453094068E-4</v>
      </c>
      <c r="CD192" s="11">
        <v>-4.7778793516068145E-3</v>
      </c>
      <c r="CE192" s="11">
        <v>2.7691631121812953E-2</v>
      </c>
      <c r="CF192" s="1">
        <v>-2.5468803581258567E-2</v>
      </c>
      <c r="CG192" s="3">
        <f t="shared" si="346"/>
        <v>2.787683118290861E-2</v>
      </c>
      <c r="CH192" s="11">
        <f t="shared" si="355"/>
        <v>0.86624266635359293</v>
      </c>
      <c r="CI192" s="3">
        <v>6.0396197259486488E-3</v>
      </c>
      <c r="CJ192" s="11">
        <v>0</v>
      </c>
      <c r="CK192" s="11"/>
      <c r="CN192" s="7">
        <v>5.75</v>
      </c>
      <c r="CO192" s="7">
        <v>4.75</v>
      </c>
      <c r="CP192" s="11">
        <v>2.6981977864274026E-4</v>
      </c>
      <c r="CQ192" s="11">
        <v>-4.7051710182734836E-3</v>
      </c>
      <c r="CR192" s="11">
        <v>2.7282933205146305E-2</v>
      </c>
      <c r="CS192" s="1">
        <v>-2.4731420768758616E-2</v>
      </c>
      <c r="CT192" s="3">
        <f t="shared" si="347"/>
        <v>2.7875997849575271E-2</v>
      </c>
      <c r="CU192" s="11">
        <f t="shared" si="356"/>
        <v>0.86625249052863063</v>
      </c>
      <c r="CV192" s="3">
        <v>6.0387661369208367E-3</v>
      </c>
      <c r="CW192" s="11">
        <v>0</v>
      </c>
      <c r="CX192" s="11"/>
      <c r="DA192" s="7">
        <v>5.75</v>
      </c>
      <c r="DB192" s="7">
        <v>4.75</v>
      </c>
      <c r="DC192" s="11">
        <v>2.7190311197607369E-4</v>
      </c>
      <c r="DD192" s="11">
        <v>-4.7402751849401521E-3</v>
      </c>
      <c r="DE192" s="11">
        <v>2.7472907163479651E-2</v>
      </c>
      <c r="DF192" s="1">
        <v>-2.5065034050008636E-2</v>
      </c>
      <c r="DG192" s="3">
        <f t="shared" si="348"/>
        <v>2.7870164516241955E-2</v>
      </c>
      <c r="DH192" s="11">
        <f t="shared" si="357"/>
        <v>0.86625389625891147</v>
      </c>
      <c r="DI192" s="3">
        <v>6.0379003771033647E-3</v>
      </c>
      <c r="DJ192" s="11">
        <v>0</v>
      </c>
      <c r="DK192" s="11"/>
    </row>
    <row r="193" spans="1:115" x14ac:dyDescent="0.25">
      <c r="A193" s="7">
        <v>6</v>
      </c>
      <c r="B193" s="7">
        <v>4.75</v>
      </c>
      <c r="C193" s="11">
        <v>2.714864453094069E-4</v>
      </c>
      <c r="D193" s="11">
        <v>-4.7335043516068161E-3</v>
      </c>
      <c r="E193" s="11">
        <v>2.7436787371812967E-2</v>
      </c>
      <c r="F193" s="1">
        <v>-2.5001577018758603E-2</v>
      </c>
      <c r="G193" s="3">
        <f t="shared" si="340"/>
        <v>2.7854062741105745E-2</v>
      </c>
      <c r="H193" s="11">
        <f t="shared" si="349"/>
        <v>0.86025980466532315</v>
      </c>
      <c r="I193" s="3">
        <v>5.9939851810795041E-3</v>
      </c>
      <c r="J193" s="11">
        <v>0.86025980466532315</v>
      </c>
      <c r="N193" s="7">
        <v>6</v>
      </c>
      <c r="O193" s="7">
        <v>4.75</v>
      </c>
      <c r="P193" s="11">
        <v>2.714864453094069E-4</v>
      </c>
      <c r="Q193" s="11">
        <v>-4.7335043516068161E-3</v>
      </c>
      <c r="R193" s="11">
        <v>2.7436787371812967E-2</v>
      </c>
      <c r="S193" s="1">
        <v>-2.5001577018758603E-2</v>
      </c>
      <c r="T193" s="3">
        <f t="shared" si="341"/>
        <v>2.7854062741105745E-2</v>
      </c>
      <c r="U193" s="11">
        <f t="shared" si="350"/>
        <v>0.86025552947787032</v>
      </c>
      <c r="V193" s="3">
        <v>5.99395539308976E-3</v>
      </c>
      <c r="W193" s="11">
        <v>0.86025552947787032</v>
      </c>
      <c r="AA193" s="7">
        <v>6</v>
      </c>
      <c r="AB193" s="7">
        <v>4.75</v>
      </c>
      <c r="AC193" s="11">
        <v>2.714864453094069E-4</v>
      </c>
      <c r="AD193" s="11">
        <v>-4.7335043516068161E-3</v>
      </c>
      <c r="AE193" s="11">
        <v>2.7436787371812967E-2</v>
      </c>
      <c r="AF193" s="1">
        <v>-2.5001577018758603E-2</v>
      </c>
      <c r="AG193" s="3">
        <f t="shared" si="342"/>
        <v>2.7854062741105745E-2</v>
      </c>
      <c r="AH193" s="11">
        <f t="shared" si="351"/>
        <v>0.86025231760905285</v>
      </c>
      <c r="AI193" s="3">
        <v>5.9939330139271033E-3</v>
      </c>
      <c r="AJ193" s="11">
        <v>0.86025231760905285</v>
      </c>
      <c r="AK193" s="11"/>
      <c r="AN193" s="7">
        <v>6</v>
      </c>
      <c r="AO193" s="7">
        <v>4.75</v>
      </c>
      <c r="AP193" s="11">
        <v>2.714864453094069E-4</v>
      </c>
      <c r="AQ193" s="11">
        <v>-4.7335043516068161E-3</v>
      </c>
      <c r="AR193" s="11">
        <v>2.7436787371812967E-2</v>
      </c>
      <c r="AS193" s="1">
        <v>-2.5001577018758603E-2</v>
      </c>
      <c r="AT193" s="3">
        <f t="shared" si="343"/>
        <v>2.7854062741105745E-2</v>
      </c>
      <c r="AU193" s="11">
        <f t="shared" si="352"/>
        <v>0.86025125228569133</v>
      </c>
      <c r="AV193" s="3">
        <v>5.9939255911317952E-3</v>
      </c>
      <c r="AW193" s="11">
        <v>0.86025125228569133</v>
      </c>
      <c r="AX193" s="11"/>
      <c r="BA193" s="7">
        <v>6</v>
      </c>
      <c r="BB193" s="7">
        <v>4.75</v>
      </c>
      <c r="BC193" s="11">
        <v>2.714864453094069E-4</v>
      </c>
      <c r="BD193" s="11">
        <v>-4.7335043516068161E-3</v>
      </c>
      <c r="BE193" s="11">
        <v>2.7436787371812967E-2</v>
      </c>
      <c r="BF193" s="1">
        <v>-2.5001577018758603E-2</v>
      </c>
      <c r="BG193" s="3">
        <f t="shared" si="344"/>
        <v>2.7854062741105745E-2</v>
      </c>
      <c r="BH193" s="11">
        <f t="shared" si="353"/>
        <v>0.8602512562352943</v>
      </c>
      <c r="BI193" s="3">
        <v>5.9939256186512272E-3</v>
      </c>
      <c r="BJ193" s="11">
        <v>0.8602512562352943</v>
      </c>
      <c r="BK193" s="11"/>
      <c r="BN193" s="7">
        <v>6</v>
      </c>
      <c r="BO193" s="7">
        <v>4.75</v>
      </c>
      <c r="BP193" s="11">
        <v>2.7023644530940695E-4</v>
      </c>
      <c r="BQ193" s="11">
        <v>-4.7106918516068175E-3</v>
      </c>
      <c r="BR193" s="11">
        <v>2.7299677996812974E-2</v>
      </c>
      <c r="BS193" s="1">
        <v>-2.4731049675008623E-2</v>
      </c>
      <c r="BT193" s="3">
        <f t="shared" si="345"/>
        <v>2.7853183834855702E-2</v>
      </c>
      <c r="BU193" s="11">
        <f t="shared" si="354"/>
        <v>0.86025200902771004</v>
      </c>
      <c r="BV193" s="3">
        <v>5.9936620350889355E-3</v>
      </c>
      <c r="BW193" s="11">
        <v>0.86025200902771004</v>
      </c>
      <c r="BX193" s="11"/>
      <c r="CA193" s="7">
        <v>6</v>
      </c>
      <c r="CB193" s="7">
        <v>4.75</v>
      </c>
      <c r="CC193" s="11">
        <v>2.739864453094068E-4</v>
      </c>
      <c r="CD193" s="11">
        <v>-4.7778793516068145E-3</v>
      </c>
      <c r="CE193" s="11">
        <v>2.7691631121812953E-2</v>
      </c>
      <c r="CF193" s="1">
        <v>-2.5468803581258567E-2</v>
      </c>
      <c r="CG193" s="3">
        <f t="shared" si="346"/>
        <v>2.7858398678605706E-2</v>
      </c>
      <c r="CH193" s="11">
        <f t="shared" si="355"/>
        <v>0.86024742330484272</v>
      </c>
      <c r="CI193" s="3">
        <v>5.9952430487503058E-3</v>
      </c>
      <c r="CJ193" s="11">
        <v>0.86024742330484272</v>
      </c>
      <c r="CK193" s="11"/>
      <c r="CN193" s="7">
        <v>6</v>
      </c>
      <c r="CO193" s="7">
        <v>4.75</v>
      </c>
      <c r="CP193" s="11">
        <v>2.6981977864274026E-4</v>
      </c>
      <c r="CQ193" s="11">
        <v>-4.7051710182734836E-3</v>
      </c>
      <c r="CR193" s="11">
        <v>2.7282933205146305E-2</v>
      </c>
      <c r="CS193" s="1">
        <v>-2.4731420768758616E-2</v>
      </c>
      <c r="CT193" s="3">
        <f t="shared" si="347"/>
        <v>2.7861093991105729E-2</v>
      </c>
      <c r="CU193" s="11">
        <f t="shared" si="356"/>
        <v>0.86025735746692333</v>
      </c>
      <c r="CV193" s="3">
        <v>5.9951330617073152E-3</v>
      </c>
      <c r="CW193" s="11">
        <v>0.86025735746692333</v>
      </c>
      <c r="CX193" s="11"/>
      <c r="DA193" s="7">
        <v>6</v>
      </c>
      <c r="DB193" s="7">
        <v>4.75</v>
      </c>
      <c r="DC193" s="11">
        <v>2.7190311197607369E-4</v>
      </c>
      <c r="DD193" s="11">
        <v>-4.7402751849401521E-3</v>
      </c>
      <c r="DE193" s="11">
        <v>2.7472907163479651E-2</v>
      </c>
      <c r="DF193" s="1">
        <v>-2.5065034050008636E-2</v>
      </c>
      <c r="DG193" s="3">
        <f t="shared" si="348"/>
        <v>2.7853574459855729E-2</v>
      </c>
      <c r="DH193" s="11">
        <f t="shared" si="357"/>
        <v>0.86025999933188113</v>
      </c>
      <c r="DI193" s="3">
        <v>5.9938969270304301E-3</v>
      </c>
      <c r="DJ193" s="11">
        <v>0.86025999933188113</v>
      </c>
      <c r="DK193" s="11"/>
    </row>
    <row r="194" spans="1:115" x14ac:dyDescent="0.25">
      <c r="A194" s="7">
        <v>6.25</v>
      </c>
      <c r="B194" s="7">
        <v>4.75</v>
      </c>
      <c r="C194" s="11">
        <v>2.714864453094069E-4</v>
      </c>
      <c r="D194" s="11">
        <v>-4.7335043516068161E-3</v>
      </c>
      <c r="E194" s="11">
        <v>2.7436787371812967E-2</v>
      </c>
      <c r="F194" s="1">
        <v>-2.5001577018758603E-2</v>
      </c>
      <c r="G194" s="3">
        <f t="shared" si="340"/>
        <v>2.7856700757298097E-2</v>
      </c>
      <c r="H194" s="11">
        <f t="shared" si="349"/>
        <v>0.85431079802318755</v>
      </c>
      <c r="I194" s="3">
        <v>5.9490066421354956E-3</v>
      </c>
      <c r="J194" s="11">
        <v>0</v>
      </c>
      <c r="N194" s="7">
        <v>6.25</v>
      </c>
      <c r="O194" s="7">
        <v>4.75</v>
      </c>
      <c r="P194" s="11">
        <v>2.714864453094069E-4</v>
      </c>
      <c r="Q194" s="11">
        <v>-4.7335043516068161E-3</v>
      </c>
      <c r="R194" s="11">
        <v>2.7436787371812967E-2</v>
      </c>
      <c r="S194" s="1">
        <v>-2.5001577018758603E-2</v>
      </c>
      <c r="T194" s="3">
        <f t="shared" si="341"/>
        <v>2.7856700757298097E-2</v>
      </c>
      <c r="U194" s="11">
        <f t="shared" si="350"/>
        <v>0.85430655240019704</v>
      </c>
      <c r="V194" s="3">
        <v>5.9489770776732075E-3</v>
      </c>
      <c r="W194" s="11">
        <v>0</v>
      </c>
      <c r="AA194" s="7">
        <v>6.25</v>
      </c>
      <c r="AB194" s="7">
        <v>4.75</v>
      </c>
      <c r="AC194" s="11">
        <v>2.714864453094069E-4</v>
      </c>
      <c r="AD194" s="11">
        <v>-4.7335043516068161E-3</v>
      </c>
      <c r="AE194" s="11">
        <v>2.7436787371812967E-2</v>
      </c>
      <c r="AF194" s="1">
        <v>-2.5001577018758603E-2</v>
      </c>
      <c r="AG194" s="3">
        <f t="shared" si="342"/>
        <v>2.7856700757298097E-2</v>
      </c>
      <c r="AH194" s="11">
        <f t="shared" si="351"/>
        <v>0.85430336274261021</v>
      </c>
      <c r="AI194" s="3">
        <v>5.9489548664425716E-3</v>
      </c>
      <c r="AJ194" s="11">
        <v>0</v>
      </c>
      <c r="AK194" s="11"/>
      <c r="AN194" s="7">
        <v>6.25</v>
      </c>
      <c r="AO194" s="7">
        <v>4.75</v>
      </c>
      <c r="AP194" s="11">
        <v>2.714864453094069E-4</v>
      </c>
      <c r="AQ194" s="11">
        <v>-4.7335043516068161E-3</v>
      </c>
      <c r="AR194" s="11">
        <v>2.7436787371812967E-2</v>
      </c>
      <c r="AS194" s="1">
        <v>-2.5001577018758603E-2</v>
      </c>
      <c r="AT194" s="3">
        <f t="shared" si="343"/>
        <v>2.7856700757298097E-2</v>
      </c>
      <c r="AU194" s="11">
        <f t="shared" si="352"/>
        <v>0.85430230478634372</v>
      </c>
      <c r="AV194" s="3">
        <v>5.9489474993475152E-3</v>
      </c>
      <c r="AW194" s="11">
        <v>0</v>
      </c>
      <c r="AX194" s="11"/>
      <c r="BA194" s="7">
        <v>6.25</v>
      </c>
      <c r="BB194" s="7">
        <v>4.75</v>
      </c>
      <c r="BC194" s="11">
        <v>2.714864453094069E-4</v>
      </c>
      <c r="BD194" s="11">
        <v>-4.7335043516068161E-3</v>
      </c>
      <c r="BE194" s="11">
        <v>2.7436787371812967E-2</v>
      </c>
      <c r="BF194" s="1">
        <v>-2.5001577018758603E-2</v>
      </c>
      <c r="BG194" s="3">
        <f t="shared" si="344"/>
        <v>2.7856700757298097E-2</v>
      </c>
      <c r="BH194" s="11">
        <f t="shared" si="353"/>
        <v>0.85430230870863377</v>
      </c>
      <c r="BI194" s="3">
        <v>5.9489475266604431E-3</v>
      </c>
      <c r="BJ194" s="11">
        <v>0</v>
      </c>
      <c r="BK194" s="11"/>
      <c r="BN194" s="7">
        <v>6.25</v>
      </c>
      <c r="BO194" s="7">
        <v>4.75</v>
      </c>
      <c r="BP194" s="11">
        <v>2.7023644530940695E-4</v>
      </c>
      <c r="BQ194" s="11">
        <v>-4.7106918516068175E-3</v>
      </c>
      <c r="BR194" s="11">
        <v>2.7299677996812974E-2</v>
      </c>
      <c r="BS194" s="1">
        <v>-2.4731049675008623E-2</v>
      </c>
      <c r="BT194" s="3">
        <f t="shared" si="345"/>
        <v>2.7856232007298087E-2</v>
      </c>
      <c r="BU194" s="11">
        <f t="shared" si="354"/>
        <v>0.85430324271022962</v>
      </c>
      <c r="BV194" s="3">
        <v>5.9487663174803435E-3</v>
      </c>
      <c r="BW194" s="11">
        <v>0</v>
      </c>
      <c r="BX194" s="11"/>
      <c r="CA194" s="7">
        <v>6.25</v>
      </c>
      <c r="CB194" s="7">
        <v>4.75</v>
      </c>
      <c r="CC194" s="11">
        <v>2.739864453094068E-4</v>
      </c>
      <c r="CD194" s="11">
        <v>-4.7778793516068145E-3</v>
      </c>
      <c r="CE194" s="11">
        <v>2.7691631121812953E-2</v>
      </c>
      <c r="CF194" s="1">
        <v>-2.5468803581258567E-2</v>
      </c>
      <c r="CG194" s="3">
        <f t="shared" si="346"/>
        <v>2.78592007572981E-2</v>
      </c>
      <c r="CH194" s="11">
        <f t="shared" si="355"/>
        <v>0.85429758264298339</v>
      </c>
      <c r="CI194" s="3">
        <v>5.9498406618593343E-3</v>
      </c>
      <c r="CJ194" s="11">
        <v>0</v>
      </c>
      <c r="CK194" s="11"/>
      <c r="CN194" s="7">
        <v>6.25</v>
      </c>
      <c r="CO194" s="7">
        <v>4.75</v>
      </c>
      <c r="CP194" s="11">
        <v>2.6981977864274026E-4</v>
      </c>
      <c r="CQ194" s="11">
        <v>-4.7051710182734836E-3</v>
      </c>
      <c r="CR194" s="11">
        <v>2.7282933205146305E-2</v>
      </c>
      <c r="CS194" s="1">
        <v>-2.4731420768758616E-2</v>
      </c>
      <c r="CT194" s="3">
        <f t="shared" si="347"/>
        <v>2.7865138257298111E-2</v>
      </c>
      <c r="CU194" s="11">
        <f t="shared" si="356"/>
        <v>0.85430687642161562</v>
      </c>
      <c r="CV194" s="3">
        <v>5.9504810453076444E-3</v>
      </c>
      <c r="CW194" s="11">
        <v>0</v>
      </c>
      <c r="CX194" s="11"/>
      <c r="DA194" s="7">
        <v>6.25</v>
      </c>
      <c r="DB194" s="7">
        <v>4.75</v>
      </c>
      <c r="DC194" s="11">
        <v>2.7190311197607369E-4</v>
      </c>
      <c r="DD194" s="11">
        <v>-4.7402751849401521E-3</v>
      </c>
      <c r="DE194" s="11">
        <v>2.7472907163479651E-2</v>
      </c>
      <c r="DF194" s="1">
        <v>-2.5065034050008636E-2</v>
      </c>
      <c r="DG194" s="3">
        <f t="shared" si="348"/>
        <v>2.7856232007298115E-2</v>
      </c>
      <c r="DH194" s="11">
        <f t="shared" si="357"/>
        <v>0.85431109490840307</v>
      </c>
      <c r="DI194" s="3">
        <v>5.9489044234780197E-3</v>
      </c>
      <c r="DJ194" s="11">
        <v>0</v>
      </c>
      <c r="DK194" s="11"/>
    </row>
    <row r="195" spans="1:115" x14ac:dyDescent="0.25">
      <c r="A195" s="7">
        <v>6.5</v>
      </c>
      <c r="B195" s="7">
        <v>4.75</v>
      </c>
      <c r="C195" s="11">
        <v>2.714864453094069E-4</v>
      </c>
      <c r="D195" s="11">
        <v>-4.7335043516068161E-3</v>
      </c>
      <c r="E195" s="11">
        <v>2.7436787371812967E-2</v>
      </c>
      <c r="F195" s="1">
        <v>-2.5001577018758603E-2</v>
      </c>
      <c r="G195" s="3">
        <f t="shared" si="340"/>
        <v>2.7903947085733571E-2</v>
      </c>
      <c r="H195" s="11">
        <f t="shared" si="349"/>
        <v>0.84840237525090123</v>
      </c>
      <c r="I195" s="3">
        <v>5.9084227722863208E-3</v>
      </c>
      <c r="J195" s="11">
        <v>0</v>
      </c>
      <c r="N195" s="7">
        <v>6.5</v>
      </c>
      <c r="O195" s="7">
        <v>4.75</v>
      </c>
      <c r="P195" s="11">
        <v>2.714864453094069E-4</v>
      </c>
      <c r="Q195" s="11">
        <v>-4.7335043516068161E-3</v>
      </c>
      <c r="R195" s="11">
        <v>2.7436787371812967E-2</v>
      </c>
      <c r="S195" s="1">
        <v>-2.5001577018758603E-2</v>
      </c>
      <c r="T195" s="3">
        <f t="shared" si="341"/>
        <v>2.7903947085733571E-2</v>
      </c>
      <c r="U195" s="11">
        <f t="shared" si="350"/>
        <v>0.84839815899068549</v>
      </c>
      <c r="V195" s="3">
        <v>5.9083934095115354E-3</v>
      </c>
      <c r="W195" s="11">
        <v>0</v>
      </c>
      <c r="AA195" s="7">
        <v>6.5</v>
      </c>
      <c r="AB195" s="7">
        <v>4.75</v>
      </c>
      <c r="AC195" s="11">
        <v>2.714864453094069E-4</v>
      </c>
      <c r="AD195" s="11">
        <v>-4.7335043516068161E-3</v>
      </c>
      <c r="AE195" s="11">
        <v>2.7436787371812967E-2</v>
      </c>
      <c r="AF195" s="1">
        <v>-2.5001577018758603E-2</v>
      </c>
      <c r="AG195" s="3">
        <f t="shared" si="342"/>
        <v>2.7903947085733571E-2</v>
      </c>
      <c r="AH195" s="11">
        <f t="shared" si="351"/>
        <v>0.84839499139280516</v>
      </c>
      <c r="AI195" s="3">
        <v>5.908371349804967E-3</v>
      </c>
      <c r="AJ195" s="11">
        <v>0</v>
      </c>
      <c r="AK195" s="11"/>
      <c r="AN195" s="7">
        <v>6.5</v>
      </c>
      <c r="AO195" s="7">
        <v>4.75</v>
      </c>
      <c r="AP195" s="11">
        <v>2.714864453094069E-4</v>
      </c>
      <c r="AQ195" s="11">
        <v>-4.7335043516068161E-3</v>
      </c>
      <c r="AR195" s="11">
        <v>2.7436787371812967E-2</v>
      </c>
      <c r="AS195" s="1">
        <v>-2.5001577018758603E-2</v>
      </c>
      <c r="AT195" s="3">
        <f t="shared" si="343"/>
        <v>2.7903947085733571E-2</v>
      </c>
      <c r="AU195" s="11">
        <f t="shared" si="352"/>
        <v>0.84839394075337571</v>
      </c>
      <c r="AV195" s="3">
        <v>5.9083640329679193E-3</v>
      </c>
      <c r="AW195" s="11">
        <v>0</v>
      </c>
      <c r="AX195" s="11"/>
      <c r="BA195" s="7">
        <v>6.5</v>
      </c>
      <c r="BB195" s="7">
        <v>4.75</v>
      </c>
      <c r="BC195" s="11">
        <v>2.714864453094069E-4</v>
      </c>
      <c r="BD195" s="11">
        <v>-4.7335043516068161E-3</v>
      </c>
      <c r="BE195" s="11">
        <v>2.7436787371812967E-2</v>
      </c>
      <c r="BF195" s="1">
        <v>-2.5001577018758603E-2</v>
      </c>
      <c r="BG195" s="3">
        <f t="shared" si="344"/>
        <v>2.7903947085733571E-2</v>
      </c>
      <c r="BH195" s="11">
        <f t="shared" si="353"/>
        <v>0.84839394464853923</v>
      </c>
      <c r="BI195" s="3">
        <v>5.9083640600945207E-3</v>
      </c>
      <c r="BJ195" s="11">
        <v>0</v>
      </c>
      <c r="BK195" s="11"/>
      <c r="BN195" s="7">
        <v>6.5</v>
      </c>
      <c r="BO195" s="7">
        <v>4.75</v>
      </c>
      <c r="BP195" s="11">
        <v>2.7023644530940695E-4</v>
      </c>
      <c r="BQ195" s="11">
        <v>-4.7106918516068175E-3</v>
      </c>
      <c r="BR195" s="11">
        <v>2.7299677996812974E-2</v>
      </c>
      <c r="BS195" s="1">
        <v>-2.4731049675008623E-2</v>
      </c>
      <c r="BT195" s="3">
        <f t="shared" si="345"/>
        <v>2.7903810366983556E-2</v>
      </c>
      <c r="BU195" s="11">
        <f t="shared" si="354"/>
        <v>0.84839497092425697</v>
      </c>
      <c r="BV195" s="3">
        <v>5.9082717859727544E-3</v>
      </c>
      <c r="BW195" s="11">
        <v>0</v>
      </c>
      <c r="BX195" s="11"/>
      <c r="CA195" s="7">
        <v>6.5</v>
      </c>
      <c r="CB195" s="7">
        <v>4.75</v>
      </c>
      <c r="CC195" s="11">
        <v>2.739864453094068E-4</v>
      </c>
      <c r="CD195" s="11">
        <v>-4.7778793516068145E-3</v>
      </c>
      <c r="CE195" s="11">
        <v>2.7691631121812953E-2</v>
      </c>
      <c r="CF195" s="1">
        <v>-2.5468803581258567E-2</v>
      </c>
      <c r="CG195" s="3">
        <f t="shared" si="346"/>
        <v>2.7904923648233562E-2</v>
      </c>
      <c r="CH195" s="11">
        <f t="shared" si="355"/>
        <v>0.84838872469262339</v>
      </c>
      <c r="CI195" s="3">
        <v>5.9088579503599756E-3</v>
      </c>
      <c r="CJ195" s="11">
        <v>0</v>
      </c>
      <c r="CK195" s="11"/>
      <c r="CN195" s="7">
        <v>6.5</v>
      </c>
      <c r="CO195" s="7">
        <v>4.75</v>
      </c>
      <c r="CP195" s="11">
        <v>2.6981977864274026E-4</v>
      </c>
      <c r="CQ195" s="11">
        <v>-4.7051710182734836E-3</v>
      </c>
      <c r="CR195" s="11">
        <v>2.7282933205146305E-2</v>
      </c>
      <c r="CS195" s="1">
        <v>-2.4731420768758616E-2</v>
      </c>
      <c r="CT195" s="3">
        <f t="shared" si="347"/>
        <v>2.7913426252400245E-2</v>
      </c>
      <c r="CU195" s="11">
        <f t="shared" si="356"/>
        <v>0.84839670356117358</v>
      </c>
      <c r="CV195" s="3">
        <v>5.9101728604420154E-3</v>
      </c>
      <c r="CW195" s="11">
        <v>0</v>
      </c>
      <c r="CX195" s="11"/>
      <c r="DA195" s="7">
        <v>6.5</v>
      </c>
      <c r="DB195" s="7">
        <v>4.75</v>
      </c>
      <c r="DC195" s="11">
        <v>2.7190311197607369E-4</v>
      </c>
      <c r="DD195" s="11">
        <v>-4.7402751849401521E-3</v>
      </c>
      <c r="DE195" s="11">
        <v>2.7472907163479651E-2</v>
      </c>
      <c r="DF195" s="1">
        <v>-2.5065034050008636E-2</v>
      </c>
      <c r="DG195" s="3">
        <f t="shared" si="348"/>
        <v>2.7903628075316919E-2</v>
      </c>
      <c r="DH195" s="11">
        <f t="shared" si="357"/>
        <v>0.84840276881744991</v>
      </c>
      <c r="DI195" s="3">
        <v>5.9083260909532477E-3</v>
      </c>
      <c r="DJ195" s="11">
        <v>0</v>
      </c>
      <c r="DK195" s="11"/>
    </row>
    <row r="196" spans="1:115" x14ac:dyDescent="0.25">
      <c r="A196" s="7">
        <v>6.75</v>
      </c>
      <c r="B196" s="7">
        <v>6.75</v>
      </c>
      <c r="C196" s="11">
        <v>-1.0944565389387003E-4</v>
      </c>
      <c r="D196" s="11">
        <v>2.6920269698923849E-3</v>
      </c>
      <c r="E196" s="11">
        <v>-2.0739229158578329E-2</v>
      </c>
      <c r="F196" s="1">
        <v>7.9015240422733113E-2</v>
      </c>
      <c r="G196" s="3">
        <f t="shared" si="340"/>
        <v>2.8021253580659863E-2</v>
      </c>
      <c r="H196" s="11">
        <f t="shared" si="349"/>
        <v>0.84252493246740578</v>
      </c>
      <c r="I196" s="3">
        <v>5.8774427834954353E-3</v>
      </c>
      <c r="J196" s="11">
        <v>0</v>
      </c>
      <c r="N196" s="7">
        <v>6.75</v>
      </c>
      <c r="O196" s="7">
        <v>6.75</v>
      </c>
      <c r="P196" s="11">
        <v>-1.0944565389387003E-4</v>
      </c>
      <c r="Q196" s="11">
        <v>2.6920269698923849E-3</v>
      </c>
      <c r="R196" s="11">
        <v>-2.0739229158578329E-2</v>
      </c>
      <c r="S196" s="1">
        <v>7.9015240422733113E-2</v>
      </c>
      <c r="T196" s="3">
        <f t="shared" si="341"/>
        <v>2.8021253580659863E-2</v>
      </c>
      <c r="U196" s="11">
        <f t="shared" si="350"/>
        <v>0.84252074541600519</v>
      </c>
      <c r="V196" s="3">
        <v>5.8774135746802536E-3</v>
      </c>
      <c r="W196" s="11">
        <v>0</v>
      </c>
      <c r="AA196" s="7">
        <v>6.75</v>
      </c>
      <c r="AB196" s="7">
        <v>6.75</v>
      </c>
      <c r="AC196" s="11">
        <v>-1.0944565389387003E-4</v>
      </c>
      <c r="AD196" s="11">
        <v>2.6920269698923849E-3</v>
      </c>
      <c r="AE196" s="11">
        <v>-2.0739229158578329E-2</v>
      </c>
      <c r="AF196" s="1">
        <v>7.9015240422733113E-2</v>
      </c>
      <c r="AG196" s="3">
        <f t="shared" si="342"/>
        <v>2.8021253580659863E-2</v>
      </c>
      <c r="AH196" s="11">
        <f t="shared" si="351"/>
        <v>0.84251759976216445</v>
      </c>
      <c r="AI196" s="3">
        <v>5.8773916306406734E-3</v>
      </c>
      <c r="AJ196" s="11">
        <v>0</v>
      </c>
      <c r="AK196" s="11"/>
      <c r="AN196" s="7">
        <v>6.75</v>
      </c>
      <c r="AO196" s="7">
        <v>6.75</v>
      </c>
      <c r="AP196" s="11">
        <v>-1.0944565389387003E-4</v>
      </c>
      <c r="AQ196" s="11">
        <v>2.6920269698923849E-3</v>
      </c>
      <c r="AR196" s="11">
        <v>-2.0739229158578329E-2</v>
      </c>
      <c r="AS196" s="1">
        <v>7.9015240422733113E-2</v>
      </c>
      <c r="AT196" s="3">
        <f t="shared" si="343"/>
        <v>2.8021253580659863E-2</v>
      </c>
      <c r="AU196" s="11">
        <f t="shared" si="352"/>
        <v>0.84251655640120726</v>
      </c>
      <c r="AV196" s="3">
        <v>5.8773843521684379E-3</v>
      </c>
      <c r="AW196" s="11">
        <v>0</v>
      </c>
      <c r="AX196" s="11"/>
      <c r="BA196" s="7">
        <v>6.75</v>
      </c>
      <c r="BB196" s="7">
        <v>6.75</v>
      </c>
      <c r="BC196" s="11">
        <v>-1.0944565389387003E-4</v>
      </c>
      <c r="BD196" s="11">
        <v>2.6920269698923849E-3</v>
      </c>
      <c r="BE196" s="11">
        <v>-2.0739229158578329E-2</v>
      </c>
      <c r="BF196" s="1">
        <v>7.9015240422733113E-2</v>
      </c>
      <c r="BG196" s="3">
        <f t="shared" si="344"/>
        <v>2.8021253580659863E-2</v>
      </c>
      <c r="BH196" s="11">
        <f t="shared" si="353"/>
        <v>0.84251656026938637</v>
      </c>
      <c r="BI196" s="3">
        <v>5.877384379152804E-3</v>
      </c>
      <c r="BJ196" s="11">
        <v>0</v>
      </c>
      <c r="BK196" s="11"/>
      <c r="BN196" s="7">
        <v>6.75</v>
      </c>
      <c r="BO196" s="7">
        <v>6.75</v>
      </c>
      <c r="BP196" s="11">
        <v>-1.0944565389387003E-4</v>
      </c>
      <c r="BQ196" s="11">
        <v>2.6920269698923849E-3</v>
      </c>
      <c r="BR196" s="11">
        <v>-2.0739229158578329E-2</v>
      </c>
      <c r="BS196" s="1">
        <v>7.9015240422733113E-2</v>
      </c>
      <c r="BT196" s="3">
        <f t="shared" si="345"/>
        <v>2.8021253580659863E-2</v>
      </c>
      <c r="BU196" s="11">
        <f t="shared" si="354"/>
        <v>0.84251760803290832</v>
      </c>
      <c r="BV196" s="3">
        <v>5.8773628913487141E-3</v>
      </c>
      <c r="BW196" s="11">
        <v>0</v>
      </c>
      <c r="BX196" s="11"/>
      <c r="CA196" s="7">
        <v>6.75</v>
      </c>
      <c r="CB196" s="7">
        <v>6.75</v>
      </c>
      <c r="CC196" s="11">
        <v>-1.097234316716478E-4</v>
      </c>
      <c r="CD196" s="11">
        <v>2.6993186365590512E-3</v>
      </c>
      <c r="CE196" s="11">
        <v>-2.0802197908578332E-2</v>
      </c>
      <c r="CF196" s="1">
        <v>7.9193482610233137E-2</v>
      </c>
      <c r="CG196" s="3">
        <f t="shared" si="346"/>
        <v>2.8021253580659863E-2</v>
      </c>
      <c r="CH196" s="11">
        <f t="shared" si="355"/>
        <v>0.84251117220930227</v>
      </c>
      <c r="CI196" s="3">
        <v>5.8775524833210848E-3</v>
      </c>
      <c r="CJ196" s="11">
        <v>0</v>
      </c>
      <c r="CK196" s="11"/>
      <c r="CN196" s="7">
        <v>6.75</v>
      </c>
      <c r="CO196" s="7">
        <v>6.75</v>
      </c>
      <c r="CP196" s="11">
        <v>-1.0879750574572191E-4</v>
      </c>
      <c r="CQ196" s="11">
        <v>2.6755686365590517E-3</v>
      </c>
      <c r="CR196" s="11">
        <v>-2.0604802075245E-2</v>
      </c>
      <c r="CS196" s="1">
        <v>7.8668404485233129E-2</v>
      </c>
      <c r="CT196" s="3">
        <f t="shared" si="347"/>
        <v>2.803125358065986E-2</v>
      </c>
      <c r="CU196" s="11">
        <f t="shared" si="356"/>
        <v>0.84251731731039514</v>
      </c>
      <c r="CV196" s="3">
        <v>5.879386250778453E-3</v>
      </c>
      <c r="CW196" s="11">
        <v>0</v>
      </c>
      <c r="CX196" s="11"/>
      <c r="DA196" s="7">
        <v>6.75</v>
      </c>
      <c r="DB196" s="7">
        <v>6.75</v>
      </c>
      <c r="DC196" s="11">
        <v>-1.0981602426424051E-4</v>
      </c>
      <c r="DD196" s="11">
        <v>2.7011936365590543E-3</v>
      </c>
      <c r="DE196" s="11">
        <v>-2.081068749191169E-2</v>
      </c>
      <c r="DF196" s="1">
        <v>7.9193834172733207E-2</v>
      </c>
      <c r="DG196" s="3">
        <f t="shared" si="348"/>
        <v>2.8021253580659863E-2</v>
      </c>
      <c r="DH196" s="11">
        <f t="shared" si="357"/>
        <v>0.84252539003555893</v>
      </c>
      <c r="DI196" s="3">
        <v>5.8773787818908897E-3</v>
      </c>
      <c r="DJ196" s="11">
        <v>0</v>
      </c>
      <c r="DK196" s="11"/>
    </row>
    <row r="197" spans="1:115" x14ac:dyDescent="0.25">
      <c r="A197" s="7">
        <v>7</v>
      </c>
      <c r="B197" s="7">
        <v>6.75</v>
      </c>
      <c r="C197" s="11">
        <v>-1.0944565389387003E-4</v>
      </c>
      <c r="D197" s="11">
        <v>2.6920269698923849E-3</v>
      </c>
      <c r="E197" s="11">
        <v>-2.0739229158578329E-2</v>
      </c>
      <c r="F197" s="1">
        <v>7.9015240422733113E-2</v>
      </c>
      <c r="G197" s="3">
        <f t="shared" si="340"/>
        <v>2.8210098551814278E-2</v>
      </c>
      <c r="H197" s="11">
        <f t="shared" si="349"/>
        <v>0.83666384006137373</v>
      </c>
      <c r="I197" s="3">
        <v>5.8610924060321003E-3</v>
      </c>
      <c r="J197" s="11">
        <v>0.83666384006137373</v>
      </c>
      <c r="N197" s="7">
        <v>7</v>
      </c>
      <c r="O197" s="7">
        <v>6.75</v>
      </c>
      <c r="P197" s="11">
        <v>-1.0944565389387003E-4</v>
      </c>
      <c r="Q197" s="11">
        <v>2.6920269698923849E-3</v>
      </c>
      <c r="R197" s="11">
        <v>-2.0739229158578329E-2</v>
      </c>
      <c r="S197" s="1">
        <v>7.9015240422733113E-2</v>
      </c>
      <c r="T197" s="3">
        <f t="shared" si="341"/>
        <v>2.8210098551814278E-2</v>
      </c>
      <c r="U197" s="11">
        <f t="shared" si="350"/>
        <v>0.83665968213753272</v>
      </c>
      <c r="V197" s="3">
        <v>5.8610632784725208E-3</v>
      </c>
      <c r="W197" s="11">
        <v>0.83665968213753272</v>
      </c>
      <c r="AA197" s="7">
        <v>7</v>
      </c>
      <c r="AB197" s="7">
        <v>6.75</v>
      </c>
      <c r="AC197" s="11">
        <v>-1.0944565389387003E-4</v>
      </c>
      <c r="AD197" s="11">
        <v>2.6920269698923849E-3</v>
      </c>
      <c r="AE197" s="11">
        <v>-2.0739229158578329E-2</v>
      </c>
      <c r="AF197" s="1">
        <v>7.9015240422733113E-2</v>
      </c>
      <c r="AG197" s="3">
        <f t="shared" si="342"/>
        <v>2.8210098551814278E-2</v>
      </c>
      <c r="AH197" s="11">
        <f t="shared" si="351"/>
        <v>0.83665655836668573</v>
      </c>
      <c r="AI197" s="3">
        <v>5.8610413954787626E-3</v>
      </c>
      <c r="AJ197" s="11">
        <v>0.83665655836668573</v>
      </c>
      <c r="AK197" s="11"/>
      <c r="AN197" s="7">
        <v>7</v>
      </c>
      <c r="AO197" s="7">
        <v>6.75</v>
      </c>
      <c r="AP197" s="11">
        <v>-1.0944565389387003E-4</v>
      </c>
      <c r="AQ197" s="11">
        <v>2.6920269698923849E-3</v>
      </c>
      <c r="AR197" s="11">
        <v>-2.0739229158578329E-2</v>
      </c>
      <c r="AS197" s="1">
        <v>7.9015240422733113E-2</v>
      </c>
      <c r="AT197" s="3">
        <f t="shared" si="343"/>
        <v>2.8210098551814278E-2</v>
      </c>
      <c r="AU197" s="11">
        <f t="shared" si="352"/>
        <v>0.8366555222639529</v>
      </c>
      <c r="AV197" s="3">
        <v>5.8610341372544094E-3</v>
      </c>
      <c r="AW197" s="11">
        <v>0.8366555222639529</v>
      </c>
      <c r="AX197" s="11"/>
      <c r="BA197" s="7">
        <v>7</v>
      </c>
      <c r="BB197" s="7">
        <v>6.75</v>
      </c>
      <c r="BC197" s="11">
        <v>-1.0944565389387003E-4</v>
      </c>
      <c r="BD197" s="11">
        <v>2.6920269698923849E-3</v>
      </c>
      <c r="BE197" s="11">
        <v>-2.0739229158578329E-2</v>
      </c>
      <c r="BF197" s="1">
        <v>7.9015240422733113E-2</v>
      </c>
      <c r="BG197" s="3">
        <f t="shared" si="344"/>
        <v>2.8210098551814278E-2</v>
      </c>
      <c r="BH197" s="11">
        <f t="shared" si="353"/>
        <v>0.83665552610522276</v>
      </c>
      <c r="BI197" s="3">
        <v>5.8610341641637089E-3</v>
      </c>
      <c r="BJ197" s="11">
        <v>0.83665552610522276</v>
      </c>
      <c r="BK197" s="11"/>
      <c r="BN197" s="7">
        <v>7</v>
      </c>
      <c r="BO197" s="7">
        <v>6.75</v>
      </c>
      <c r="BP197" s="11">
        <v>-1.0944565389387003E-4</v>
      </c>
      <c r="BQ197" s="11">
        <v>2.6920269698923849E-3</v>
      </c>
      <c r="BR197" s="11">
        <v>-2.0739229158578329E-2</v>
      </c>
      <c r="BS197" s="1">
        <v>7.9015240422733113E-2</v>
      </c>
      <c r="BT197" s="3">
        <f t="shared" si="345"/>
        <v>2.8210098551814278E-2</v>
      </c>
      <c r="BU197" s="11">
        <f t="shared" si="354"/>
        <v>0.83665656657989351</v>
      </c>
      <c r="BV197" s="3">
        <v>5.8610414530148574E-3</v>
      </c>
      <c r="BW197" s="11">
        <v>0.83665656657989351</v>
      </c>
      <c r="BX197" s="11"/>
      <c r="CA197" s="7">
        <v>7</v>
      </c>
      <c r="CB197" s="7">
        <v>6.75</v>
      </c>
      <c r="CC197" s="11">
        <v>-1.097234316716478E-4</v>
      </c>
      <c r="CD197" s="11">
        <v>2.6993186365590512E-3</v>
      </c>
      <c r="CE197" s="11">
        <v>-2.0802197908578332E-2</v>
      </c>
      <c r="CF197" s="1">
        <v>7.9193482610233137E-2</v>
      </c>
      <c r="CG197" s="3">
        <f t="shared" si="346"/>
        <v>2.8209573378203151E-2</v>
      </c>
      <c r="CH197" s="11">
        <f t="shared" si="355"/>
        <v>0.83665017552761167</v>
      </c>
      <c r="CI197" s="3">
        <v>5.8609966816906981E-3</v>
      </c>
      <c r="CJ197" s="11">
        <v>0.83665017552761167</v>
      </c>
      <c r="CK197" s="11"/>
      <c r="CN197" s="7">
        <v>7</v>
      </c>
      <c r="CO197" s="7">
        <v>6.75</v>
      </c>
      <c r="CP197" s="11">
        <v>-1.0879750574572191E-4</v>
      </c>
      <c r="CQ197" s="11">
        <v>2.6755686365590517E-3</v>
      </c>
      <c r="CR197" s="11">
        <v>-2.0604802075245E-2</v>
      </c>
      <c r="CS197" s="1">
        <v>7.8668404485233129E-2</v>
      </c>
      <c r="CT197" s="3">
        <f t="shared" si="347"/>
        <v>2.8220108679129052E-2</v>
      </c>
      <c r="CU197" s="11">
        <f t="shared" si="356"/>
        <v>0.83665420079494324</v>
      </c>
      <c r="CV197" s="3">
        <v>5.8631165154518416E-3</v>
      </c>
      <c r="CW197" s="11">
        <v>0.83665420079494324</v>
      </c>
      <c r="CX197" s="11"/>
      <c r="DA197" s="7">
        <v>7</v>
      </c>
      <c r="DB197" s="7">
        <v>6.75</v>
      </c>
      <c r="DC197" s="11">
        <v>-1.0981602426424051E-4</v>
      </c>
      <c r="DD197" s="11">
        <v>2.7011936365590543E-3</v>
      </c>
      <c r="DE197" s="11">
        <v>-2.081068749191169E-2</v>
      </c>
      <c r="DF197" s="1">
        <v>7.9193834172733207E-2</v>
      </c>
      <c r="DG197" s="3">
        <f t="shared" si="348"/>
        <v>2.821061359811057E-2</v>
      </c>
      <c r="DH197" s="11">
        <f t="shared" si="357"/>
        <v>0.83666429444641732</v>
      </c>
      <c r="DI197" s="3">
        <v>5.8610955891417321E-3</v>
      </c>
      <c r="DJ197" s="11">
        <v>0.83666429444641732</v>
      </c>
      <c r="DK197" s="11"/>
    </row>
    <row r="198" spans="1:115" x14ac:dyDescent="0.25">
      <c r="A198" s="7">
        <v>7.25</v>
      </c>
      <c r="B198" s="7">
        <v>6.75</v>
      </c>
      <c r="C198" s="11">
        <v>-1.0944565389387003E-4</v>
      </c>
      <c r="D198" s="11">
        <v>2.6920269698923849E-3</v>
      </c>
      <c r="E198" s="11">
        <v>-2.0739229158578329E-2</v>
      </c>
      <c r="F198" s="1">
        <v>7.9015240422733113E-2</v>
      </c>
      <c r="G198" s="3">
        <f t="shared" si="340"/>
        <v>2.8448152052733766E-2</v>
      </c>
      <c r="H198" s="11">
        <f t="shared" si="349"/>
        <v>0.83080457035958832</v>
      </c>
      <c r="I198" s="3">
        <v>5.8592697017854261E-3</v>
      </c>
      <c r="J198" s="11">
        <v>0</v>
      </c>
      <c r="N198" s="7">
        <v>7.25</v>
      </c>
      <c r="O198" s="7">
        <v>6.75</v>
      </c>
      <c r="P198" s="11">
        <v>-1.0944565389387003E-4</v>
      </c>
      <c r="Q198" s="11">
        <v>2.6920269698923849E-3</v>
      </c>
      <c r="R198" s="11">
        <v>-2.0739229158578329E-2</v>
      </c>
      <c r="S198" s="1">
        <v>7.9015240422733113E-2</v>
      </c>
      <c r="T198" s="3">
        <f t="shared" si="341"/>
        <v>2.8448152052733766E-2</v>
      </c>
      <c r="U198" s="11">
        <f t="shared" si="350"/>
        <v>0.8308004415542487</v>
      </c>
      <c r="V198" s="3">
        <v>5.8592405832840434E-3</v>
      </c>
      <c r="W198" s="11">
        <v>0</v>
      </c>
      <c r="AA198" s="7">
        <v>7.25</v>
      </c>
      <c r="AB198" s="7">
        <v>6.75</v>
      </c>
      <c r="AC198" s="11">
        <v>-1.0944565389387003E-4</v>
      </c>
      <c r="AD198" s="11">
        <v>2.6920269698923849E-3</v>
      </c>
      <c r="AE198" s="11">
        <v>-2.0739229158578329E-2</v>
      </c>
      <c r="AF198" s="1">
        <v>7.9015240422733113E-2</v>
      </c>
      <c r="AG198" s="3">
        <f t="shared" si="342"/>
        <v>2.8448152052733766E-2</v>
      </c>
      <c r="AH198" s="11">
        <f t="shared" si="351"/>
        <v>0.83079733965959013</v>
      </c>
      <c r="AI198" s="3">
        <v>5.8592187070955395E-3</v>
      </c>
      <c r="AJ198" s="11">
        <v>0</v>
      </c>
      <c r="AK198" s="11"/>
      <c r="AN198" s="7">
        <v>7.25</v>
      </c>
      <c r="AO198" s="7">
        <v>6.75</v>
      </c>
      <c r="AP198" s="11">
        <v>-1.0944565389387003E-4</v>
      </c>
      <c r="AQ198" s="11">
        <v>2.6920269698923849E-3</v>
      </c>
      <c r="AR198" s="11">
        <v>-2.0739229158578329E-2</v>
      </c>
      <c r="AS198" s="1">
        <v>7.9015240422733113E-2</v>
      </c>
      <c r="AT198" s="3">
        <f t="shared" si="343"/>
        <v>2.8448152052733766E-2</v>
      </c>
      <c r="AU198" s="11">
        <f t="shared" si="352"/>
        <v>0.83079631081282446</v>
      </c>
      <c r="AV198" s="3">
        <v>5.8592114511283756E-3</v>
      </c>
      <c r="AW198" s="11">
        <v>0</v>
      </c>
      <c r="AX198" s="11"/>
      <c r="BA198" s="7">
        <v>7.25</v>
      </c>
      <c r="BB198" s="7">
        <v>6.75</v>
      </c>
      <c r="BC198" s="11">
        <v>-1.0944565389387003E-4</v>
      </c>
      <c r="BD198" s="11">
        <v>2.6920269698923849E-3</v>
      </c>
      <c r="BE198" s="11">
        <v>-2.0739229158578329E-2</v>
      </c>
      <c r="BF198" s="1">
        <v>7.9015240422733113E-2</v>
      </c>
      <c r="BG198" s="3">
        <f t="shared" si="344"/>
        <v>2.8448152052733766E-2</v>
      </c>
      <c r="BH198" s="11">
        <f t="shared" si="353"/>
        <v>0.83079631462719339</v>
      </c>
      <c r="BI198" s="3">
        <v>5.8592114780293067E-3</v>
      </c>
      <c r="BJ198" s="11">
        <v>0</v>
      </c>
      <c r="BK198" s="11"/>
      <c r="BN198" s="7">
        <v>7.25</v>
      </c>
      <c r="BO198" s="7">
        <v>6.75</v>
      </c>
      <c r="BP198" s="11">
        <v>-1.0944565389387003E-4</v>
      </c>
      <c r="BQ198" s="11">
        <v>2.6920269698923849E-3</v>
      </c>
      <c r="BR198" s="11">
        <v>-2.0739229158578329E-2</v>
      </c>
      <c r="BS198" s="1">
        <v>7.9015240422733113E-2</v>
      </c>
      <c r="BT198" s="3">
        <f t="shared" si="345"/>
        <v>2.8448152052733766E-2</v>
      </c>
      <c r="BU198" s="11">
        <f t="shared" si="354"/>
        <v>0.83079734781527981</v>
      </c>
      <c r="BV198" s="3">
        <v>5.8592187646137424E-3</v>
      </c>
      <c r="BW198" s="11">
        <v>0</v>
      </c>
      <c r="BX198" s="11"/>
      <c r="CA198" s="7">
        <v>7.25</v>
      </c>
      <c r="CB198" s="7">
        <v>6.75</v>
      </c>
      <c r="CC198" s="11">
        <v>-1.097234316716478E-4</v>
      </c>
      <c r="CD198" s="11">
        <v>2.6993186365590512E-3</v>
      </c>
      <c r="CE198" s="11">
        <v>-2.0802197908578332E-2</v>
      </c>
      <c r="CF198" s="1">
        <v>7.9193482610233137E-2</v>
      </c>
      <c r="CG198" s="3">
        <f t="shared" si="346"/>
        <v>2.8447283997178205E-2</v>
      </c>
      <c r="CH198" s="11">
        <f t="shared" si="355"/>
        <v>0.83079110983390703</v>
      </c>
      <c r="CI198" s="3">
        <v>5.8590656937046086E-3</v>
      </c>
      <c r="CJ198" s="11">
        <v>0</v>
      </c>
      <c r="CK198" s="11"/>
      <c r="CN198" s="7">
        <v>7.25</v>
      </c>
      <c r="CO198" s="7">
        <v>6.75</v>
      </c>
      <c r="CP198" s="11">
        <v>-1.0879750574572191E-4</v>
      </c>
      <c r="CQ198" s="11">
        <v>2.6755686365590517E-3</v>
      </c>
      <c r="CR198" s="11">
        <v>-2.0604802075245E-2</v>
      </c>
      <c r="CS198" s="1">
        <v>7.8668404485233129E-2</v>
      </c>
      <c r="CT198" s="3">
        <f t="shared" si="347"/>
        <v>2.8457816404585598E-2</v>
      </c>
      <c r="CU198" s="11">
        <f t="shared" si="356"/>
        <v>0.83079293407259791</v>
      </c>
      <c r="CV198" s="3">
        <v>5.8612667223453029E-3</v>
      </c>
      <c r="CW198" s="11">
        <v>0</v>
      </c>
      <c r="CX198" s="11"/>
      <c r="DA198" s="7">
        <v>7.25</v>
      </c>
      <c r="DB198" s="7">
        <v>6.75</v>
      </c>
      <c r="DC198" s="11">
        <v>-1.0981602426424051E-4</v>
      </c>
      <c r="DD198" s="11">
        <v>2.7011936365590543E-3</v>
      </c>
      <c r="DE198" s="11">
        <v>-2.081068749191169E-2</v>
      </c>
      <c r="DF198" s="1">
        <v>7.9193834172733207E-2</v>
      </c>
      <c r="DG198" s="3">
        <f t="shared" si="348"/>
        <v>2.8449355756437478E-2</v>
      </c>
      <c r="DH198" s="11">
        <f t="shared" si="357"/>
        <v>0.83080491533592915</v>
      </c>
      <c r="DI198" s="3">
        <v>5.8593791104882163E-3</v>
      </c>
      <c r="DJ198" s="11">
        <v>0</v>
      </c>
      <c r="DK198" s="11"/>
    </row>
    <row r="199" spans="1:115" x14ac:dyDescent="0.25">
      <c r="A199" s="7">
        <v>7.5</v>
      </c>
      <c r="B199" s="7">
        <v>6.75</v>
      </c>
      <c r="C199" s="11">
        <v>-1.0944565389387003E-4</v>
      </c>
      <c r="D199" s="11">
        <v>2.6920269698923849E-3</v>
      </c>
      <c r="E199" s="11">
        <v>-2.0739229158578329E-2</v>
      </c>
      <c r="F199" s="1">
        <v>7.9015240422733113E-2</v>
      </c>
      <c r="G199" s="3">
        <f t="shared" si="340"/>
        <v>2.872515355336587E-2</v>
      </c>
      <c r="H199" s="11">
        <f t="shared" si="349"/>
        <v>0.82493758291141861</v>
      </c>
      <c r="I199" s="3">
        <v>5.8669874481696764E-3</v>
      </c>
      <c r="J199" s="11">
        <v>0</v>
      </c>
      <c r="N199" s="7">
        <v>7.5</v>
      </c>
      <c r="O199" s="7">
        <v>6.75</v>
      </c>
      <c r="P199" s="11">
        <v>-1.0944565389387003E-4</v>
      </c>
      <c r="Q199" s="11">
        <v>2.6920269698923849E-3</v>
      </c>
      <c r="R199" s="11">
        <v>-2.0739229158578329E-2</v>
      </c>
      <c r="S199" s="1">
        <v>7.9015240422733113E-2</v>
      </c>
      <c r="T199" s="3">
        <f t="shared" si="341"/>
        <v>2.872515355336587E-2</v>
      </c>
      <c r="U199" s="11">
        <f t="shared" si="350"/>
        <v>0.82493348326293481</v>
      </c>
      <c r="V199" s="3">
        <v>5.8669582913138188E-3</v>
      </c>
      <c r="W199" s="11">
        <v>0</v>
      </c>
      <c r="AA199" s="7">
        <v>7.5</v>
      </c>
      <c r="AB199" s="7">
        <v>6.75</v>
      </c>
      <c r="AC199" s="11">
        <v>-1.0944565389387003E-4</v>
      </c>
      <c r="AD199" s="11">
        <v>2.6920269698923849E-3</v>
      </c>
      <c r="AE199" s="11">
        <v>-2.0739229158578329E-2</v>
      </c>
      <c r="AF199" s="1">
        <v>7.9015240422733113E-2</v>
      </c>
      <c r="AG199" s="3">
        <f t="shared" si="342"/>
        <v>2.872515355336587E-2</v>
      </c>
      <c r="AH199" s="11">
        <f t="shared" si="351"/>
        <v>0.82493040327327982</v>
      </c>
      <c r="AI199" s="3">
        <v>5.8669363863103124E-3</v>
      </c>
      <c r="AJ199" s="11">
        <v>0</v>
      </c>
      <c r="AK199" s="11"/>
      <c r="AN199" s="7">
        <v>7.5</v>
      </c>
      <c r="AO199" s="7">
        <v>6.75</v>
      </c>
      <c r="AP199" s="11">
        <v>-1.0944565389387003E-4</v>
      </c>
      <c r="AQ199" s="11">
        <v>2.6920269698923849E-3</v>
      </c>
      <c r="AR199" s="11">
        <v>-2.0739229158578329E-2</v>
      </c>
      <c r="AS199" s="1">
        <v>7.9015240422733113E-2</v>
      </c>
      <c r="AT199" s="3">
        <f t="shared" si="343"/>
        <v>2.872515355336587E-2</v>
      </c>
      <c r="AU199" s="11">
        <f t="shared" si="352"/>
        <v>0.82492938169203867</v>
      </c>
      <c r="AV199" s="3">
        <v>5.8669291207856912E-3</v>
      </c>
      <c r="AW199" s="11">
        <v>0</v>
      </c>
      <c r="AX199" s="11"/>
      <c r="BA199" s="7">
        <v>7.5</v>
      </c>
      <c r="BB199" s="7">
        <v>6.75</v>
      </c>
      <c r="BC199" s="11">
        <v>-1.0944565389387003E-4</v>
      </c>
      <c r="BD199" s="11">
        <v>2.6920269698923849E-3</v>
      </c>
      <c r="BE199" s="11">
        <v>-2.0739229158578329E-2</v>
      </c>
      <c r="BF199" s="1">
        <v>7.9015240422733113E-2</v>
      </c>
      <c r="BG199" s="3">
        <f t="shared" si="344"/>
        <v>2.872515355336587E-2</v>
      </c>
      <c r="BH199" s="11">
        <f t="shared" si="353"/>
        <v>0.82492938547947126</v>
      </c>
      <c r="BI199" s="3">
        <v>5.8669291477220558E-3</v>
      </c>
      <c r="BJ199" s="11">
        <v>0</v>
      </c>
      <c r="BK199" s="11"/>
      <c r="BN199" s="7">
        <v>7.5</v>
      </c>
      <c r="BO199" s="7">
        <v>6.75</v>
      </c>
      <c r="BP199" s="11">
        <v>-1.0944565389387003E-4</v>
      </c>
      <c r="BQ199" s="11">
        <v>2.6920269698923849E-3</v>
      </c>
      <c r="BR199" s="11">
        <v>-2.0739229158578329E-2</v>
      </c>
      <c r="BS199" s="1">
        <v>7.9015240422733113E-2</v>
      </c>
      <c r="BT199" s="3">
        <f t="shared" si="345"/>
        <v>2.872515355336587E-2</v>
      </c>
      <c r="BU199" s="11">
        <f t="shared" si="354"/>
        <v>0.82493041137137546</v>
      </c>
      <c r="BV199" s="3">
        <v>5.8669364439042759E-3</v>
      </c>
      <c r="BW199" s="11">
        <v>0</v>
      </c>
      <c r="BX199" s="11"/>
      <c r="CA199" s="7">
        <v>7.5</v>
      </c>
      <c r="CB199" s="7">
        <v>6.75</v>
      </c>
      <c r="CC199" s="11">
        <v>-1.097234316716478E-4</v>
      </c>
      <c r="CD199" s="11">
        <v>2.6993186365590512E-3</v>
      </c>
      <c r="CE199" s="11">
        <v>-2.0802197908578332E-2</v>
      </c>
      <c r="CF199" s="1">
        <v>7.9193482610233137E-2</v>
      </c>
      <c r="CG199" s="3">
        <f t="shared" si="346"/>
        <v>2.8724098865865869E-2</v>
      </c>
      <c r="CH199" s="11">
        <f t="shared" si="355"/>
        <v>0.82492439519731231</v>
      </c>
      <c r="CI199" s="3">
        <v>5.8667146365946029E-3</v>
      </c>
      <c r="CJ199" s="11">
        <v>0</v>
      </c>
      <c r="CK199" s="11"/>
      <c r="CN199" s="7">
        <v>7.5</v>
      </c>
      <c r="CO199" s="7">
        <v>6.75</v>
      </c>
      <c r="CP199" s="11">
        <v>-1.0879750574572191E-4</v>
      </c>
      <c r="CQ199" s="11">
        <v>2.6755686365590517E-3</v>
      </c>
      <c r="CR199" s="11">
        <v>-2.0604802075245E-2</v>
      </c>
      <c r="CS199" s="1">
        <v>7.8668404485233129E-2</v>
      </c>
      <c r="CT199" s="3">
        <f t="shared" si="347"/>
        <v>2.8734176990865862E-2</v>
      </c>
      <c r="CU199" s="11">
        <f t="shared" si="356"/>
        <v>0.82492404978348155</v>
      </c>
      <c r="CV199" s="3">
        <v>5.8688842891163866E-3</v>
      </c>
      <c r="CW199" s="11">
        <v>0</v>
      </c>
      <c r="CX199" s="11"/>
      <c r="DA199" s="7">
        <v>7.5</v>
      </c>
      <c r="DB199" s="7">
        <v>6.75</v>
      </c>
      <c r="DC199" s="11">
        <v>-1.0981602426424051E-4</v>
      </c>
      <c r="DD199" s="11">
        <v>2.7011936365590543E-3</v>
      </c>
      <c r="DE199" s="11">
        <v>-2.081068749191169E-2</v>
      </c>
      <c r="DF199" s="1">
        <v>7.9193834172733207E-2</v>
      </c>
      <c r="DG199" s="3">
        <f t="shared" si="348"/>
        <v>2.8727184803365863E-2</v>
      </c>
      <c r="DH199" s="11">
        <f t="shared" si="357"/>
        <v>0.82493767895952674</v>
      </c>
      <c r="DI199" s="3">
        <v>5.8672363764023464E-3</v>
      </c>
      <c r="DJ199" s="11">
        <v>0</v>
      </c>
      <c r="DK199" s="11"/>
    </row>
    <row r="200" spans="1:115" x14ac:dyDescent="0.25">
      <c r="A200" s="7">
        <v>7.75</v>
      </c>
      <c r="B200" s="7">
        <v>6.75</v>
      </c>
      <c r="C200" s="11">
        <v>-1.0944565389387003E-4</v>
      </c>
      <c r="D200" s="11">
        <v>2.6920269698923849E-3</v>
      </c>
      <c r="E200" s="11">
        <v>-2.0739229158578329E-2</v>
      </c>
      <c r="F200" s="1">
        <v>7.9015240422733113E-2</v>
      </c>
      <c r="G200" s="3">
        <f t="shared" si="340"/>
        <v>2.9030842523658007E-2</v>
      </c>
      <c r="H200" s="11">
        <f t="shared" si="349"/>
        <v>0.81905570766853375</v>
      </c>
      <c r="I200" s="3">
        <v>5.881875242884845E-3</v>
      </c>
      <c r="J200" s="11">
        <v>0</v>
      </c>
      <c r="N200" s="7">
        <v>7.75</v>
      </c>
      <c r="O200" s="7">
        <v>6.75</v>
      </c>
      <c r="P200" s="11">
        <v>-1.0944565389387003E-4</v>
      </c>
      <c r="Q200" s="11">
        <v>2.6920269698923849E-3</v>
      </c>
      <c r="R200" s="11">
        <v>-2.0739229158578329E-2</v>
      </c>
      <c r="S200" s="1">
        <v>7.9015240422733113E-2</v>
      </c>
      <c r="T200" s="3">
        <f t="shared" si="341"/>
        <v>2.9030842523658007E-2</v>
      </c>
      <c r="U200" s="11">
        <f t="shared" si="350"/>
        <v>0.81905163725089281</v>
      </c>
      <c r="V200" s="3">
        <v>5.8818460120419044E-3</v>
      </c>
      <c r="W200" s="11">
        <v>0</v>
      </c>
      <c r="AA200" s="7">
        <v>7.75</v>
      </c>
      <c r="AB200" s="7">
        <v>6.75</v>
      </c>
      <c r="AC200" s="11">
        <v>-1.0944565389387003E-4</v>
      </c>
      <c r="AD200" s="11">
        <v>2.6920269698923849E-3</v>
      </c>
      <c r="AE200" s="11">
        <v>-2.0739229158578329E-2</v>
      </c>
      <c r="AF200" s="1">
        <v>7.9015240422733113E-2</v>
      </c>
      <c r="AG200" s="3">
        <f t="shared" si="342"/>
        <v>2.9030842523658007E-2</v>
      </c>
      <c r="AH200" s="11">
        <f t="shared" si="351"/>
        <v>0.8190485792218265</v>
      </c>
      <c r="AI200" s="3">
        <v>5.881824051453279E-3</v>
      </c>
      <c r="AJ200" s="11">
        <v>0</v>
      </c>
      <c r="AK200" s="11"/>
      <c r="AN200" s="7">
        <v>7.75</v>
      </c>
      <c r="AO200" s="7">
        <v>6.75</v>
      </c>
      <c r="AP200" s="11">
        <v>-1.0944565389387003E-4</v>
      </c>
      <c r="AQ200" s="11">
        <v>2.6920269698923849E-3</v>
      </c>
      <c r="AR200" s="11">
        <v>-2.0739229158578329E-2</v>
      </c>
      <c r="AS200" s="1">
        <v>7.9015240422733113E-2</v>
      </c>
      <c r="AT200" s="3">
        <f t="shared" si="343"/>
        <v>2.9030842523658007E-2</v>
      </c>
      <c r="AU200" s="11">
        <f t="shared" si="352"/>
        <v>0.81904756492454656</v>
      </c>
      <c r="AV200" s="3">
        <v>5.8818167674920003E-3</v>
      </c>
      <c r="AW200" s="11">
        <v>0</v>
      </c>
      <c r="AX200" s="11"/>
      <c r="BA200" s="7">
        <v>7.75</v>
      </c>
      <c r="BB200" s="7">
        <v>6.75</v>
      </c>
      <c r="BC200" s="11">
        <v>-1.0944565389387003E-4</v>
      </c>
      <c r="BD200" s="11">
        <v>2.6920269698923849E-3</v>
      </c>
      <c r="BE200" s="11">
        <v>-2.0739229158578329E-2</v>
      </c>
      <c r="BF200" s="1">
        <v>7.9015240422733113E-2</v>
      </c>
      <c r="BG200" s="3">
        <f t="shared" si="344"/>
        <v>2.9030842523658007E-2</v>
      </c>
      <c r="BH200" s="11">
        <f t="shared" si="353"/>
        <v>0.81904756868497453</v>
      </c>
      <c r="BI200" s="3">
        <v>5.8818167944967182E-3</v>
      </c>
      <c r="BJ200" s="11">
        <v>0</v>
      </c>
      <c r="BK200" s="11"/>
      <c r="BN200" s="7">
        <v>7.75</v>
      </c>
      <c r="BO200" s="7">
        <v>6.75</v>
      </c>
      <c r="BP200" s="11">
        <v>-1.0944565389387003E-4</v>
      </c>
      <c r="BQ200" s="11">
        <v>2.6920269698923849E-3</v>
      </c>
      <c r="BR200" s="11">
        <v>-2.0739229158578329E-2</v>
      </c>
      <c r="BS200" s="1">
        <v>7.9015240422733113E-2</v>
      </c>
      <c r="BT200" s="3">
        <f t="shared" si="345"/>
        <v>2.9030842523658007E-2</v>
      </c>
      <c r="BU200" s="11">
        <f t="shared" si="354"/>
        <v>0.81904858726218199</v>
      </c>
      <c r="BV200" s="3">
        <v>5.8818241091933912E-3</v>
      </c>
      <c r="BW200" s="11">
        <v>0</v>
      </c>
      <c r="BX200" s="11"/>
      <c r="CA200" s="7">
        <v>7.75</v>
      </c>
      <c r="CB200" s="7">
        <v>6.75</v>
      </c>
      <c r="CC200" s="11">
        <v>-1.097234316716478E-4</v>
      </c>
      <c r="CD200" s="11">
        <v>2.6993186365590512E-3</v>
      </c>
      <c r="CE200" s="11">
        <v>-2.0802197908578332E-2</v>
      </c>
      <c r="CF200" s="1">
        <v>7.9193482610233137E-2</v>
      </c>
      <c r="CG200" s="3">
        <f t="shared" si="346"/>
        <v>2.9029731412546875E-2</v>
      </c>
      <c r="CH200" s="11">
        <f t="shared" si="355"/>
        <v>0.81904282840270781</v>
      </c>
      <c r="CI200" s="3">
        <v>5.8815667946044477E-3</v>
      </c>
      <c r="CJ200" s="11">
        <v>0</v>
      </c>
      <c r="CK200" s="11"/>
      <c r="CN200" s="7">
        <v>7.75</v>
      </c>
      <c r="CO200" s="7">
        <v>6.75</v>
      </c>
      <c r="CP200" s="11">
        <v>-1.0879750574572191E-4</v>
      </c>
      <c r="CQ200" s="11">
        <v>2.6755686365590517E-3</v>
      </c>
      <c r="CR200" s="11">
        <v>-2.0604802075245E-2</v>
      </c>
      <c r="CS200" s="1">
        <v>7.8668404485233129E-2</v>
      </c>
      <c r="CT200" s="3">
        <f t="shared" si="347"/>
        <v>2.9038990671806153E-2</v>
      </c>
      <c r="CU200" s="11">
        <f t="shared" si="356"/>
        <v>0.81904043656673542</v>
      </c>
      <c r="CV200" s="3">
        <v>5.8836132167461551E-3</v>
      </c>
      <c r="CW200" s="11">
        <v>0</v>
      </c>
      <c r="CX200" s="11"/>
      <c r="DA200" s="7">
        <v>7.75</v>
      </c>
      <c r="DB200" s="7">
        <v>6.75</v>
      </c>
      <c r="DC200" s="11">
        <v>-1.0981602426424051E-4</v>
      </c>
      <c r="DD200" s="11">
        <v>2.7011936365590543E-3</v>
      </c>
      <c r="DE200" s="11">
        <v>-2.081068749191169E-2</v>
      </c>
      <c r="DF200" s="1">
        <v>7.9193834172733207E-2</v>
      </c>
      <c r="DG200" s="3">
        <f t="shared" si="348"/>
        <v>2.9033805486620989E-2</v>
      </c>
      <c r="DH200" s="11">
        <f t="shared" si="357"/>
        <v>0.81905539007083739</v>
      </c>
      <c r="DI200" s="3">
        <v>5.8822888886894643E-3</v>
      </c>
      <c r="DJ200" s="11">
        <v>0</v>
      </c>
      <c r="DK200" s="11"/>
    </row>
    <row r="201" spans="1:115" x14ac:dyDescent="0.25">
      <c r="A201" s="7">
        <v>8</v>
      </c>
      <c r="B201" s="7">
        <v>6.75</v>
      </c>
      <c r="C201" s="11">
        <v>-1.0944565389387003E-4</v>
      </c>
      <c r="D201" s="11">
        <v>2.6920269698923849E-3</v>
      </c>
      <c r="E201" s="11">
        <v>-2.0739229158578329E-2</v>
      </c>
      <c r="F201" s="1">
        <v>7.9015240422733113E-2</v>
      </c>
      <c r="G201" s="3">
        <f t="shared" si="340"/>
        <v>2.9354958433557649E-2</v>
      </c>
      <c r="H201" s="11">
        <f t="shared" si="349"/>
        <v>0.81315407072486257</v>
      </c>
      <c r="I201" s="3">
        <v>5.9016369436712375E-3</v>
      </c>
      <c r="J201" s="11">
        <v>0.81315407072486257</v>
      </c>
      <c r="N201" s="7">
        <v>8</v>
      </c>
      <c r="O201" s="7">
        <v>6.75</v>
      </c>
      <c r="P201" s="11">
        <v>-1.0944565389387003E-4</v>
      </c>
      <c r="Q201" s="11">
        <v>2.6920269698923849E-3</v>
      </c>
      <c r="R201" s="11">
        <v>-2.0739229158578329E-2</v>
      </c>
      <c r="S201" s="1">
        <v>7.9015240422733113E-2</v>
      </c>
      <c r="T201" s="3">
        <f t="shared" si="341"/>
        <v>2.9354958433557649E-2</v>
      </c>
      <c r="U201" s="11">
        <f t="shared" si="350"/>
        <v>0.81315002963627325</v>
      </c>
      <c r="V201" s="3">
        <v>5.9016076146196222E-3</v>
      </c>
      <c r="W201" s="11">
        <v>0.81315002963627325</v>
      </c>
      <c r="AA201" s="7">
        <v>8</v>
      </c>
      <c r="AB201" s="7">
        <v>6.75</v>
      </c>
      <c r="AC201" s="11">
        <v>-1.0944565389387003E-4</v>
      </c>
      <c r="AD201" s="11">
        <v>2.6920269698923849E-3</v>
      </c>
      <c r="AE201" s="11">
        <v>-2.0739229158578329E-2</v>
      </c>
      <c r="AF201" s="1">
        <v>7.9015240422733113E-2</v>
      </c>
      <c r="AG201" s="3">
        <f t="shared" si="342"/>
        <v>2.9354958433557649E-2</v>
      </c>
      <c r="AH201" s="11">
        <f t="shared" si="351"/>
        <v>0.81314699364157794</v>
      </c>
      <c r="AI201" s="3">
        <v>5.9015855802486469E-3</v>
      </c>
      <c r="AJ201" s="11">
        <v>0.81314699364157794</v>
      </c>
      <c r="AK201" s="11"/>
      <c r="AN201" s="7">
        <v>8</v>
      </c>
      <c r="AO201" s="7">
        <v>6.75</v>
      </c>
      <c r="AP201" s="11">
        <v>-1.0944565389387003E-4</v>
      </c>
      <c r="AQ201" s="11">
        <v>2.6920269698923849E-3</v>
      </c>
      <c r="AR201" s="11">
        <v>-2.0739229158578329E-2</v>
      </c>
      <c r="AS201" s="1">
        <v>7.9015240422733113E-2</v>
      </c>
      <c r="AT201" s="3">
        <f t="shared" si="343"/>
        <v>2.9354958433557649E-2</v>
      </c>
      <c r="AU201" s="11">
        <f t="shared" si="352"/>
        <v>0.81314598665273163</v>
      </c>
      <c r="AV201" s="3">
        <v>5.9015782718149917E-3</v>
      </c>
      <c r="AW201" s="11">
        <v>0.81314598665273163</v>
      </c>
      <c r="AX201" s="11"/>
      <c r="BA201" s="7">
        <v>8</v>
      </c>
      <c r="BB201" s="7">
        <v>6.75</v>
      </c>
      <c r="BC201" s="11">
        <v>-1.0944565389387003E-4</v>
      </c>
      <c r="BD201" s="11">
        <v>2.6920269698923849E-3</v>
      </c>
      <c r="BE201" s="11">
        <v>-2.0739229158578329E-2</v>
      </c>
      <c r="BF201" s="1">
        <v>7.9015240422733113E-2</v>
      </c>
      <c r="BG201" s="3">
        <f t="shared" si="344"/>
        <v>2.9354958433557649E-2</v>
      </c>
      <c r="BH201" s="11">
        <f t="shared" si="353"/>
        <v>0.81314599038606417</v>
      </c>
      <c r="BI201" s="3">
        <v>5.9015782989104391E-3</v>
      </c>
      <c r="BJ201" s="11">
        <v>0.81314599038606417</v>
      </c>
      <c r="BK201" s="11"/>
      <c r="BN201" s="7">
        <v>8</v>
      </c>
      <c r="BO201" s="7">
        <v>6.75</v>
      </c>
      <c r="BP201" s="11">
        <v>-1.0944565389387003E-4</v>
      </c>
      <c r="BQ201" s="11">
        <v>2.6920269698923849E-3</v>
      </c>
      <c r="BR201" s="11">
        <v>-2.0739229158578329E-2</v>
      </c>
      <c r="BS201" s="1">
        <v>7.9015240422733113E-2</v>
      </c>
      <c r="BT201" s="3">
        <f t="shared" si="345"/>
        <v>2.9354958433557649E-2</v>
      </c>
      <c r="BU201" s="11">
        <f t="shared" si="354"/>
        <v>0.81314700162399933</v>
      </c>
      <c r="BV201" s="3">
        <v>5.9015856381827514E-3</v>
      </c>
      <c r="BW201" s="11">
        <v>0.81314700162399933</v>
      </c>
      <c r="BX201" s="11"/>
      <c r="CA201" s="7">
        <v>8</v>
      </c>
      <c r="CB201" s="7">
        <v>6.75</v>
      </c>
      <c r="CC201" s="11">
        <v>-1.097234316716478E-4</v>
      </c>
      <c r="CD201" s="11">
        <v>2.6993186365590512E-3</v>
      </c>
      <c r="CE201" s="11">
        <v>-2.0802197908578332E-2</v>
      </c>
      <c r="CF201" s="1">
        <v>7.9193482610233137E-2</v>
      </c>
      <c r="CG201" s="3">
        <f t="shared" si="346"/>
        <v>2.9353895065502081E-2</v>
      </c>
      <c r="CH201" s="11">
        <f t="shared" si="355"/>
        <v>0.81314150850463707</v>
      </c>
      <c r="CI201" s="3">
        <v>5.9013198980707032E-3</v>
      </c>
      <c r="CJ201" s="11">
        <v>0.81314150850463707</v>
      </c>
      <c r="CK201" s="11"/>
      <c r="CN201" s="7">
        <v>8</v>
      </c>
      <c r="CO201" s="7">
        <v>6.75</v>
      </c>
      <c r="CP201" s="11">
        <v>-1.0879750574572191E-4</v>
      </c>
      <c r="CQ201" s="11">
        <v>2.6755686365590517E-3</v>
      </c>
      <c r="CR201" s="11">
        <v>-2.0604802075245E-2</v>
      </c>
      <c r="CS201" s="1">
        <v>7.8668404485233129E-2</v>
      </c>
      <c r="CT201" s="3">
        <f t="shared" si="347"/>
        <v>2.9362057681242823E-2</v>
      </c>
      <c r="CU201" s="11">
        <f t="shared" si="356"/>
        <v>0.81313726520196106</v>
      </c>
      <c r="CV201" s="3">
        <v>5.9031713647744281E-3</v>
      </c>
      <c r="CW201" s="11">
        <v>0.81313726520196106</v>
      </c>
      <c r="CX201" s="11"/>
      <c r="DA201" s="7">
        <v>8</v>
      </c>
      <c r="DB201" s="7">
        <v>6.75</v>
      </c>
      <c r="DC201" s="11">
        <v>-1.0981602426424051E-4</v>
      </c>
      <c r="DD201" s="11">
        <v>2.7011936365590543E-3</v>
      </c>
      <c r="DE201" s="11">
        <v>-2.081068749191169E-2</v>
      </c>
      <c r="DF201" s="1">
        <v>7.9193834172733207E-2</v>
      </c>
      <c r="DG201" s="3">
        <f t="shared" si="348"/>
        <v>2.9358922553928024E-2</v>
      </c>
      <c r="DH201" s="11">
        <f t="shared" si="357"/>
        <v>0.8131531574199965</v>
      </c>
      <c r="DI201" s="3">
        <v>5.9022326508409691E-3</v>
      </c>
      <c r="DJ201" s="11">
        <v>0.8131531574199965</v>
      </c>
      <c r="DK201" s="11"/>
    </row>
    <row r="202" spans="1:115" x14ac:dyDescent="0.25">
      <c r="A202" s="7">
        <v>8.25</v>
      </c>
      <c r="B202" s="7">
        <v>6.75</v>
      </c>
      <c r="C202" s="11">
        <v>-1.0944565389387003E-4</v>
      </c>
      <c r="D202" s="11">
        <v>2.6920269698923849E-3</v>
      </c>
      <c r="E202" s="11">
        <v>-2.0739229158578329E-2</v>
      </c>
      <c r="F202" s="1">
        <v>7.9015240422733113E-2</v>
      </c>
      <c r="G202" s="3">
        <f t="shared" si="340"/>
        <v>2.968724075301224E-2</v>
      </c>
      <c r="H202" s="11">
        <f t="shared" si="349"/>
        <v>0.80723001980543541</v>
      </c>
      <c r="I202" s="3">
        <v>5.9240509194271188E-3</v>
      </c>
      <c r="J202" s="11">
        <v>0</v>
      </c>
      <c r="N202" s="7">
        <v>8.25</v>
      </c>
      <c r="O202" s="7">
        <v>6.75</v>
      </c>
      <c r="P202" s="11">
        <v>-1.0944565389387003E-4</v>
      </c>
      <c r="Q202" s="11">
        <v>2.6920269698923849E-3</v>
      </c>
      <c r="R202" s="11">
        <v>-2.0739229158578329E-2</v>
      </c>
      <c r="S202" s="1">
        <v>7.9015240422733113E-2</v>
      </c>
      <c r="T202" s="3">
        <f t="shared" si="341"/>
        <v>2.968724075301224E-2</v>
      </c>
      <c r="U202" s="11">
        <f t="shared" si="350"/>
        <v>0.80722600815728718</v>
      </c>
      <c r="V202" s="3">
        <v>5.9240214789859583E-3</v>
      </c>
      <c r="W202" s="11">
        <v>0</v>
      </c>
      <c r="AA202" s="7">
        <v>8.25</v>
      </c>
      <c r="AB202" s="7">
        <v>6.75</v>
      </c>
      <c r="AC202" s="11">
        <v>-1.0944565389387003E-4</v>
      </c>
      <c r="AD202" s="11">
        <v>2.6920269698923849E-3</v>
      </c>
      <c r="AE202" s="11">
        <v>-2.0739229158578329E-2</v>
      </c>
      <c r="AF202" s="1">
        <v>7.9015240422733113E-2</v>
      </c>
      <c r="AG202" s="3">
        <f t="shared" si="342"/>
        <v>2.968724075301224E-2</v>
      </c>
      <c r="AH202" s="11">
        <f t="shared" si="351"/>
        <v>0.80722299428064781</v>
      </c>
      <c r="AI202" s="3">
        <v>5.9239993609300897E-3</v>
      </c>
      <c r="AJ202" s="11">
        <v>0</v>
      </c>
      <c r="AK202" s="11"/>
      <c r="AN202" s="7">
        <v>8.25</v>
      </c>
      <c r="AO202" s="7">
        <v>6.75</v>
      </c>
      <c r="AP202" s="11">
        <v>-1.0944565389387003E-4</v>
      </c>
      <c r="AQ202" s="11">
        <v>2.6920269698923849E-3</v>
      </c>
      <c r="AR202" s="11">
        <v>-2.0739229158578329E-2</v>
      </c>
      <c r="AS202" s="1">
        <v>7.9015240422733113E-2</v>
      </c>
      <c r="AT202" s="3">
        <f t="shared" si="343"/>
        <v>2.968724075301224E-2</v>
      </c>
      <c r="AU202" s="11">
        <f t="shared" si="352"/>
        <v>0.80722199462799205</v>
      </c>
      <c r="AV202" s="3">
        <v>5.9239920247395501E-3</v>
      </c>
      <c r="AW202" s="11">
        <v>0</v>
      </c>
      <c r="AX202" s="11"/>
      <c r="BA202" s="7">
        <v>8.25</v>
      </c>
      <c r="BB202" s="7">
        <v>6.75</v>
      </c>
      <c r="BC202" s="11">
        <v>-1.0944565389387003E-4</v>
      </c>
      <c r="BD202" s="11">
        <v>2.6920269698923849E-3</v>
      </c>
      <c r="BE202" s="11">
        <v>-2.0739229158578329E-2</v>
      </c>
      <c r="BF202" s="1">
        <v>7.9015240422733113E-2</v>
      </c>
      <c r="BG202" s="3">
        <f t="shared" si="344"/>
        <v>2.968724075301224E-2</v>
      </c>
      <c r="BH202" s="11">
        <f t="shared" si="353"/>
        <v>0.80722199833412622</v>
      </c>
      <c r="BI202" s="3">
        <v>5.923992051937904E-3</v>
      </c>
      <c r="BJ202" s="11">
        <v>0</v>
      </c>
      <c r="BK202" s="11"/>
      <c r="BN202" s="7">
        <v>8.25</v>
      </c>
      <c r="BO202" s="7">
        <v>6.75</v>
      </c>
      <c r="BP202" s="11">
        <v>-1.0944565389387003E-4</v>
      </c>
      <c r="BQ202" s="11">
        <v>2.6920269698923849E-3</v>
      </c>
      <c r="BR202" s="11">
        <v>-2.0739229158578329E-2</v>
      </c>
      <c r="BS202" s="1">
        <v>7.9015240422733113E-2</v>
      </c>
      <c r="BT202" s="3">
        <f t="shared" si="345"/>
        <v>2.968724075301224E-2</v>
      </c>
      <c r="BU202" s="11">
        <f t="shared" si="354"/>
        <v>0.80722300220491505</v>
      </c>
      <c r="BV202" s="3">
        <v>5.923999419084224E-3</v>
      </c>
      <c r="BW202" s="11">
        <v>0</v>
      </c>
      <c r="BX202" s="11"/>
      <c r="CA202" s="7">
        <v>8.25</v>
      </c>
      <c r="CB202" s="7">
        <v>6.75</v>
      </c>
      <c r="CC202" s="11">
        <v>-1.097234316716478E-4</v>
      </c>
      <c r="CD202" s="11">
        <v>2.6993186365590512E-3</v>
      </c>
      <c r="CE202" s="11">
        <v>-2.0802197908578332E-2</v>
      </c>
      <c r="CF202" s="1">
        <v>7.9193482610233137E-2</v>
      </c>
      <c r="CG202" s="3">
        <f t="shared" si="346"/>
        <v>2.9686303253012206E-2</v>
      </c>
      <c r="CH202" s="11">
        <f t="shared" si="355"/>
        <v>0.8072177621334683</v>
      </c>
      <c r="CI202" s="3">
        <v>5.9237463711688115E-3</v>
      </c>
      <c r="CJ202" s="11">
        <v>0</v>
      </c>
      <c r="CK202" s="11"/>
      <c r="CN202" s="7">
        <v>8.25</v>
      </c>
      <c r="CO202" s="7">
        <v>6.75</v>
      </c>
      <c r="CP202" s="11">
        <v>-1.0879750574572191E-4</v>
      </c>
      <c r="CQ202" s="11">
        <v>2.6755686365590517E-3</v>
      </c>
      <c r="CR202" s="11">
        <v>-2.0604802075245E-2</v>
      </c>
      <c r="CS202" s="1">
        <v>7.8668404485233129E-2</v>
      </c>
      <c r="CT202" s="3">
        <f t="shared" si="347"/>
        <v>2.9693178253012237E-2</v>
      </c>
      <c r="CU202" s="11">
        <f t="shared" si="356"/>
        <v>0.80721191450330299</v>
      </c>
      <c r="CV202" s="3">
        <v>5.9253506986581082E-3</v>
      </c>
      <c r="CW202" s="11">
        <v>0</v>
      </c>
      <c r="CX202" s="11"/>
      <c r="DA202" s="7">
        <v>8.25</v>
      </c>
      <c r="DB202" s="7">
        <v>6.75</v>
      </c>
      <c r="DC202" s="11">
        <v>-1.0981602426424051E-4</v>
      </c>
      <c r="DD202" s="11">
        <v>2.7011936365590543E-3</v>
      </c>
      <c r="DE202" s="11">
        <v>-2.081068749191169E-2</v>
      </c>
      <c r="DF202" s="1">
        <v>7.9193834172733207E-2</v>
      </c>
      <c r="DG202" s="3">
        <f t="shared" si="348"/>
        <v>2.9692240753012217E-2</v>
      </c>
      <c r="DH202" s="11">
        <f t="shared" si="357"/>
        <v>0.80722831899481995</v>
      </c>
      <c r="DI202" s="3">
        <v>5.9248384251766066E-3</v>
      </c>
      <c r="DJ202" s="11">
        <v>0</v>
      </c>
      <c r="DK202" s="11"/>
    </row>
    <row r="203" spans="1:115" x14ac:dyDescent="0.25">
      <c r="A203" s="7">
        <v>8.5</v>
      </c>
      <c r="B203" s="7">
        <v>6.75</v>
      </c>
      <c r="C203" s="11">
        <v>-1.0944565389387003E-4</v>
      </c>
      <c r="D203" s="11">
        <v>2.6920269698923849E-3</v>
      </c>
      <c r="E203" s="11">
        <v>-2.0739229158578329E-2</v>
      </c>
      <c r="F203" s="1">
        <v>7.9015240422733113E-2</v>
      </c>
      <c r="G203" s="3">
        <f t="shared" si="340"/>
        <v>3.0017428951969183E-2</v>
      </c>
      <c r="H203" s="11">
        <f t="shared" si="349"/>
        <v>0.80128304910789194</v>
      </c>
      <c r="I203" s="3">
        <v>5.9469706975434295E-3</v>
      </c>
      <c r="J203" s="11">
        <v>0</v>
      </c>
      <c r="N203" s="7">
        <v>8.5</v>
      </c>
      <c r="O203" s="7">
        <v>6.75</v>
      </c>
      <c r="P203" s="11">
        <v>-1.0944565389387003E-4</v>
      </c>
      <c r="Q203" s="11">
        <v>2.6920269698923849E-3</v>
      </c>
      <c r="R203" s="11">
        <v>-2.0739229158578329E-2</v>
      </c>
      <c r="S203" s="1">
        <v>7.9015240422733113E-2</v>
      </c>
      <c r="T203" s="3">
        <f t="shared" si="341"/>
        <v>3.0017428951969183E-2</v>
      </c>
      <c r="U203" s="11">
        <f t="shared" si="350"/>
        <v>0.80127906701408813</v>
      </c>
      <c r="V203" s="3">
        <v>5.9469411431990653E-3</v>
      </c>
      <c r="W203" s="11">
        <v>0</v>
      </c>
      <c r="AA203" s="7">
        <v>8.5</v>
      </c>
      <c r="AB203" s="7">
        <v>6.75</v>
      </c>
      <c r="AC203" s="11">
        <v>-1.0944565389387003E-4</v>
      </c>
      <c r="AD203" s="11">
        <v>2.6920269698923849E-3</v>
      </c>
      <c r="AE203" s="11">
        <v>-2.0739229158578329E-2</v>
      </c>
      <c r="AF203" s="1">
        <v>7.9015240422733113E-2</v>
      </c>
      <c r="AG203" s="3">
        <f t="shared" si="342"/>
        <v>3.0017428951969183E-2</v>
      </c>
      <c r="AH203" s="11">
        <f t="shared" si="351"/>
        <v>0.80127607534107803</v>
      </c>
      <c r="AI203" s="3">
        <v>5.9469189395698393E-3</v>
      </c>
      <c r="AJ203" s="11">
        <v>0</v>
      </c>
      <c r="AK203" s="11"/>
      <c r="AN203" s="7">
        <v>8.5</v>
      </c>
      <c r="AO203" s="7">
        <v>6.75</v>
      </c>
      <c r="AP203" s="11">
        <v>-1.0944565389387003E-4</v>
      </c>
      <c r="AQ203" s="11">
        <v>2.6920269698923849E-3</v>
      </c>
      <c r="AR203" s="11">
        <v>-2.0739229158578329E-2</v>
      </c>
      <c r="AS203" s="1">
        <v>7.9015240422733113E-2</v>
      </c>
      <c r="AT203" s="3">
        <f t="shared" si="343"/>
        <v>3.0017428951969183E-2</v>
      </c>
      <c r="AU203" s="11">
        <f t="shared" si="352"/>
        <v>0.801275083052996</v>
      </c>
      <c r="AV203" s="3">
        <v>5.9469115749960421E-3</v>
      </c>
      <c r="AW203" s="11">
        <v>0</v>
      </c>
      <c r="AX203" s="11"/>
      <c r="BA203" s="7">
        <v>8.5</v>
      </c>
      <c r="BB203" s="7">
        <v>6.75</v>
      </c>
      <c r="BC203" s="11">
        <v>-1.0944565389387003E-4</v>
      </c>
      <c r="BD203" s="11">
        <v>2.6920269698923849E-3</v>
      </c>
      <c r="BE203" s="11">
        <v>-2.0739229158578329E-2</v>
      </c>
      <c r="BF203" s="1">
        <v>7.9015240422733113E-2</v>
      </c>
      <c r="BG203" s="3">
        <f t="shared" si="344"/>
        <v>3.0017428951969183E-2</v>
      </c>
      <c r="BH203" s="11">
        <f t="shared" si="353"/>
        <v>0.80127508673182657</v>
      </c>
      <c r="BI203" s="3">
        <v>5.9469116022996243E-3</v>
      </c>
      <c r="BJ203" s="11">
        <v>0</v>
      </c>
      <c r="BK203" s="11"/>
      <c r="BN203" s="7">
        <v>8.5</v>
      </c>
      <c r="BO203" s="7">
        <v>6.75</v>
      </c>
      <c r="BP203" s="11">
        <v>-1.0944565389387003E-4</v>
      </c>
      <c r="BQ203" s="11">
        <v>2.6920269698923849E-3</v>
      </c>
      <c r="BR203" s="11">
        <v>-2.0739229158578329E-2</v>
      </c>
      <c r="BS203" s="1">
        <v>7.9015240422733113E-2</v>
      </c>
      <c r="BT203" s="3">
        <f t="shared" si="345"/>
        <v>3.0017428951969183E-2</v>
      </c>
      <c r="BU203" s="11">
        <f t="shared" si="354"/>
        <v>0.80127608320696608</v>
      </c>
      <c r="BV203" s="3">
        <v>5.9469189979489672E-3</v>
      </c>
      <c r="BW203" s="11">
        <v>0</v>
      </c>
      <c r="BX203" s="11"/>
      <c r="CA203" s="7">
        <v>8.5</v>
      </c>
      <c r="CB203" s="7">
        <v>6.75</v>
      </c>
      <c r="CC203" s="11">
        <v>-1.097234316716478E-4</v>
      </c>
      <c r="CD203" s="11">
        <v>2.6993186365590512E-3</v>
      </c>
      <c r="CE203" s="11">
        <v>-2.0802197908578332E-2</v>
      </c>
      <c r="CF203" s="1">
        <v>7.9193482610233137E-2</v>
      </c>
      <c r="CG203" s="3">
        <f t="shared" si="346"/>
        <v>3.0016669403358051E-2</v>
      </c>
      <c r="CH203" s="11">
        <f t="shared" si="355"/>
        <v>0.80127106815419569</v>
      </c>
      <c r="CI203" s="3">
        <v>5.9466939792726164E-3</v>
      </c>
      <c r="CJ203" s="11">
        <v>0</v>
      </c>
      <c r="CK203" s="11"/>
      <c r="CN203" s="7">
        <v>8.5</v>
      </c>
      <c r="CO203" s="7">
        <v>6.75</v>
      </c>
      <c r="CP203" s="11">
        <v>-1.0879750574572191E-4</v>
      </c>
      <c r="CQ203" s="11">
        <v>2.6755686365590517E-3</v>
      </c>
      <c r="CR203" s="11">
        <v>-2.0604802075245E-2</v>
      </c>
      <c r="CS203" s="1">
        <v>7.8668404485233129E-2</v>
      </c>
      <c r="CT203" s="3">
        <f t="shared" si="347"/>
        <v>3.0022152620950648E-2</v>
      </c>
      <c r="CU203" s="11">
        <f t="shared" si="356"/>
        <v>0.80126389657611852</v>
      </c>
      <c r="CV203" s="3">
        <v>5.9480179271844619E-3</v>
      </c>
      <c r="CW203" s="11">
        <v>0</v>
      </c>
      <c r="CX203" s="11"/>
      <c r="DA203" s="7">
        <v>8.5</v>
      </c>
      <c r="DB203" s="7">
        <v>6.75</v>
      </c>
      <c r="DC203" s="11">
        <v>-1.0981602426424051E-4</v>
      </c>
      <c r="DD203" s="11">
        <v>2.7011936365590543E-3</v>
      </c>
      <c r="DE203" s="11">
        <v>-2.081068749191169E-2</v>
      </c>
      <c r="DF203" s="1">
        <v>7.9193834172733207E-2</v>
      </c>
      <c r="DG203" s="3">
        <f t="shared" si="348"/>
        <v>3.0023464831598817E-2</v>
      </c>
      <c r="DH203" s="11">
        <f t="shared" si="357"/>
        <v>0.80128036660583934</v>
      </c>
      <c r="DI203" s="3">
        <v>5.947952388980618E-3</v>
      </c>
      <c r="DJ203" s="11">
        <v>0</v>
      </c>
      <c r="DK203" s="11"/>
    </row>
    <row r="204" spans="1:115" x14ac:dyDescent="0.25">
      <c r="A204" s="7">
        <v>8.75</v>
      </c>
      <c r="B204" s="7">
        <v>6.75</v>
      </c>
      <c r="C204" s="11">
        <v>-1.0944565389387003E-4</v>
      </c>
      <c r="D204" s="11">
        <v>2.6920269698923849E-3</v>
      </c>
      <c r="E204" s="11">
        <v>-2.0739229158578329E-2</v>
      </c>
      <c r="F204" s="1">
        <v>7.9015240422733113E-2</v>
      </c>
      <c r="G204" s="3">
        <f t="shared" si="340"/>
        <v>3.0335262500375992E-2</v>
      </c>
      <c r="H204" s="11">
        <f t="shared" si="349"/>
        <v>0.79531472330755704</v>
      </c>
      <c r="I204" s="3">
        <v>5.968325800334906E-3</v>
      </c>
      <c r="J204" s="11">
        <v>0</v>
      </c>
      <c r="N204" s="7">
        <v>8.75</v>
      </c>
      <c r="O204" s="7">
        <v>6.75</v>
      </c>
      <c r="P204" s="11">
        <v>-1.0944565389387003E-4</v>
      </c>
      <c r="Q204" s="11">
        <v>2.6920269698923849E-3</v>
      </c>
      <c r="R204" s="11">
        <v>-2.0739229158578329E-2</v>
      </c>
      <c r="S204" s="1">
        <v>7.9015240422733113E-2</v>
      </c>
      <c r="T204" s="3">
        <f t="shared" si="341"/>
        <v>3.0335262500375992E-2</v>
      </c>
      <c r="U204" s="11">
        <f t="shared" si="350"/>
        <v>0.79531077087422497</v>
      </c>
      <c r="V204" s="3">
        <v>5.9682961398632222E-3</v>
      </c>
      <c r="W204" s="11">
        <v>0</v>
      </c>
      <c r="AA204" s="7">
        <v>8.75</v>
      </c>
      <c r="AB204" s="7">
        <v>6.75</v>
      </c>
      <c r="AC204" s="11">
        <v>-1.0944565389387003E-4</v>
      </c>
      <c r="AD204" s="11">
        <v>2.6920269698923849E-3</v>
      </c>
      <c r="AE204" s="11">
        <v>-2.0739229158578329E-2</v>
      </c>
      <c r="AF204" s="1">
        <v>7.9015240422733113E-2</v>
      </c>
      <c r="AG204" s="3">
        <f t="shared" si="342"/>
        <v>3.0335262500375992E-2</v>
      </c>
      <c r="AH204" s="11">
        <f t="shared" si="351"/>
        <v>0.79530780148457558</v>
      </c>
      <c r="AI204" s="3">
        <v>5.9682738565025144E-3</v>
      </c>
      <c r="AJ204" s="11">
        <v>0</v>
      </c>
      <c r="AK204" s="11"/>
      <c r="AN204" s="7">
        <v>8.75</v>
      </c>
      <c r="AO204" s="7">
        <v>6.75</v>
      </c>
      <c r="AP204" s="11">
        <v>-1.0944565389387003E-4</v>
      </c>
      <c r="AQ204" s="11">
        <v>2.6920269698923849E-3</v>
      </c>
      <c r="AR204" s="11">
        <v>-2.0739229158578329E-2</v>
      </c>
      <c r="AS204" s="1">
        <v>7.9015240422733113E-2</v>
      </c>
      <c r="AT204" s="3">
        <f t="shared" si="343"/>
        <v>3.0335262500375992E-2</v>
      </c>
      <c r="AU204" s="11">
        <f t="shared" si="352"/>
        <v>0.7953068165875129</v>
      </c>
      <c r="AV204" s="3">
        <v>5.9682664654831137E-3</v>
      </c>
      <c r="AW204" s="11">
        <v>0</v>
      </c>
      <c r="AX204" s="11"/>
      <c r="BA204" s="7">
        <v>8.75</v>
      </c>
      <c r="BB204" s="7">
        <v>6.75</v>
      </c>
      <c r="BC204" s="11">
        <v>-1.0944565389387003E-4</v>
      </c>
      <c r="BD204" s="11">
        <v>2.6920269698923849E-3</v>
      </c>
      <c r="BE204" s="11">
        <v>-2.0739229158578329E-2</v>
      </c>
      <c r="BF204" s="1">
        <v>7.9015240422733113E-2</v>
      </c>
      <c r="BG204" s="3">
        <f t="shared" si="344"/>
        <v>3.0335262500375992E-2</v>
      </c>
      <c r="BH204" s="11">
        <f t="shared" si="353"/>
        <v>0.79530682023894184</v>
      </c>
      <c r="BI204" s="3">
        <v>5.9682664928847407E-3</v>
      </c>
      <c r="BJ204" s="11">
        <v>0</v>
      </c>
      <c r="BK204" s="11"/>
      <c r="BN204" s="7">
        <v>8.75</v>
      </c>
      <c r="BO204" s="7">
        <v>6.75</v>
      </c>
      <c r="BP204" s="11">
        <v>-1.0944565389387003E-4</v>
      </c>
      <c r="BQ204" s="11">
        <v>2.6920269698923849E-3</v>
      </c>
      <c r="BR204" s="11">
        <v>-2.0739229158578329E-2</v>
      </c>
      <c r="BS204" s="1">
        <v>7.9015240422733113E-2</v>
      </c>
      <c r="BT204" s="3">
        <f t="shared" si="345"/>
        <v>3.0335262500375992E-2</v>
      </c>
      <c r="BU204" s="11">
        <f t="shared" si="354"/>
        <v>0.79530780929187483</v>
      </c>
      <c r="BV204" s="3">
        <v>5.9682739150912776E-3</v>
      </c>
      <c r="BW204" s="11">
        <v>0</v>
      </c>
      <c r="BX204" s="11"/>
      <c r="CA204" s="7">
        <v>8.75</v>
      </c>
      <c r="CB204" s="7">
        <v>6.75</v>
      </c>
      <c r="CC204" s="11">
        <v>-1.097234316716478E-4</v>
      </c>
      <c r="CD204" s="11">
        <v>2.6993186365590512E-3</v>
      </c>
      <c r="CE204" s="11">
        <v>-2.0802197908578332E-2</v>
      </c>
      <c r="CF204" s="1">
        <v>7.9193482610233137E-2</v>
      </c>
      <c r="CG204" s="3">
        <f t="shared" si="346"/>
        <v>3.0334706944820419E-2</v>
      </c>
      <c r="CH204" s="11">
        <f t="shared" si="355"/>
        <v>0.79530298148649936</v>
      </c>
      <c r="CI204" s="3">
        <v>5.9680866676963098E-3</v>
      </c>
      <c r="CJ204" s="11">
        <v>0</v>
      </c>
      <c r="CK204" s="11"/>
      <c r="CN204" s="7">
        <v>8.75</v>
      </c>
      <c r="CO204" s="7">
        <v>6.75</v>
      </c>
      <c r="CP204" s="11">
        <v>-1.0879750574572191E-4</v>
      </c>
      <c r="CQ204" s="11">
        <v>2.6755686365590517E-3</v>
      </c>
      <c r="CR204" s="11">
        <v>-2.0604802075245E-2</v>
      </c>
      <c r="CS204" s="1">
        <v>7.8668404485233129E-2</v>
      </c>
      <c r="CT204" s="3">
        <f t="shared" si="347"/>
        <v>3.0338781018894506E-2</v>
      </c>
      <c r="CU204" s="11">
        <f t="shared" si="356"/>
        <v>0.79529478125077946</v>
      </c>
      <c r="CV204" s="3">
        <v>5.9691153253391156E-3</v>
      </c>
      <c r="CW204" s="11">
        <v>0</v>
      </c>
      <c r="CX204" s="11"/>
      <c r="DA204" s="7">
        <v>8.75</v>
      </c>
      <c r="DB204" s="7">
        <v>6.75</v>
      </c>
      <c r="DC204" s="11">
        <v>-1.0981602426424051E-4</v>
      </c>
      <c r="DD204" s="11">
        <v>2.7011936365590543E-3</v>
      </c>
      <c r="DE204" s="11">
        <v>-2.081068749191169E-2</v>
      </c>
      <c r="DF204" s="1">
        <v>7.9193834172733207E-2</v>
      </c>
      <c r="DG204" s="3">
        <f t="shared" si="348"/>
        <v>3.034229953741302E-2</v>
      </c>
      <c r="DH204" s="11">
        <f t="shared" si="357"/>
        <v>0.79531086962474762</v>
      </c>
      <c r="DI204" s="3">
        <v>5.9694969810917204E-3</v>
      </c>
      <c r="DJ204" s="11">
        <v>0</v>
      </c>
      <c r="DK204" s="11"/>
    </row>
    <row r="205" spans="1:115" x14ac:dyDescent="0.25">
      <c r="A205" s="7">
        <v>9</v>
      </c>
      <c r="B205" s="7">
        <v>6.75</v>
      </c>
      <c r="C205" s="11">
        <v>-1.0944565389387003E-4</v>
      </c>
      <c r="D205" s="11">
        <v>2.6920269698923849E-3</v>
      </c>
      <c r="E205" s="11">
        <v>-2.0739229158578329E-2</v>
      </c>
      <c r="F205" s="1">
        <v>7.9015240422733113E-2</v>
      </c>
      <c r="G205" s="3">
        <f t="shared" si="340"/>
        <v>3.0630480868180043E-2</v>
      </c>
      <c r="H205" s="11">
        <f t="shared" si="349"/>
        <v>0.78932860073199218</v>
      </c>
      <c r="I205" s="3">
        <v>5.986122575564864E-3</v>
      </c>
      <c r="J205" s="11">
        <v>0.78932860073199218</v>
      </c>
      <c r="N205" s="7">
        <v>9</v>
      </c>
      <c r="O205" s="7">
        <v>6.75</v>
      </c>
      <c r="P205" s="11">
        <v>-1.0944565389387003E-4</v>
      </c>
      <c r="Q205" s="11">
        <v>2.6920269698923849E-3</v>
      </c>
      <c r="R205" s="11">
        <v>-2.0739229158578329E-2</v>
      </c>
      <c r="S205" s="1">
        <v>7.9015240422733113E-2</v>
      </c>
      <c r="T205" s="3">
        <f t="shared" si="341"/>
        <v>3.0630480868180043E-2</v>
      </c>
      <c r="U205" s="11">
        <f t="shared" si="350"/>
        <v>0.78932467804757545</v>
      </c>
      <c r="V205" s="3">
        <v>5.9860928266494921E-3</v>
      </c>
      <c r="W205" s="11">
        <v>0.78932467804757545</v>
      </c>
      <c r="AA205" s="7">
        <v>9</v>
      </c>
      <c r="AB205" s="7">
        <v>6.75</v>
      </c>
      <c r="AC205" s="11">
        <v>-1.0944565389387003E-4</v>
      </c>
      <c r="AD205" s="11">
        <v>2.6920269698923849E-3</v>
      </c>
      <c r="AE205" s="11">
        <v>-2.0739229158578329E-2</v>
      </c>
      <c r="AF205" s="1">
        <v>7.9015240422733113E-2</v>
      </c>
      <c r="AG205" s="3">
        <f t="shared" si="342"/>
        <v>3.0630480868180043E-2</v>
      </c>
      <c r="AH205" s="11">
        <f t="shared" si="351"/>
        <v>0.78932173100773284</v>
      </c>
      <c r="AI205" s="3">
        <v>5.9860704768426864E-3</v>
      </c>
      <c r="AJ205" s="11">
        <v>0.78932173100773284</v>
      </c>
      <c r="AK205" s="11"/>
      <c r="AN205" s="7">
        <v>9</v>
      </c>
      <c r="AO205" s="7">
        <v>6.75</v>
      </c>
      <c r="AP205" s="11">
        <v>-1.0944565389387003E-4</v>
      </c>
      <c r="AQ205" s="11">
        <v>2.6920269698923849E-3</v>
      </c>
      <c r="AR205" s="11">
        <v>-2.0739229158578329E-2</v>
      </c>
      <c r="AS205" s="1">
        <v>7.9015240422733113E-2</v>
      </c>
      <c r="AT205" s="3">
        <f t="shared" si="343"/>
        <v>3.0630480868180043E-2</v>
      </c>
      <c r="AU205" s="11">
        <f t="shared" si="352"/>
        <v>0.78932075352372866</v>
      </c>
      <c r="AV205" s="3">
        <v>5.9860630637842216E-3</v>
      </c>
      <c r="AW205" s="11">
        <v>0.78932075352372866</v>
      </c>
      <c r="AX205" s="11"/>
      <c r="BA205" s="7">
        <v>9</v>
      </c>
      <c r="BB205" s="7">
        <v>6.75</v>
      </c>
      <c r="BC205" s="11">
        <v>-1.0944565389387003E-4</v>
      </c>
      <c r="BD205" s="11">
        <v>2.6920269698923849E-3</v>
      </c>
      <c r="BE205" s="11">
        <v>-2.0739229158578329E-2</v>
      </c>
      <c r="BF205" s="1">
        <v>7.9015240422733113E-2</v>
      </c>
      <c r="BG205" s="3">
        <f t="shared" si="344"/>
        <v>3.0630480868180043E-2</v>
      </c>
      <c r="BH205" s="11">
        <f t="shared" si="353"/>
        <v>0.78932075714767425</v>
      </c>
      <c r="BI205" s="3">
        <v>5.9860630912675567E-3</v>
      </c>
      <c r="BJ205" s="11">
        <v>0.78932075714767425</v>
      </c>
      <c r="BK205" s="11"/>
      <c r="BN205" s="7">
        <v>9</v>
      </c>
      <c r="BO205" s="7">
        <v>6.75</v>
      </c>
      <c r="BP205" s="11">
        <v>-1.0944565389387003E-4</v>
      </c>
      <c r="BQ205" s="11">
        <v>2.6920269698923849E-3</v>
      </c>
      <c r="BR205" s="11">
        <v>-2.0739229158578329E-2</v>
      </c>
      <c r="BS205" s="1">
        <v>7.9015240422733113E-2</v>
      </c>
      <c r="BT205" s="3">
        <f t="shared" si="345"/>
        <v>3.0630480868180043E-2</v>
      </c>
      <c r="BU205" s="11">
        <f t="shared" si="354"/>
        <v>0.78932173875626865</v>
      </c>
      <c r="BV205" s="3">
        <v>5.9860705356061528E-3</v>
      </c>
      <c r="BW205" s="11">
        <v>0.78932173875626865</v>
      </c>
      <c r="BX205" s="11"/>
      <c r="CA205" s="7">
        <v>9</v>
      </c>
      <c r="CB205" s="7">
        <v>6.75</v>
      </c>
      <c r="CC205" s="11">
        <v>-1.097234316716478E-4</v>
      </c>
      <c r="CD205" s="11">
        <v>2.6993186365590512E-3</v>
      </c>
      <c r="CE205" s="11">
        <v>-2.0802197908578332E-2</v>
      </c>
      <c r="CF205" s="1">
        <v>7.9193482610233137E-2</v>
      </c>
      <c r="CG205" s="3">
        <f t="shared" si="346"/>
        <v>3.0630129305680057E-2</v>
      </c>
      <c r="CH205" s="11">
        <f t="shared" si="355"/>
        <v>0.7893170560907341</v>
      </c>
      <c r="CI205" s="3">
        <v>5.9859253957651997E-3</v>
      </c>
      <c r="CJ205" s="11">
        <v>0.7893170560907341</v>
      </c>
      <c r="CK205" s="11"/>
      <c r="CN205" s="7">
        <v>9</v>
      </c>
      <c r="CO205" s="7">
        <v>6.75</v>
      </c>
      <c r="CP205" s="11">
        <v>-1.0879750574572191E-4</v>
      </c>
      <c r="CQ205" s="11">
        <v>2.6755686365590517E-3</v>
      </c>
      <c r="CR205" s="11">
        <v>-2.0604802075245E-2</v>
      </c>
      <c r="CS205" s="1">
        <v>7.8668404485233129E-2</v>
      </c>
      <c r="CT205" s="3">
        <f t="shared" si="347"/>
        <v>3.0632863680680023E-2</v>
      </c>
      <c r="CU205" s="11">
        <f t="shared" si="356"/>
        <v>0.78930811970077019</v>
      </c>
      <c r="CV205" s="3">
        <v>5.9866615500092603E-3</v>
      </c>
      <c r="CW205" s="11">
        <v>0.78930811970077019</v>
      </c>
      <c r="CX205" s="11"/>
      <c r="DA205" s="7">
        <v>9</v>
      </c>
      <c r="DB205" s="7">
        <v>6.75</v>
      </c>
      <c r="DC205" s="11">
        <v>-1.0981602426424051E-4</v>
      </c>
      <c r="DD205" s="11">
        <v>2.7011936365590543E-3</v>
      </c>
      <c r="DE205" s="11">
        <v>-2.081068749191169E-2</v>
      </c>
      <c r="DF205" s="1">
        <v>7.9193834172733207E-2</v>
      </c>
      <c r="DG205" s="3">
        <f t="shared" si="348"/>
        <v>3.0638449618180047E-2</v>
      </c>
      <c r="DH205" s="11">
        <f t="shared" si="357"/>
        <v>0.78932339788214056</v>
      </c>
      <c r="DI205" s="3">
        <v>5.9874717426071367E-3</v>
      </c>
      <c r="DJ205" s="11">
        <v>0.78932339788214056</v>
      </c>
      <c r="DK205" s="11"/>
    </row>
    <row r="206" spans="1:115" x14ac:dyDescent="0.25">
      <c r="A206" s="7">
        <v>9.25</v>
      </c>
      <c r="B206" s="7">
        <v>6.75</v>
      </c>
      <c r="C206" s="11">
        <v>-1.0944565389387003E-4</v>
      </c>
      <c r="D206" s="11">
        <v>2.6920269698923849E-3</v>
      </c>
      <c r="E206" s="11">
        <v>-2.0739229158578329E-2</v>
      </c>
      <c r="F206" s="1">
        <v>7.9015240422733113E-2</v>
      </c>
      <c r="G206" s="3">
        <f t="shared" si="340"/>
        <v>3.0892823525328905E-2</v>
      </c>
      <c r="H206" s="11">
        <f t="shared" si="349"/>
        <v>0.78333015589360022</v>
      </c>
      <c r="I206" s="3">
        <v>5.9984448383918528E-3</v>
      </c>
      <c r="J206" s="11">
        <v>0</v>
      </c>
      <c r="N206" s="7">
        <v>9.25</v>
      </c>
      <c r="O206" s="7">
        <v>6.75</v>
      </c>
      <c r="P206" s="11">
        <v>-1.0944565389387003E-4</v>
      </c>
      <c r="Q206" s="11">
        <v>2.6920269698923849E-3</v>
      </c>
      <c r="R206" s="11">
        <v>-2.0739229158578329E-2</v>
      </c>
      <c r="S206" s="1">
        <v>7.9015240422733113E-2</v>
      </c>
      <c r="T206" s="3">
        <f t="shared" si="341"/>
        <v>3.0892823525328905E-2</v>
      </c>
      <c r="U206" s="11">
        <f t="shared" si="350"/>
        <v>0.78332626301933617</v>
      </c>
      <c r="V206" s="3">
        <v>5.9984150282391862E-3</v>
      </c>
      <c r="W206" s="11">
        <v>0</v>
      </c>
      <c r="AA206" s="7">
        <v>9.25</v>
      </c>
      <c r="AB206" s="7">
        <v>6.75</v>
      </c>
      <c r="AC206" s="11">
        <v>-1.0944565389387003E-4</v>
      </c>
      <c r="AD206" s="11">
        <v>2.6920269698923849E-3</v>
      </c>
      <c r="AE206" s="11">
        <v>-2.0739229158578329E-2</v>
      </c>
      <c r="AF206" s="1">
        <v>7.9015240422733113E-2</v>
      </c>
      <c r="AG206" s="3">
        <f t="shared" si="342"/>
        <v>3.0892823525328905E-2</v>
      </c>
      <c r="AH206" s="11">
        <f t="shared" si="351"/>
        <v>0.78332333837530688</v>
      </c>
      <c r="AI206" s="3">
        <v>5.9983926324259397E-3</v>
      </c>
      <c r="AJ206" s="11">
        <v>0</v>
      </c>
      <c r="AK206" s="11"/>
      <c r="AN206" s="7">
        <v>9.25</v>
      </c>
      <c r="AO206" s="7">
        <v>6.75</v>
      </c>
      <c r="AP206" s="11">
        <v>-1.0944565389387003E-4</v>
      </c>
      <c r="AQ206" s="11">
        <v>2.6920269698923849E-3</v>
      </c>
      <c r="AR206" s="11">
        <v>-2.0739229158578329E-2</v>
      </c>
      <c r="AS206" s="1">
        <v>7.9015240422733113E-2</v>
      </c>
      <c r="AT206" s="3">
        <f t="shared" si="343"/>
        <v>3.0892823525328905E-2</v>
      </c>
      <c r="AU206" s="11">
        <f t="shared" si="352"/>
        <v>0.78332236831962065</v>
      </c>
      <c r="AV206" s="3">
        <v>5.9983852041079052E-3</v>
      </c>
      <c r="AW206" s="11">
        <v>0</v>
      </c>
      <c r="AX206" s="11"/>
      <c r="BA206" s="7">
        <v>9.25</v>
      </c>
      <c r="BB206" s="7">
        <v>6.75</v>
      </c>
      <c r="BC206" s="11">
        <v>-1.0944565389387003E-4</v>
      </c>
      <c r="BD206" s="11">
        <v>2.6920269698923849E-3</v>
      </c>
      <c r="BE206" s="11">
        <v>-2.0739229158578329E-2</v>
      </c>
      <c r="BF206" s="1">
        <v>7.9015240422733113E-2</v>
      </c>
      <c r="BG206" s="3">
        <f t="shared" si="344"/>
        <v>3.0892823525328905E-2</v>
      </c>
      <c r="BH206" s="11">
        <f t="shared" si="353"/>
        <v>0.78332237191602638</v>
      </c>
      <c r="BI206" s="3">
        <v>5.9983852316478148E-3</v>
      </c>
      <c r="BJ206" s="11">
        <v>0</v>
      </c>
      <c r="BK206" s="11"/>
      <c r="BN206" s="7">
        <v>9.25</v>
      </c>
      <c r="BO206" s="7">
        <v>6.75</v>
      </c>
      <c r="BP206" s="11">
        <v>-1.0944565389387003E-4</v>
      </c>
      <c r="BQ206" s="11">
        <v>2.6920269698923849E-3</v>
      </c>
      <c r="BR206" s="11">
        <v>-2.0739229158578329E-2</v>
      </c>
      <c r="BS206" s="1">
        <v>7.9015240422733113E-2</v>
      </c>
      <c r="BT206" s="3">
        <f t="shared" si="345"/>
        <v>3.0892823525328905E-2</v>
      </c>
      <c r="BU206" s="11">
        <f t="shared" si="354"/>
        <v>0.78332334606495824</v>
      </c>
      <c r="BV206" s="3">
        <v>5.99839269131037E-3</v>
      </c>
      <c r="BW206" s="11">
        <v>0</v>
      </c>
      <c r="BX206" s="11"/>
      <c r="CA206" s="7">
        <v>9.25</v>
      </c>
      <c r="CB206" s="7">
        <v>6.75</v>
      </c>
      <c r="CC206" s="11">
        <v>-1.097234316716478E-4</v>
      </c>
      <c r="CD206" s="11">
        <v>2.6993186365590512E-3</v>
      </c>
      <c r="CE206" s="11">
        <v>-2.0802197908578332E-2</v>
      </c>
      <c r="CF206" s="1">
        <v>7.9193482610233137E-2</v>
      </c>
      <c r="CG206" s="3">
        <f t="shared" si="346"/>
        <v>3.0892649914217737E-2</v>
      </c>
      <c r="CH206" s="11">
        <f t="shared" si="355"/>
        <v>0.78331876730818017</v>
      </c>
      <c r="CI206" s="3">
        <v>5.9982887825538664E-3</v>
      </c>
      <c r="CJ206" s="11">
        <v>0</v>
      </c>
      <c r="CK206" s="11"/>
      <c r="CN206" s="7">
        <v>9.25</v>
      </c>
      <c r="CO206" s="7">
        <v>6.75</v>
      </c>
      <c r="CP206" s="11">
        <v>-1.0879750574572191E-4</v>
      </c>
      <c r="CQ206" s="11">
        <v>2.6755686365590517E-3</v>
      </c>
      <c r="CR206" s="11">
        <v>-2.0604802075245E-2</v>
      </c>
      <c r="CS206" s="1">
        <v>7.8668404485233129E-2</v>
      </c>
      <c r="CT206" s="3">
        <f t="shared" si="347"/>
        <v>3.089420084014366E-2</v>
      </c>
      <c r="CU206" s="11">
        <f t="shared" si="356"/>
        <v>0.78330936743267898</v>
      </c>
      <c r="CV206" s="3">
        <v>5.9987522680912389E-3</v>
      </c>
      <c r="CW206" s="11">
        <v>0</v>
      </c>
      <c r="CX206" s="11"/>
      <c r="DA206" s="7">
        <v>9.25</v>
      </c>
      <c r="DB206" s="7">
        <v>6.75</v>
      </c>
      <c r="DC206" s="11">
        <v>-1.0981602426424051E-4</v>
      </c>
      <c r="DD206" s="11">
        <v>2.7011936365590543E-3</v>
      </c>
      <c r="DE206" s="11">
        <v>-2.081068749191169E-2</v>
      </c>
      <c r="DF206" s="1">
        <v>7.9193834172733207E-2</v>
      </c>
      <c r="DG206" s="3">
        <f t="shared" si="348"/>
        <v>3.0901619821625176E-2</v>
      </c>
      <c r="DH206" s="11">
        <f t="shared" si="357"/>
        <v>0.78332344391436326</v>
      </c>
      <c r="DI206" s="3">
        <v>5.9999539677773753E-3</v>
      </c>
      <c r="DJ206" s="11">
        <v>0</v>
      </c>
      <c r="DK206" s="11"/>
    </row>
    <row r="207" spans="1:115" x14ac:dyDescent="0.25">
      <c r="A207" s="7">
        <v>9.5</v>
      </c>
      <c r="B207" s="7">
        <v>6.75</v>
      </c>
      <c r="C207" s="11">
        <v>-1.0944565389387003E-4</v>
      </c>
      <c r="D207" s="11">
        <v>2.6920269698923849E-3</v>
      </c>
      <c r="E207" s="11">
        <v>-2.0739229158578329E-2</v>
      </c>
      <c r="F207" s="1">
        <v>7.9015240422733113E-2</v>
      </c>
      <c r="G207" s="3">
        <f t="shared" si="340"/>
        <v>3.1112029941769925E-2</v>
      </c>
      <c r="H207" s="11">
        <f t="shared" si="349"/>
        <v>0.77732670173901297</v>
      </c>
      <c r="I207" s="3">
        <v>6.0034541545873265E-3</v>
      </c>
      <c r="J207" s="11">
        <v>0</v>
      </c>
      <c r="N207" s="7">
        <v>9.5</v>
      </c>
      <c r="O207" s="7">
        <v>6.75</v>
      </c>
      <c r="P207" s="11">
        <v>-1.0944565389387003E-4</v>
      </c>
      <c r="Q207" s="11">
        <v>2.6920269698923849E-3</v>
      </c>
      <c r="R207" s="11">
        <v>-2.0739229158578329E-2</v>
      </c>
      <c r="S207" s="1">
        <v>7.9015240422733113E-2</v>
      </c>
      <c r="T207" s="3">
        <f t="shared" si="341"/>
        <v>3.1112029941769925E-2</v>
      </c>
      <c r="U207" s="11">
        <f t="shared" si="350"/>
        <v>0.77732283869979613</v>
      </c>
      <c r="V207" s="3">
        <v>6.0034243195401273E-3</v>
      </c>
      <c r="W207" s="11">
        <v>0</v>
      </c>
      <c r="AA207" s="7">
        <v>9.5</v>
      </c>
      <c r="AB207" s="7">
        <v>6.75</v>
      </c>
      <c r="AC207" s="11">
        <v>-1.0944565389387003E-4</v>
      </c>
      <c r="AD207" s="11">
        <v>2.6920269698923849E-3</v>
      </c>
      <c r="AE207" s="11">
        <v>-2.0739229158578329E-2</v>
      </c>
      <c r="AF207" s="1">
        <v>7.9015240422733113E-2</v>
      </c>
      <c r="AG207" s="3">
        <f t="shared" si="342"/>
        <v>3.1112029941769925E-2</v>
      </c>
      <c r="AH207" s="11">
        <f t="shared" si="351"/>
        <v>0.77731993647028286</v>
      </c>
      <c r="AI207" s="3">
        <v>6.0034019050240811E-3</v>
      </c>
      <c r="AJ207" s="11">
        <v>0</v>
      </c>
      <c r="AK207" s="11"/>
      <c r="AN207" s="7">
        <v>9.5</v>
      </c>
      <c r="AO207" s="7">
        <v>6.75</v>
      </c>
      <c r="AP207" s="11">
        <v>-1.0944565389387003E-4</v>
      </c>
      <c r="AQ207" s="11">
        <v>2.6920269698923849E-3</v>
      </c>
      <c r="AR207" s="11">
        <v>-2.0739229158578329E-2</v>
      </c>
      <c r="AS207" s="1">
        <v>7.9015240422733113E-2</v>
      </c>
      <c r="AT207" s="3">
        <f t="shared" si="343"/>
        <v>3.1112029941769925E-2</v>
      </c>
      <c r="AU207" s="11">
        <f t="shared" si="352"/>
        <v>0.77731897384911808</v>
      </c>
      <c r="AV207" s="3">
        <v>6.0033944705026399E-3</v>
      </c>
      <c r="AW207" s="11">
        <v>0</v>
      </c>
      <c r="AX207" s="11"/>
      <c r="BA207" s="7">
        <v>9.5</v>
      </c>
      <c r="BB207" s="7">
        <v>6.75</v>
      </c>
      <c r="BC207" s="11">
        <v>-1.0944565389387003E-4</v>
      </c>
      <c r="BD207" s="11">
        <v>2.6920269698923849E-3</v>
      </c>
      <c r="BE207" s="11">
        <v>-2.0739229158578329E-2</v>
      </c>
      <c r="BF207" s="1">
        <v>7.9015240422733113E-2</v>
      </c>
      <c r="BG207" s="3">
        <f t="shared" si="344"/>
        <v>3.1112029941769925E-2</v>
      </c>
      <c r="BH207" s="11">
        <f t="shared" si="353"/>
        <v>0.77731897741796097</v>
      </c>
      <c r="BI207" s="3">
        <v>6.0033944980655484E-3</v>
      </c>
      <c r="BJ207" s="11">
        <v>0</v>
      </c>
      <c r="BK207" s="11"/>
      <c r="BN207" s="7">
        <v>9.5</v>
      </c>
      <c r="BO207" s="7">
        <v>6.75</v>
      </c>
      <c r="BP207" s="11">
        <v>-1.0944565389387003E-4</v>
      </c>
      <c r="BQ207" s="11">
        <v>2.6920269698923849E-3</v>
      </c>
      <c r="BR207" s="11">
        <v>-2.0739229158578329E-2</v>
      </c>
      <c r="BS207" s="1">
        <v>7.9015240422733113E-2</v>
      </c>
      <c r="BT207" s="3">
        <f t="shared" si="345"/>
        <v>3.1112029941769925E-2</v>
      </c>
      <c r="BU207" s="11">
        <f t="shared" si="354"/>
        <v>0.77731994410100058</v>
      </c>
      <c r="BV207" s="3">
        <v>6.0034019639576847E-3</v>
      </c>
      <c r="BW207" s="11">
        <v>0</v>
      </c>
      <c r="BX207" s="11"/>
      <c r="CA207" s="7">
        <v>9.5</v>
      </c>
      <c r="CB207" s="7">
        <v>6.75</v>
      </c>
      <c r="CC207" s="11">
        <v>-1.097234316716478E-4</v>
      </c>
      <c r="CD207" s="11">
        <v>2.6993186365590512E-3</v>
      </c>
      <c r="CE207" s="11">
        <v>-2.0802197908578332E-2</v>
      </c>
      <c r="CF207" s="1">
        <v>7.9193482610233137E-2</v>
      </c>
      <c r="CG207" s="3">
        <f t="shared" si="346"/>
        <v>3.1111982198714319E-2</v>
      </c>
      <c r="CH207" s="11">
        <f t="shared" si="355"/>
        <v>0.77731543391496671</v>
      </c>
      <c r="CI207" s="3">
        <v>6.0033333932133295E-3</v>
      </c>
      <c r="CJ207" s="11">
        <v>0</v>
      </c>
      <c r="CK207" s="11"/>
      <c r="CN207" s="7">
        <v>9.5</v>
      </c>
      <c r="CO207" s="7">
        <v>6.75</v>
      </c>
      <c r="CP207" s="11">
        <v>-1.0879750574572191E-4</v>
      </c>
      <c r="CQ207" s="11">
        <v>2.6755686365590517E-3</v>
      </c>
      <c r="CR207" s="11">
        <v>-2.0604802075245E-2</v>
      </c>
      <c r="CS207" s="1">
        <v>7.8668404485233129E-2</v>
      </c>
      <c r="CT207" s="3">
        <f t="shared" si="347"/>
        <v>3.1112592731121769E-2</v>
      </c>
      <c r="CU207" s="11">
        <f t="shared" si="356"/>
        <v>0.7773058070037332</v>
      </c>
      <c r="CV207" s="3">
        <v>6.0035604289458196E-3</v>
      </c>
      <c r="CW207" s="11">
        <v>0</v>
      </c>
      <c r="CX207" s="11"/>
      <c r="DA207" s="7">
        <v>9.5</v>
      </c>
      <c r="DB207" s="7">
        <v>6.75</v>
      </c>
      <c r="DC207" s="11">
        <v>-1.0981602426424051E-4</v>
      </c>
      <c r="DD207" s="11">
        <v>2.7011936365590543E-3</v>
      </c>
      <c r="DE207" s="11">
        <v>-2.081068749191169E-2</v>
      </c>
      <c r="DF207" s="1">
        <v>7.9193834172733207E-2</v>
      </c>
      <c r="DG207" s="3">
        <f t="shared" si="348"/>
        <v>3.1121514895473601E-2</v>
      </c>
      <c r="DH207" s="11">
        <f t="shared" si="357"/>
        <v>0.77731834492058549</v>
      </c>
      <c r="DI207" s="3">
        <v>6.0050989937777098E-3</v>
      </c>
      <c r="DJ207" s="11">
        <v>0</v>
      </c>
      <c r="DK207" s="11"/>
    </row>
    <row r="208" spans="1:115" x14ac:dyDescent="0.25">
      <c r="A208" s="7">
        <v>9.75</v>
      </c>
      <c r="B208" s="7">
        <v>9.75</v>
      </c>
      <c r="C208" s="11">
        <v>6.6637221563997904E-8</v>
      </c>
      <c r="D208" s="11">
        <v>-1.3977157223048562E-5</v>
      </c>
      <c r="E208" s="11">
        <v>7.9631479768977503E-4</v>
      </c>
      <c r="F208" s="1">
        <v>2.4780710484960729E-2</v>
      </c>
      <c r="G208" s="3">
        <f t="shared" si="340"/>
        <v>3.1277839587450527E-2</v>
      </c>
      <c r="H208" s="11">
        <f t="shared" si="349"/>
        <v>0.77132731213152772</v>
      </c>
      <c r="I208" s="3">
        <v>5.9993896074852521E-3</v>
      </c>
      <c r="J208" s="11">
        <v>0</v>
      </c>
      <c r="N208" s="7">
        <v>9.75</v>
      </c>
      <c r="O208" s="7">
        <v>9.75</v>
      </c>
      <c r="P208" s="11">
        <v>6.6637221563997904E-8</v>
      </c>
      <c r="Q208" s="11">
        <v>-1.3977157223048562E-5</v>
      </c>
      <c r="R208" s="11">
        <v>7.9631479768977503E-4</v>
      </c>
      <c r="S208" s="1">
        <v>2.4780710484960729E-2</v>
      </c>
      <c r="T208" s="3">
        <f t="shared" si="341"/>
        <v>3.1277839587450527E-2</v>
      </c>
      <c r="U208" s="11">
        <f t="shared" si="350"/>
        <v>0.77132347890715869</v>
      </c>
      <c r="V208" s="3">
        <v>5.9993597926374159E-3</v>
      </c>
      <c r="W208" s="11">
        <v>0</v>
      </c>
      <c r="AA208" s="7">
        <v>9.75</v>
      </c>
      <c r="AB208" s="7">
        <v>9.75</v>
      </c>
      <c r="AC208" s="11">
        <v>6.6637221563997904E-8</v>
      </c>
      <c r="AD208" s="11">
        <v>-1.3977157223048562E-5</v>
      </c>
      <c r="AE208" s="11">
        <v>7.9631479768977503E-4</v>
      </c>
      <c r="AF208" s="1">
        <v>2.4780710484960729E-2</v>
      </c>
      <c r="AG208" s="3">
        <f t="shared" si="342"/>
        <v>3.1277839587450527E-2</v>
      </c>
      <c r="AH208" s="11">
        <f t="shared" si="351"/>
        <v>0.77132059907698602</v>
      </c>
      <c r="AI208" s="3">
        <v>5.9993373932967766E-3</v>
      </c>
      <c r="AJ208" s="11">
        <v>0</v>
      </c>
      <c r="AK208" s="11"/>
      <c r="AN208" s="7">
        <v>9.75</v>
      </c>
      <c r="AO208" s="7">
        <v>9.75</v>
      </c>
      <c r="AP208" s="11">
        <v>6.6637221563997904E-8</v>
      </c>
      <c r="AQ208" s="11">
        <v>-1.3977157223048562E-5</v>
      </c>
      <c r="AR208" s="11">
        <v>7.9631479768977503E-4</v>
      </c>
      <c r="AS208" s="1">
        <v>2.4780710484960729E-2</v>
      </c>
      <c r="AT208" s="3">
        <f t="shared" si="343"/>
        <v>3.1277839587450527E-2</v>
      </c>
      <c r="AU208" s="11">
        <f t="shared" si="352"/>
        <v>0.77131964388530927</v>
      </c>
      <c r="AV208" s="3">
        <v>5.9993299638087649E-3</v>
      </c>
      <c r="AW208" s="11">
        <v>0</v>
      </c>
      <c r="AX208" s="11"/>
      <c r="BA208" s="7">
        <v>9.75</v>
      </c>
      <c r="BB208" s="7">
        <v>9.75</v>
      </c>
      <c r="BC208" s="11">
        <v>6.6637221563997904E-8</v>
      </c>
      <c r="BD208" s="11">
        <v>-1.3977157223048562E-5</v>
      </c>
      <c r="BE208" s="11">
        <v>7.9631479768977503E-4</v>
      </c>
      <c r="BF208" s="1">
        <v>2.4780710484960729E-2</v>
      </c>
      <c r="BG208" s="3">
        <f t="shared" si="344"/>
        <v>3.1277839587450527E-2</v>
      </c>
      <c r="BH208" s="11">
        <f t="shared" si="353"/>
        <v>0.77131964742660786</v>
      </c>
      <c r="BI208" s="3">
        <v>5.9993299913530113E-3</v>
      </c>
      <c r="BJ208" s="11">
        <v>0</v>
      </c>
      <c r="BK208" s="11"/>
      <c r="BN208" s="7">
        <v>9.75</v>
      </c>
      <c r="BO208" s="7">
        <v>9.75</v>
      </c>
      <c r="BP208" s="11">
        <v>6.6637221563997904E-8</v>
      </c>
      <c r="BQ208" s="11">
        <v>-1.3977157223048562E-5</v>
      </c>
      <c r="BR208" s="11">
        <v>7.9631479768977503E-4</v>
      </c>
      <c r="BS208" s="1">
        <v>2.4780710484960729E-2</v>
      </c>
      <c r="BT208" s="3">
        <f t="shared" si="345"/>
        <v>3.1277839587450527E-2</v>
      </c>
      <c r="BU208" s="11">
        <f t="shared" si="354"/>
        <v>0.77132060664881008</v>
      </c>
      <c r="BV208" s="3">
        <v>5.9993374521904808E-3</v>
      </c>
      <c r="BW208" s="11">
        <v>0</v>
      </c>
      <c r="BX208" s="11"/>
      <c r="CA208" s="7">
        <v>9.75</v>
      </c>
      <c r="CB208" s="7">
        <v>9.75</v>
      </c>
      <c r="CC208" s="11">
        <v>6.6637221563997904E-8</v>
      </c>
      <c r="CD208" s="11">
        <v>-1.3977157223048562E-5</v>
      </c>
      <c r="CE208" s="11">
        <v>7.9631479768977503E-4</v>
      </c>
      <c r="CF208" s="1">
        <v>2.4780710484960729E-2</v>
      </c>
      <c r="CG208" s="3">
        <f t="shared" si="346"/>
        <v>3.1277839587450527E-2</v>
      </c>
      <c r="CH208" s="11">
        <f t="shared" si="355"/>
        <v>0.77131614040748198</v>
      </c>
      <c r="CI208" s="3">
        <v>5.9992935074846534E-3</v>
      </c>
      <c r="CJ208" s="11">
        <v>0</v>
      </c>
      <c r="CK208" s="11"/>
      <c r="CN208" s="7">
        <v>9.75</v>
      </c>
      <c r="CO208" s="7">
        <v>9.75</v>
      </c>
      <c r="CP208" s="11">
        <v>6.6432598620138769E-8</v>
      </c>
      <c r="CQ208" s="11">
        <v>-1.3934237560574106E-5</v>
      </c>
      <c r="CR208" s="11">
        <v>7.9386955351065831E-4</v>
      </c>
      <c r="CS208" s="1">
        <v>2.4800661221986989E-2</v>
      </c>
      <c r="CT208" s="3">
        <f t="shared" si="347"/>
        <v>3.1277839587450521E-2</v>
      </c>
      <c r="CU208" s="11">
        <f t="shared" si="356"/>
        <v>0.77130647097812799</v>
      </c>
      <c r="CV208" s="3">
        <v>5.9993360256053218E-3</v>
      </c>
      <c r="CW208" s="11">
        <v>0</v>
      </c>
      <c r="CX208" s="11"/>
      <c r="DA208" s="7">
        <v>9.75</v>
      </c>
      <c r="DB208" s="7">
        <v>9.75</v>
      </c>
      <c r="DC208" s="11">
        <v>6.6841844507857106E-8</v>
      </c>
      <c r="DD208" s="11">
        <v>-1.4020076885523028E-5</v>
      </c>
      <c r="DE208" s="11">
        <v>7.987600418688925E-4</v>
      </c>
      <c r="DF208" s="1">
        <v>2.4770759747934454E-2</v>
      </c>
      <c r="DG208" s="3">
        <f t="shared" si="348"/>
        <v>3.1287839587450524E-2</v>
      </c>
      <c r="DH208" s="11">
        <f t="shared" si="357"/>
        <v>0.77131720494984013</v>
      </c>
      <c r="DI208" s="3">
        <v>6.0011399707453781E-3</v>
      </c>
      <c r="DJ208" s="11">
        <v>0</v>
      </c>
      <c r="DK208" s="11"/>
    </row>
    <row r="209" spans="1:115" x14ac:dyDescent="0.25">
      <c r="A209" s="7">
        <v>10</v>
      </c>
      <c r="B209" s="7">
        <v>9.75</v>
      </c>
      <c r="C209" s="11">
        <v>6.6637221563997904E-8</v>
      </c>
      <c r="D209" s="11">
        <v>-1.3977157223048562E-5</v>
      </c>
      <c r="E209" s="11">
        <v>7.9631479768977503E-4</v>
      </c>
      <c r="F209" s="1">
        <v>2.4780710484960729E-2</v>
      </c>
      <c r="H209" s="11">
        <f t="shared" si="349"/>
        <v>0.76534274522786372</v>
      </c>
      <c r="I209" s="3">
        <v>5.9845669036640344E-3</v>
      </c>
      <c r="J209" s="11">
        <v>0.76534274522786372</v>
      </c>
      <c r="N209" s="7">
        <v>10</v>
      </c>
      <c r="O209" s="7">
        <v>9.75</v>
      </c>
      <c r="P209" s="11">
        <v>6.6637221563997904E-8</v>
      </c>
      <c r="Q209" s="11">
        <v>-1.3977157223048562E-5</v>
      </c>
      <c r="R209" s="11">
        <v>7.9631479768977503E-4</v>
      </c>
      <c r="S209" s="1">
        <v>2.4780710484960729E-2</v>
      </c>
      <c r="U209" s="11">
        <f t="shared" si="350"/>
        <v>0.76533894174467887</v>
      </c>
      <c r="V209" s="3">
        <v>5.984537162479802E-3</v>
      </c>
      <c r="W209" s="11">
        <v>0.76533894174467887</v>
      </c>
      <c r="AA209" s="7">
        <v>10</v>
      </c>
      <c r="AB209" s="7">
        <v>9.75</v>
      </c>
      <c r="AC209" s="11">
        <v>6.6637221563997904E-8</v>
      </c>
      <c r="AD209" s="11">
        <v>-1.3977157223048562E-5</v>
      </c>
      <c r="AE209" s="11">
        <v>7.9631479768977503E-4</v>
      </c>
      <c r="AF209" s="1">
        <v>2.4780710484960729E-2</v>
      </c>
      <c r="AH209" s="11">
        <f t="shared" si="351"/>
        <v>0.76533608425850475</v>
      </c>
      <c r="AI209" s="3">
        <v>5.9845148184812583E-3</v>
      </c>
      <c r="AJ209" s="11">
        <v>0.76533608425850475</v>
      </c>
      <c r="AK209" s="11"/>
      <c r="AN209" s="7">
        <v>10</v>
      </c>
      <c r="AO209" s="7">
        <v>9.75</v>
      </c>
      <c r="AP209" s="11">
        <v>6.6637221563997904E-8</v>
      </c>
      <c r="AQ209" s="11">
        <v>-1.3977157223048562E-5</v>
      </c>
      <c r="AR209" s="11">
        <v>7.9631479768977503E-4</v>
      </c>
      <c r="AS209" s="1">
        <v>2.4780710484960729E-2</v>
      </c>
      <c r="AU209" s="11">
        <f t="shared" si="352"/>
        <v>0.76533513647796003</v>
      </c>
      <c r="AV209" s="3">
        <v>5.9845074073492975E-3</v>
      </c>
      <c r="AW209" s="11">
        <v>0.76533513647796003</v>
      </c>
      <c r="AX209" s="11"/>
      <c r="BA209" s="7">
        <v>10</v>
      </c>
      <c r="BB209" s="7">
        <v>9.75</v>
      </c>
      <c r="BC209" s="11">
        <v>6.6637221563997904E-8</v>
      </c>
      <c r="BD209" s="11">
        <v>-1.3977157223048562E-5</v>
      </c>
      <c r="BE209" s="11">
        <v>7.9631479768977503E-4</v>
      </c>
      <c r="BF209" s="1">
        <v>2.4780710484960729E-2</v>
      </c>
      <c r="BH209" s="11">
        <f t="shared" si="353"/>
        <v>0.76533513999178238</v>
      </c>
      <c r="BI209" s="3">
        <v>5.9845074348254907E-3</v>
      </c>
      <c r="BJ209" s="11">
        <v>0.76533513999178238</v>
      </c>
      <c r="BK209" s="11"/>
      <c r="BN209" s="7">
        <v>10</v>
      </c>
      <c r="BO209" s="7">
        <v>9.75</v>
      </c>
      <c r="BP209" s="11">
        <v>6.6637221563997904E-8</v>
      </c>
      <c r="BQ209" s="11">
        <v>-1.3977157223048562E-5</v>
      </c>
      <c r="BR209" s="11">
        <v>7.9631479768977503E-4</v>
      </c>
      <c r="BS209" s="1">
        <v>2.4780710484960729E-2</v>
      </c>
      <c r="BU209" s="11">
        <f t="shared" si="354"/>
        <v>0.76533609177158068</v>
      </c>
      <c r="BV209" s="3">
        <v>5.9845148772294538E-3</v>
      </c>
      <c r="BW209" s="11">
        <v>0.76533609177158068</v>
      </c>
      <c r="BX209" s="11"/>
      <c r="CA209" s="7">
        <v>10</v>
      </c>
      <c r="CB209" s="7">
        <v>9.75</v>
      </c>
      <c r="CC209" s="11">
        <v>6.6637221563997904E-8</v>
      </c>
      <c r="CD209" s="11">
        <v>-1.3977157223048562E-5</v>
      </c>
      <c r="CE209" s="11">
        <v>7.9631479768977503E-4</v>
      </c>
      <c r="CF209" s="1">
        <v>2.4780710484960729E-2</v>
      </c>
      <c r="CH209" s="11">
        <f t="shared" si="355"/>
        <v>0.76533166018288268</v>
      </c>
      <c r="CI209" s="3">
        <v>5.9844802245993508E-3</v>
      </c>
      <c r="CJ209" s="11">
        <v>0.76533166018288268</v>
      </c>
      <c r="CK209" s="11"/>
      <c r="CN209" s="7">
        <v>10</v>
      </c>
      <c r="CO209" s="7">
        <v>9.75</v>
      </c>
      <c r="CP209" s="11">
        <v>6.6432598620138769E-8</v>
      </c>
      <c r="CQ209" s="11">
        <v>-1.3934237560574106E-5</v>
      </c>
      <c r="CR209" s="11">
        <v>7.9386955351065831E-4</v>
      </c>
      <c r="CS209" s="1">
        <v>2.4800661221986989E-2</v>
      </c>
      <c r="CU209" s="11">
        <f t="shared" si="356"/>
        <v>0.76532206577660378</v>
      </c>
      <c r="CV209" s="3">
        <v>5.9844052015242174E-3</v>
      </c>
      <c r="CW209" s="11">
        <v>0.76532206577660378</v>
      </c>
      <c r="CX209" s="11"/>
      <c r="DA209" s="7">
        <v>10</v>
      </c>
      <c r="DB209" s="7">
        <v>9.75</v>
      </c>
      <c r="DC209" s="11">
        <v>6.6841844507857106E-8</v>
      </c>
      <c r="DD209" s="11">
        <v>-1.4020076885523028E-5</v>
      </c>
      <c r="DE209" s="11">
        <v>7.987600418688925E-4</v>
      </c>
      <c r="DF209" s="1">
        <v>2.4770759747934454E-2</v>
      </c>
      <c r="DH209" s="11">
        <f t="shared" si="357"/>
        <v>0.76533081798373814</v>
      </c>
      <c r="DI209" s="3">
        <v>5.9863869661018736E-3</v>
      </c>
      <c r="DJ209" s="11">
        <v>0.76533081798373814</v>
      </c>
      <c r="DK209" s="11"/>
    </row>
    <row r="211" spans="1:115" x14ac:dyDescent="0.25">
      <c r="A211" s="23" t="s">
        <v>88</v>
      </c>
      <c r="B211" s="23"/>
      <c r="C211" s="24"/>
      <c r="D211" s="24"/>
      <c r="E211" s="24"/>
      <c r="F211" s="25"/>
      <c r="G211" s="5"/>
      <c r="H211" s="24"/>
      <c r="I211" s="26"/>
      <c r="J211" s="2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1:115" s="22" customFormat="1" x14ac:dyDescent="0.25">
      <c r="F212" s="22" t="s">
        <v>4</v>
      </c>
    </row>
    <row r="213" spans="1:115" x14ac:dyDescent="0.25">
      <c r="A213" s="29" t="s">
        <v>56</v>
      </c>
      <c r="B213" s="29"/>
      <c r="C213" s="29"/>
      <c r="D213" s="29"/>
      <c r="F213" s="3">
        <f>M155</f>
        <v>1.0000000000000001E-5</v>
      </c>
      <c r="G213" s="3">
        <f>Z155</f>
        <v>1.0000000000000001E-5</v>
      </c>
      <c r="H213" s="3">
        <f>AM155</f>
        <v>1.0000000000000001E-5</v>
      </c>
      <c r="I213" s="3">
        <f>AZ155</f>
        <v>1.0000000000000001E-5</v>
      </c>
      <c r="J213" s="3">
        <f>BM155</f>
        <v>1.0000000000000001E-5</v>
      </c>
      <c r="K213" s="3">
        <f>BZ155</f>
        <v>1.0000000000000001E-5</v>
      </c>
      <c r="L213" s="3">
        <f>CM155</f>
        <v>1.0000000000000001E-5</v>
      </c>
      <c r="M213" s="3">
        <f>CZ155</f>
        <v>1.0000000000000001E-5</v>
      </c>
      <c r="AG213" t="s">
        <v>59</v>
      </c>
    </row>
    <row r="214" spans="1:115" x14ac:dyDescent="0.25">
      <c r="A214" t="s">
        <v>9</v>
      </c>
      <c r="B214" t="s">
        <v>10</v>
      </c>
      <c r="C214" t="s">
        <v>57</v>
      </c>
      <c r="D214" t="s">
        <v>30</v>
      </c>
      <c r="F214" t="s">
        <v>58</v>
      </c>
      <c r="O214" t="s">
        <v>45</v>
      </c>
      <c r="X214" t="s">
        <v>47</v>
      </c>
      <c r="AG214" t="s">
        <v>9</v>
      </c>
      <c r="AH214" t="s">
        <v>10</v>
      </c>
    </row>
    <row r="215" spans="1:115" x14ac:dyDescent="0.25">
      <c r="A215" s="7">
        <f>A156</f>
        <v>0</v>
      </c>
      <c r="B215" s="9">
        <f>B156</f>
        <v>2.53E-2</v>
      </c>
      <c r="C215" t="str">
        <f t="array" ref="C215:C222">TRANSPOSE(A165:H165)</f>
        <v>3M Fixing</v>
      </c>
      <c r="D215" s="9">
        <f t="array" ref="D215:D222">TRANSPOSE(A166:H166)</f>
        <v>2.53E-2</v>
      </c>
      <c r="F215" s="9">
        <f t="array" ref="F215:F222">TRANSPOSE(N166:U166)</f>
        <v>2.5309999999999999E-2</v>
      </c>
      <c r="G215" s="9">
        <f t="array" ref="G215:G222">TRANSPOSE(AA166:AH166)</f>
        <v>2.53E-2</v>
      </c>
      <c r="H215" s="9">
        <f t="array" ref="H215:H222">TRANSPOSE(AN166:AU166)</f>
        <v>2.53E-2</v>
      </c>
      <c r="I215" s="9">
        <f t="array" ref="I215:I222">TRANSPOSE(BA166:BH166)</f>
        <v>2.53E-2</v>
      </c>
      <c r="J215" s="9">
        <f t="array" ref="J215:J222">TRANSPOSE(BN166:BU166)</f>
        <v>2.53E-2</v>
      </c>
      <c r="K215" s="9">
        <f t="array" ref="K215:K222">TRANSPOSE(CA166:CH166)</f>
        <v>2.53E-2</v>
      </c>
      <c r="L215" s="9">
        <f t="array" ref="L215:L222">TRANSPOSE(CN166:CU166)</f>
        <v>2.53E-2</v>
      </c>
      <c r="M215" s="9">
        <f t="array" ref="M215:M222">TRANSPOSE(DA166:DH166)</f>
        <v>2.53E-2</v>
      </c>
      <c r="O215" s="11">
        <f t="array" ref="O215:O222">(F215:F222-$D215:$D222)/F213</f>
        <v>0.99999999999995914</v>
      </c>
      <c r="P215" s="11">
        <f t="array" ref="P215:P222">(G215:G222-$D215:$D222)/G213</f>
        <v>0</v>
      </c>
      <c r="Q215" s="11">
        <f t="array" ref="Q215:Q222">(H215:H222-$D215:$D222)/H213</f>
        <v>0</v>
      </c>
      <c r="R215" s="11">
        <f t="array" ref="R215:R222">(I215:I222-$D215:$D222)/I213</f>
        <v>0</v>
      </c>
      <c r="S215" s="11">
        <f t="array" ref="S215:S222">(J215:J222-$D215:$D222)/J213</f>
        <v>0</v>
      </c>
      <c r="T215" s="11">
        <f t="array" ref="T215:T222">(K215:K222-$D215:$D222)/K213</f>
        <v>0</v>
      </c>
      <c r="U215" s="11">
        <f t="array" ref="U215:U222">(L215:L222-$D215:$D222)/L213</f>
        <v>0</v>
      </c>
      <c r="V215" s="11">
        <f t="array" ref="V215:V222">(M215:M222-$D215:$D222)/M213</f>
        <v>0</v>
      </c>
      <c r="X215" s="20">
        <f t="array" ref="X215:AE222">MINVERSE(O215:V222)</f>
        <v>1.0000000000000409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G215" s="7">
        <f t="shared" ref="AG215:AG222" si="358">A215</f>
        <v>0</v>
      </c>
      <c r="AH215" s="9">
        <f t="array" ref="AH215:AH222">B215:B222 - MMULT(X215:AE222, D215:D222-$B$2:$B$9)</f>
        <v>2.53E-2</v>
      </c>
    </row>
    <row r="216" spans="1:115" x14ac:dyDescent="0.25">
      <c r="A216" s="7">
        <f t="shared" ref="A216:B222" si="359">A157</f>
        <v>0.75</v>
      </c>
      <c r="B216" s="9">
        <f t="shared" si="359"/>
        <v>2.0702506492389593E-2</v>
      </c>
      <c r="C216" t="str">
        <v>1Y Swap</v>
      </c>
      <c r="D216" s="9">
        <v>2.3200000000022154E-2</v>
      </c>
      <c r="F216" s="9">
        <v>2.3205084967978268E-2</v>
      </c>
      <c r="G216" s="9">
        <v>2.3205088548376468E-2</v>
      </c>
      <c r="H216" s="9">
        <v>2.3200000000022154E-2</v>
      </c>
      <c r="I216" s="9">
        <v>2.3200000000022154E-2</v>
      </c>
      <c r="J216" s="9">
        <v>2.3200000000022154E-2</v>
      </c>
      <c r="K216" s="9">
        <v>2.3200000000022154E-2</v>
      </c>
      <c r="L216" s="9">
        <v>2.3200000000022154E-2</v>
      </c>
      <c r="M216" s="9">
        <v>2.3200000000022154E-2</v>
      </c>
      <c r="O216" s="11">
        <v>0.50849679561135175</v>
      </c>
      <c r="P216" s="11">
        <v>0.508854835431366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X216" s="20">
        <v>-0.99929638121707154</v>
      </c>
      <c r="Y216" s="20">
        <v>1.9651970078112373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0">
        <v>0</v>
      </c>
      <c r="AG216" s="7">
        <f t="shared" si="358"/>
        <v>0.75</v>
      </c>
      <c r="AH216" s="9">
        <v>2.0702506492346052E-2</v>
      </c>
    </row>
    <row r="217" spans="1:115" x14ac:dyDescent="0.25">
      <c r="A217" s="7">
        <f t="shared" si="359"/>
        <v>1.75</v>
      </c>
      <c r="B217" s="9">
        <f t="shared" si="359"/>
        <v>2.3715557373254037E-2</v>
      </c>
      <c r="C217" t="str">
        <v>2Y Swap</v>
      </c>
      <c r="D217" s="9">
        <v>2.2900000000027756E-2</v>
      </c>
      <c r="F217" s="9">
        <v>2.2902570884627549E-2</v>
      </c>
      <c r="G217" s="9">
        <v>2.2904655513563171E-2</v>
      </c>
      <c r="H217" s="9">
        <v>2.2903142842756772E-2</v>
      </c>
      <c r="I217" s="9">
        <v>2.2899803538890037E-2</v>
      </c>
      <c r="J217" s="9">
        <v>2.2900000000027756E-2</v>
      </c>
      <c r="K217" s="9">
        <v>2.2900000000027756E-2</v>
      </c>
      <c r="L217" s="9">
        <v>2.2900000000027756E-2</v>
      </c>
      <c r="M217" s="9">
        <v>2.2900000000027756E-2</v>
      </c>
      <c r="O217" s="11">
        <v>0.25708845997930718</v>
      </c>
      <c r="P217" s="11">
        <v>0.4655513535414823</v>
      </c>
      <c r="Q217" s="11">
        <v>0.31428427290161598</v>
      </c>
      <c r="R217" s="11">
        <v>-1.9646113771920604E-2</v>
      </c>
      <c r="S217" s="11">
        <v>0</v>
      </c>
      <c r="T217" s="11">
        <v>0</v>
      </c>
      <c r="U217" s="11">
        <v>0</v>
      </c>
      <c r="V217" s="11">
        <v>0</v>
      </c>
      <c r="X217" s="20">
        <v>0.63492054155106992</v>
      </c>
      <c r="Y217" s="20">
        <v>-2.7992978035479119</v>
      </c>
      <c r="Z217" s="20">
        <v>2.8884332543805367</v>
      </c>
      <c r="AA217" s="20">
        <v>0.24941233725847695</v>
      </c>
      <c r="AB217" s="20">
        <v>1.9072513050460888E-2</v>
      </c>
      <c r="AC217" s="20">
        <v>1.495732515250962E-3</v>
      </c>
      <c r="AD217" s="20">
        <v>3.3215324751018252E-5</v>
      </c>
      <c r="AE217" s="20">
        <v>1.7326054490114747E-6</v>
      </c>
      <c r="AG217" s="7">
        <f t="shared" si="358"/>
        <v>1.75</v>
      </c>
      <c r="AH217" s="9">
        <v>2.3715557373228249E-2</v>
      </c>
    </row>
    <row r="218" spans="1:115" x14ac:dyDescent="0.25">
      <c r="A218" s="7">
        <f t="shared" si="359"/>
        <v>2.75</v>
      </c>
      <c r="B218" s="9">
        <f t="shared" si="359"/>
        <v>2.5342567379115936E-2</v>
      </c>
      <c r="C218" t="str">
        <v>3Y Swap</v>
      </c>
      <c r="D218" s="9">
        <v>2.3600000000029115E-2</v>
      </c>
      <c r="F218" s="9">
        <v>2.3601734351724867E-2</v>
      </c>
      <c r="G218" s="9">
        <v>2.360301037667957E-2</v>
      </c>
      <c r="H218" s="9">
        <v>2.3603489427898049E-2</v>
      </c>
      <c r="I218" s="9">
        <v>2.3602065582267882E-2</v>
      </c>
      <c r="J218" s="9">
        <v>2.3599870696541868E-2</v>
      </c>
      <c r="K218" s="9">
        <v>2.3600000000029115E-2</v>
      </c>
      <c r="L218" s="9">
        <v>2.3600000000029115E-2</v>
      </c>
      <c r="M218" s="9">
        <v>2.3600000000029115E-2</v>
      </c>
      <c r="O218" s="11">
        <v>0.17343516957521452</v>
      </c>
      <c r="P218" s="11">
        <v>0.30103766504550877</v>
      </c>
      <c r="Q218" s="11">
        <v>0.34894278689336083</v>
      </c>
      <c r="R218" s="11">
        <v>0.20655822387666276</v>
      </c>
      <c r="S218" s="11">
        <v>-1.2930348724723982E-2</v>
      </c>
      <c r="T218" s="11">
        <v>0</v>
      </c>
      <c r="U218" s="11">
        <v>0</v>
      </c>
      <c r="V218" s="11">
        <v>0</v>
      </c>
      <c r="X218" s="20">
        <v>-0.43722551103179574</v>
      </c>
      <c r="Y218" s="20">
        <v>1.7878778748216881</v>
      </c>
      <c r="Z218" s="20">
        <v>-4.6935926307195581</v>
      </c>
      <c r="AA218" s="20">
        <v>3.9899175978512127</v>
      </c>
      <c r="AB218" s="20">
        <v>0.30510822476442773</v>
      </c>
      <c r="AC218" s="20">
        <v>2.3927643475363924E-2</v>
      </c>
      <c r="AD218" s="20">
        <v>5.3135466432475574E-4</v>
      </c>
      <c r="AE218" s="20">
        <v>2.7716964794646806E-5</v>
      </c>
      <c r="AG218" s="7">
        <f t="shared" si="358"/>
        <v>2.75</v>
      </c>
      <c r="AH218" s="9">
        <v>2.5342567379084399E-2</v>
      </c>
    </row>
    <row r="219" spans="1:115" x14ac:dyDescent="0.25">
      <c r="A219" s="7">
        <f t="shared" si="359"/>
        <v>3.75</v>
      </c>
      <c r="B219" s="9">
        <f t="shared" si="359"/>
        <v>2.6130748416031694E-2</v>
      </c>
      <c r="C219" t="str">
        <v>4Y Swap</v>
      </c>
      <c r="D219" s="9">
        <v>2.4200000000019799E-2</v>
      </c>
      <c r="F219" s="9">
        <v>2.420131678273349E-2</v>
      </c>
      <c r="G219" s="9">
        <v>2.4202285067216275E-2</v>
      </c>
      <c r="H219" s="9">
        <v>2.4202551363686042E-2</v>
      </c>
      <c r="I219" s="9">
        <v>2.4202580819113403E-2</v>
      </c>
      <c r="J219" s="9">
        <v>2.4201528910189861E-2</v>
      </c>
      <c r="K219" s="9">
        <v>2.4199904292828901E-2</v>
      </c>
      <c r="L219" s="9">
        <v>2.4200000000019799E-2</v>
      </c>
      <c r="M219" s="9">
        <v>2.4200000000019799E-2</v>
      </c>
      <c r="O219" s="11">
        <v>0.13167827136902066</v>
      </c>
      <c r="P219" s="11">
        <v>0.22850671964752542</v>
      </c>
      <c r="Q219" s="11">
        <v>0.25513636662428951</v>
      </c>
      <c r="R219" s="11">
        <v>0.25808190936039976</v>
      </c>
      <c r="S219" s="11">
        <v>0.15289101700614871</v>
      </c>
      <c r="T219" s="11">
        <v>-9.5707190898158823E-3</v>
      </c>
      <c r="U219" s="11">
        <v>0</v>
      </c>
      <c r="V219" s="11">
        <v>0</v>
      </c>
      <c r="X219" s="20">
        <v>0.29757422630287511</v>
      </c>
      <c r="Y219" s="20">
        <v>-1.2293233798569259</v>
      </c>
      <c r="Z219" s="20">
        <v>2.9695867415825714</v>
      </c>
      <c r="AA219" s="20">
        <v>-6.8690391431766242</v>
      </c>
      <c r="AB219" s="20">
        <v>5.3887045382743137</v>
      </c>
      <c r="AC219" s="20">
        <v>0.42260086920126916</v>
      </c>
      <c r="AD219" s="20">
        <v>9.3845824487058093E-3</v>
      </c>
      <c r="AE219" s="20">
        <v>4.8952641014978035E-4</v>
      </c>
      <c r="AG219" s="7">
        <f t="shared" si="358"/>
        <v>3.75</v>
      </c>
      <c r="AH219" s="9">
        <v>2.6130748416070004E-2</v>
      </c>
    </row>
    <row r="220" spans="1:115" x14ac:dyDescent="0.25">
      <c r="A220" s="7">
        <f t="shared" si="359"/>
        <v>4.75</v>
      </c>
      <c r="B220" s="9">
        <f t="shared" si="359"/>
        <v>2.7619182445118292E-2</v>
      </c>
      <c r="C220" t="str">
        <v>5Y Swap</v>
      </c>
      <c r="D220" s="9">
        <v>2.4800000000000318E-2</v>
      </c>
      <c r="F220" s="9">
        <v>2.4801066780725967E-2</v>
      </c>
      <c r="G220" s="9">
        <v>2.4801850807031536E-2</v>
      </c>
      <c r="H220" s="9">
        <v>2.4802065304108098E-2</v>
      </c>
      <c r="I220" s="9">
        <v>2.4802012222566096E-2</v>
      </c>
      <c r="J220" s="9">
        <v>2.4802036570097913E-2</v>
      </c>
      <c r="K220" s="9">
        <v>2.4801168150966786E-2</v>
      </c>
      <c r="L220" s="9">
        <v>2.4799962253778996E-2</v>
      </c>
      <c r="M220" s="9">
        <v>2.4800000000000318E-2</v>
      </c>
      <c r="O220" s="11">
        <v>0.10667807256482807</v>
      </c>
      <c r="P220" s="11">
        <v>0.18508070312173161</v>
      </c>
      <c r="Q220" s="11">
        <v>0.20653041077796361</v>
      </c>
      <c r="R220" s="11">
        <v>0.20122225657774603</v>
      </c>
      <c r="S220" s="11">
        <v>0.20365700975945308</v>
      </c>
      <c r="T220" s="11">
        <v>0.11681509664678012</v>
      </c>
      <c r="U220" s="11">
        <v>-3.7746221322187963E-3</v>
      </c>
      <c r="V220" s="11">
        <v>0</v>
      </c>
      <c r="X220" s="20">
        <v>-0.21105156122606591</v>
      </c>
      <c r="Y220" s="20">
        <v>0.86978677389053816</v>
      </c>
      <c r="Z220" s="20">
        <v>-2.127723626296528</v>
      </c>
      <c r="AA220" s="20">
        <v>4.5080550900394316</v>
      </c>
      <c r="AB220" s="20">
        <v>-9.6655723607197199</v>
      </c>
      <c r="AC220" s="20">
        <v>7.4360958341776611</v>
      </c>
      <c r="AD220" s="20">
        <v>0.16513135570263579</v>
      </c>
      <c r="AE220" s="20">
        <v>8.6137193851809936E-3</v>
      </c>
      <c r="AG220" s="7">
        <f t="shared" si="358"/>
        <v>4.75</v>
      </c>
      <c r="AH220" s="9">
        <v>2.7619182445221647E-2</v>
      </c>
    </row>
    <row r="221" spans="1:115" x14ac:dyDescent="0.25">
      <c r="A221" s="7">
        <f t="shared" si="359"/>
        <v>6.75</v>
      </c>
      <c r="B221" s="9">
        <f t="shared" si="359"/>
        <v>2.8021253580659856E-2</v>
      </c>
      <c r="C221" t="str">
        <v>7Y Swap</v>
      </c>
      <c r="D221" s="9">
        <v>2.5699999999970996E-2</v>
      </c>
      <c r="F221" s="9">
        <v>2.5700781949047905E-2</v>
      </c>
      <c r="G221" s="9">
        <v>2.5701356176004952E-2</v>
      </c>
      <c r="H221" s="9">
        <v>2.570151203755873E-2</v>
      </c>
      <c r="I221" s="9">
        <v>2.5701471743969365E-2</v>
      </c>
      <c r="J221" s="9">
        <v>2.5701263654530092E-2</v>
      </c>
      <c r="K221" s="9">
        <v>2.5702275450954517E-2</v>
      </c>
      <c r="L221" s="9">
        <v>2.5701564866461933E-2</v>
      </c>
      <c r="M221" s="9">
        <v>2.5699925880520225E-2</v>
      </c>
      <c r="O221" s="11">
        <v>7.8194907690912197E-2</v>
      </c>
      <c r="P221" s="11">
        <v>0.13561760339557416</v>
      </c>
      <c r="Q221" s="11">
        <v>0.15120375877336611</v>
      </c>
      <c r="R221" s="11">
        <v>0.14717439983692737</v>
      </c>
      <c r="S221" s="11">
        <v>0.12636545590957726</v>
      </c>
      <c r="T221" s="11">
        <v>0.227545098352086</v>
      </c>
      <c r="U221" s="11">
        <v>0.15648664909370669</v>
      </c>
      <c r="V221" s="11">
        <v>-7.4119450771403797E-3</v>
      </c>
      <c r="X221" s="20">
        <v>0.21924329275086094</v>
      </c>
      <c r="Y221" s="20">
        <v>-0.90482125532745106</v>
      </c>
      <c r="Z221" s="20">
        <v>2.2044381129986519</v>
      </c>
      <c r="AA221" s="20">
        <v>-4.7548138842458618</v>
      </c>
      <c r="AB221" s="20">
        <v>8.9270664824987112</v>
      </c>
      <c r="AC221" s="20">
        <v>-10.640118941771727</v>
      </c>
      <c r="AD221" s="20">
        <v>5.6468835522606078</v>
      </c>
      <c r="AE221" s="20">
        <v>0.2945574455741739</v>
      </c>
      <c r="AG221" s="7">
        <f t="shared" si="358"/>
        <v>6.75</v>
      </c>
      <c r="AH221" s="9">
        <v>2.802125358078273E-2</v>
      </c>
    </row>
    <row r="222" spans="1:115" x14ac:dyDescent="0.25">
      <c r="A222" s="7">
        <f t="shared" si="359"/>
        <v>9.75</v>
      </c>
      <c r="B222" s="9">
        <f t="shared" si="359"/>
        <v>3.1277839587450521E-2</v>
      </c>
      <c r="C222" t="str">
        <v>10Y Swap</v>
      </c>
      <c r="D222" s="9">
        <v>2.6899999999880679E-2</v>
      </c>
      <c r="F222" s="9">
        <v>2.6900569699571018E-2</v>
      </c>
      <c r="G222" s="9">
        <v>2.6900987610161298E-2</v>
      </c>
      <c r="H222" s="9">
        <v>2.690109983929297E-2</v>
      </c>
      <c r="I222" s="9">
        <v>2.6901069137205628E-2</v>
      </c>
      <c r="J222" s="9">
        <v>2.6900917108512192E-2</v>
      </c>
      <c r="K222" s="9">
        <v>2.6901474900464156E-2</v>
      </c>
      <c r="L222" s="9">
        <v>2.6902586106182926E-2</v>
      </c>
      <c r="M222" s="9">
        <v>2.6901420924436321E-2</v>
      </c>
      <c r="O222" s="11">
        <v>5.6969969033926475E-2</v>
      </c>
      <c r="P222" s="11">
        <v>9.8761028061861142E-2</v>
      </c>
      <c r="Q222" s="11">
        <v>0.10998394122906095</v>
      </c>
      <c r="R222" s="11">
        <v>0.10691373249493984</v>
      </c>
      <c r="S222" s="11">
        <v>9.1710863151309149E-2</v>
      </c>
      <c r="T222" s="11">
        <v>0.14749005834771567</v>
      </c>
      <c r="U222" s="11">
        <v>0.25861063022471209</v>
      </c>
      <c r="V222" s="11">
        <v>0.14209245556423555</v>
      </c>
      <c r="X222" s="20">
        <v>-0.24086790060906937</v>
      </c>
      <c r="Y222" s="20">
        <v>0.99300157899623342</v>
      </c>
      <c r="Z222" s="20">
        <v>-2.4243945686056483</v>
      </c>
      <c r="AA222" s="20">
        <v>5.2128684683829016</v>
      </c>
      <c r="AB222" s="20">
        <v>-9.9370450443329918</v>
      </c>
      <c r="AC222" s="20">
        <v>11.354704650679258</v>
      </c>
      <c r="AD222" s="20">
        <v>-10.455308637348066</v>
      </c>
      <c r="AE222" s="20">
        <v>6.492292802965804</v>
      </c>
      <c r="AG222" s="7">
        <f t="shared" si="358"/>
        <v>9.75</v>
      </c>
      <c r="AH222" s="9">
        <v>3.1277839588008581E-2</v>
      </c>
    </row>
    <row r="224" spans="1:115" x14ac:dyDescent="0.25">
      <c r="A224" s="27" t="s">
        <v>89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M224" s="5" t="s">
        <v>90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Z224" s="5" t="s">
        <v>91</v>
      </c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M224" s="5" t="s">
        <v>92</v>
      </c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Z224" s="5" t="s">
        <v>93</v>
      </c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M224" s="5" t="s">
        <v>94</v>
      </c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Z224" s="5" t="s">
        <v>95</v>
      </c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M224" s="5" t="s">
        <v>96</v>
      </c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Z224" s="5" t="s">
        <v>97</v>
      </c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</row>
    <row r="225" spans="1:115" x14ac:dyDescent="0.25">
      <c r="A225" s="21" t="s">
        <v>60</v>
      </c>
      <c r="B225" s="21"/>
      <c r="C225" s="21" t="s">
        <v>61</v>
      </c>
      <c r="D225" s="21"/>
      <c r="E225" t="s">
        <v>62</v>
      </c>
      <c r="F225" s="21" t="s">
        <v>42</v>
      </c>
      <c r="G225" s="21"/>
      <c r="H225" s="21" t="s">
        <v>41</v>
      </c>
      <c r="I225" s="21"/>
      <c r="J225" s="21"/>
      <c r="K225" s="21"/>
      <c r="L225" t="s">
        <v>72</v>
      </c>
      <c r="M225">
        <v>7</v>
      </c>
      <c r="N225" s="21" t="s">
        <v>60</v>
      </c>
      <c r="O225" s="21"/>
      <c r="P225" s="21" t="s">
        <v>61</v>
      </c>
      <c r="Q225" s="21"/>
      <c r="R225" t="s">
        <v>62</v>
      </c>
      <c r="S225" s="21" t="s">
        <v>42</v>
      </c>
      <c r="T225" s="21"/>
      <c r="U225" s="21" t="s">
        <v>41</v>
      </c>
      <c r="V225" s="21"/>
      <c r="W225" s="21"/>
      <c r="X225" s="21"/>
      <c r="Z225" t="s">
        <v>4</v>
      </c>
      <c r="AA225" s="21" t="s">
        <v>60</v>
      </c>
      <c r="AB225" s="21"/>
      <c r="AC225" s="21" t="s">
        <v>61</v>
      </c>
      <c r="AD225" s="21"/>
      <c r="AE225" t="s">
        <v>62</v>
      </c>
      <c r="AF225" s="21" t="s">
        <v>42</v>
      </c>
      <c r="AG225" s="21"/>
      <c r="AH225" s="21" t="s">
        <v>41</v>
      </c>
      <c r="AI225" s="21"/>
      <c r="AJ225" s="21"/>
      <c r="AK225" s="21"/>
      <c r="AM225" t="s">
        <v>4</v>
      </c>
      <c r="AN225" s="21" t="s">
        <v>60</v>
      </c>
      <c r="AO225" s="21"/>
      <c r="AP225" s="21" t="s">
        <v>61</v>
      </c>
      <c r="AQ225" s="21"/>
      <c r="AR225" t="s">
        <v>62</v>
      </c>
      <c r="AS225" s="21" t="s">
        <v>42</v>
      </c>
      <c r="AT225" s="21"/>
      <c r="AU225" s="21" t="s">
        <v>41</v>
      </c>
      <c r="AV225" s="21"/>
      <c r="AW225" s="21"/>
      <c r="AX225" s="21"/>
      <c r="AZ225" t="s">
        <v>4</v>
      </c>
      <c r="BA225" s="21" t="s">
        <v>60</v>
      </c>
      <c r="BB225" s="21"/>
      <c r="BC225" s="21" t="s">
        <v>61</v>
      </c>
      <c r="BD225" s="21"/>
      <c r="BE225" t="s">
        <v>62</v>
      </c>
      <c r="BF225" s="21" t="s">
        <v>42</v>
      </c>
      <c r="BG225" s="21"/>
      <c r="BH225" s="21" t="s">
        <v>41</v>
      </c>
      <c r="BI225" s="21"/>
      <c r="BJ225" s="21"/>
      <c r="BK225" s="21"/>
      <c r="BM225" t="s">
        <v>4</v>
      </c>
      <c r="BN225" s="21" t="s">
        <v>60</v>
      </c>
      <c r="BO225" s="21"/>
      <c r="BP225" s="21" t="s">
        <v>61</v>
      </c>
      <c r="BQ225" s="21"/>
      <c r="BR225" t="s">
        <v>62</v>
      </c>
      <c r="BS225" s="21" t="s">
        <v>42</v>
      </c>
      <c r="BT225" s="21"/>
      <c r="BU225" s="21" t="s">
        <v>41</v>
      </c>
      <c r="BV225" s="21"/>
      <c r="BW225" s="21"/>
      <c r="BX225" s="21"/>
      <c r="BZ225" t="s">
        <v>4</v>
      </c>
      <c r="CA225" s="21" t="s">
        <v>60</v>
      </c>
      <c r="CB225" s="21"/>
      <c r="CC225" s="21" t="s">
        <v>61</v>
      </c>
      <c r="CD225" s="21"/>
      <c r="CE225" t="s">
        <v>62</v>
      </c>
      <c r="CF225" s="21" t="s">
        <v>42</v>
      </c>
      <c r="CG225" s="21"/>
      <c r="CH225" s="21" t="s">
        <v>41</v>
      </c>
      <c r="CI225" s="21"/>
      <c r="CJ225" s="21"/>
      <c r="CK225" s="21"/>
      <c r="CM225" t="s">
        <v>4</v>
      </c>
      <c r="CN225" s="21" t="s">
        <v>60</v>
      </c>
      <c r="CO225" s="21"/>
      <c r="CP225" s="21" t="s">
        <v>61</v>
      </c>
      <c r="CQ225" s="21"/>
      <c r="CR225" t="s">
        <v>62</v>
      </c>
      <c r="CS225" s="21" t="s">
        <v>42</v>
      </c>
      <c r="CT225" s="21"/>
      <c r="CU225" s="21" t="s">
        <v>41</v>
      </c>
      <c r="CV225" s="21"/>
      <c r="CW225" s="21"/>
      <c r="CX225" s="21"/>
      <c r="CZ225" t="s">
        <v>4</v>
      </c>
      <c r="DA225" s="21" t="s">
        <v>60</v>
      </c>
      <c r="DB225" s="21"/>
      <c r="DC225" s="21" t="s">
        <v>61</v>
      </c>
      <c r="DD225" s="21"/>
      <c r="DE225" t="s">
        <v>62</v>
      </c>
      <c r="DF225" s="21" t="s">
        <v>42</v>
      </c>
      <c r="DG225" s="21"/>
      <c r="DH225" s="21" t="s">
        <v>41</v>
      </c>
      <c r="DI225" s="21"/>
      <c r="DJ225" s="21"/>
      <c r="DK225" s="21"/>
    </row>
    <row r="226" spans="1:115" x14ac:dyDescent="0.25">
      <c r="A226" t="s">
        <v>9</v>
      </c>
      <c r="B226" t="s">
        <v>10</v>
      </c>
      <c r="C226" t="s">
        <v>9</v>
      </c>
      <c r="D226" t="s">
        <v>10</v>
      </c>
      <c r="F226" t="s">
        <v>43</v>
      </c>
      <c r="G226" t="s">
        <v>44</v>
      </c>
      <c r="H226" t="s">
        <v>33</v>
      </c>
      <c r="I226" t="s">
        <v>34</v>
      </c>
      <c r="J226" t="s">
        <v>35</v>
      </c>
      <c r="K226" t="s">
        <v>36</v>
      </c>
      <c r="L226">
        <v>0.1</v>
      </c>
      <c r="M226" s="3">
        <f>$F$3*$L226</f>
        <v>1.0000000000000001E-5</v>
      </c>
      <c r="N226" t="s">
        <v>9</v>
      </c>
      <c r="O226" t="s">
        <v>10</v>
      </c>
      <c r="P226" t="s">
        <v>9</v>
      </c>
      <c r="Q226" t="s">
        <v>10</v>
      </c>
      <c r="S226" t="s">
        <v>43</v>
      </c>
      <c r="T226" t="s">
        <v>44</v>
      </c>
      <c r="U226" t="s">
        <v>33</v>
      </c>
      <c r="V226" t="s">
        <v>34</v>
      </c>
      <c r="W226" t="s">
        <v>35</v>
      </c>
      <c r="X226" t="s">
        <v>36</v>
      </c>
      <c r="Z226" s="3">
        <f>$F$3*$L226</f>
        <v>1.0000000000000001E-5</v>
      </c>
      <c r="AA226" t="s">
        <v>9</v>
      </c>
      <c r="AB226" t="s">
        <v>10</v>
      </c>
      <c r="AC226" t="s">
        <v>9</v>
      </c>
      <c r="AD226" t="s">
        <v>10</v>
      </c>
      <c r="AF226" t="s">
        <v>43</v>
      </c>
      <c r="AG226" t="s">
        <v>44</v>
      </c>
      <c r="AH226" t="s">
        <v>33</v>
      </c>
      <c r="AI226" t="s">
        <v>34</v>
      </c>
      <c r="AJ226" t="s">
        <v>35</v>
      </c>
      <c r="AK226" t="s">
        <v>36</v>
      </c>
      <c r="AM226" s="3">
        <f>$F$3*$L226</f>
        <v>1.0000000000000001E-5</v>
      </c>
      <c r="AN226" t="s">
        <v>9</v>
      </c>
      <c r="AO226" t="s">
        <v>10</v>
      </c>
      <c r="AP226" t="s">
        <v>9</v>
      </c>
      <c r="AQ226" t="s">
        <v>10</v>
      </c>
      <c r="AS226" t="s">
        <v>43</v>
      </c>
      <c r="AT226" t="s">
        <v>44</v>
      </c>
      <c r="AU226" t="s">
        <v>33</v>
      </c>
      <c r="AV226" t="s">
        <v>34</v>
      </c>
      <c r="AW226" t="s">
        <v>35</v>
      </c>
      <c r="AX226" t="s">
        <v>36</v>
      </c>
      <c r="AZ226" s="3">
        <f>$F$3*$L226</f>
        <v>1.0000000000000001E-5</v>
      </c>
      <c r="BA226" t="s">
        <v>9</v>
      </c>
      <c r="BB226" t="s">
        <v>10</v>
      </c>
      <c r="BC226" t="s">
        <v>9</v>
      </c>
      <c r="BD226" t="s">
        <v>10</v>
      </c>
      <c r="BF226" t="s">
        <v>43</v>
      </c>
      <c r="BG226" t="s">
        <v>44</v>
      </c>
      <c r="BH226" t="s">
        <v>33</v>
      </c>
      <c r="BI226" t="s">
        <v>34</v>
      </c>
      <c r="BJ226" t="s">
        <v>35</v>
      </c>
      <c r="BK226" t="s">
        <v>36</v>
      </c>
      <c r="BM226" s="3">
        <f>$F$3*$L226</f>
        <v>1.0000000000000001E-5</v>
      </c>
      <c r="BN226" t="s">
        <v>9</v>
      </c>
      <c r="BO226" t="s">
        <v>10</v>
      </c>
      <c r="BP226" t="s">
        <v>9</v>
      </c>
      <c r="BQ226" t="s">
        <v>10</v>
      </c>
      <c r="BS226" t="s">
        <v>43</v>
      </c>
      <c r="BT226" t="s">
        <v>44</v>
      </c>
      <c r="BU226" t="s">
        <v>33</v>
      </c>
      <c r="BV226" t="s">
        <v>34</v>
      </c>
      <c r="BW226" t="s">
        <v>35</v>
      </c>
      <c r="BX226" t="s">
        <v>36</v>
      </c>
      <c r="BZ226" s="3">
        <f>$F$3*$L226</f>
        <v>1.0000000000000001E-5</v>
      </c>
      <c r="CA226" t="s">
        <v>9</v>
      </c>
      <c r="CB226" t="s">
        <v>10</v>
      </c>
      <c r="CC226" t="s">
        <v>9</v>
      </c>
      <c r="CD226" t="s">
        <v>10</v>
      </c>
      <c r="CF226" t="s">
        <v>43</v>
      </c>
      <c r="CG226" t="s">
        <v>44</v>
      </c>
      <c r="CH226" t="s">
        <v>33</v>
      </c>
      <c r="CI226" t="s">
        <v>34</v>
      </c>
      <c r="CJ226" t="s">
        <v>35</v>
      </c>
      <c r="CK226" t="s">
        <v>36</v>
      </c>
      <c r="CM226" s="3">
        <f>$F$3*$L226</f>
        <v>1.0000000000000001E-5</v>
      </c>
      <c r="CN226" t="s">
        <v>9</v>
      </c>
      <c r="CO226" t="s">
        <v>10</v>
      </c>
      <c r="CP226" t="s">
        <v>9</v>
      </c>
      <c r="CQ226" t="s">
        <v>10</v>
      </c>
      <c r="CS226" t="s">
        <v>43</v>
      </c>
      <c r="CT226" t="s">
        <v>44</v>
      </c>
      <c r="CU226" t="s">
        <v>33</v>
      </c>
      <c r="CV226" t="s">
        <v>34</v>
      </c>
      <c r="CW226" t="s">
        <v>35</v>
      </c>
      <c r="CX226" t="s">
        <v>36</v>
      </c>
      <c r="CZ226" s="3">
        <f>$F$3*$L226</f>
        <v>1.0000000000000001E-5</v>
      </c>
      <c r="DA226" t="s">
        <v>9</v>
      </c>
      <c r="DB226" t="s">
        <v>10</v>
      </c>
      <c r="DC226" t="s">
        <v>9</v>
      </c>
      <c r="DD226" t="s">
        <v>10</v>
      </c>
      <c r="DF226" t="s">
        <v>43</v>
      </c>
      <c r="DG226" t="s">
        <v>44</v>
      </c>
      <c r="DH226" t="s">
        <v>33</v>
      </c>
      <c r="DI226" t="s">
        <v>34</v>
      </c>
      <c r="DJ226" t="s">
        <v>35</v>
      </c>
      <c r="DK226" t="s">
        <v>36</v>
      </c>
    </row>
    <row r="227" spans="1:115" x14ac:dyDescent="0.25">
      <c r="A227" s="7">
        <f t="shared" ref="A227:A234" si="360">A215</f>
        <v>0</v>
      </c>
      <c r="B227" s="9">
        <f t="shared" ref="B227:B234" si="361">AH215</f>
        <v>2.53E-2</v>
      </c>
      <c r="C227" s="7">
        <f>A228</f>
        <v>0.75</v>
      </c>
      <c r="D227" s="9">
        <f>B228</f>
        <v>2.0702506492346052E-2</v>
      </c>
      <c r="E227" s="11">
        <f>(D227-B227)/(C227-A227)</f>
        <v>-6.1299913435385973E-3</v>
      </c>
      <c r="F227" s="15">
        <v>0</v>
      </c>
      <c r="G227" s="11">
        <f t="shared" ref="G227:G233" si="362">IF($F$5, (E227*E228&gt;=0) * AVERAGE(E227:E228), AVERAGE(E227:E228))</f>
        <v>0</v>
      </c>
      <c r="H227" s="11">
        <f t="shared" ref="H227:H234" si="363">(F227+G227-2*(D227-B227)/(C227-A227))/(C227-A227)^2</f>
        <v>2.1795524777026124E-2</v>
      </c>
      <c r="I227" s="11">
        <f t="shared" ref="I227:I234" si="364">((D227-B227)/(C227-A227) - F227 - H227*(C227^2 + A227*C227 - 2*A227^2))/(C227-A227)</f>
        <v>-2.4519965374154389E-2</v>
      </c>
      <c r="J227" s="15">
        <f t="shared" ref="J227:J234" si="365">F227-2*I227*A227 - 3*H227*A227^2</f>
        <v>0</v>
      </c>
      <c r="K227" s="11">
        <f t="shared" ref="K227:K234" si="366">B227 -H227*A227^3 - I227*A227^2 - J227*A227</f>
        <v>2.53E-2</v>
      </c>
      <c r="N227" s="7">
        <f>$A227</f>
        <v>0</v>
      </c>
      <c r="O227" s="10">
        <f>$B227+M226</f>
        <v>2.5309999999999999E-2</v>
      </c>
      <c r="P227" s="7">
        <f>N228</f>
        <v>0.75</v>
      </c>
      <c r="Q227" s="9">
        <f>O228</f>
        <v>2.0702506492346052E-2</v>
      </c>
      <c r="R227" s="11">
        <f>(Q227-O227)/(P227-N227)</f>
        <v>-6.1433246768719295E-3</v>
      </c>
      <c r="S227" s="15">
        <v>0</v>
      </c>
      <c r="T227" s="11">
        <f t="shared" ref="T227:T233" si="367">IF($F$5, (R227*R228&gt;=0) * AVERAGE(R227:R228), AVERAGE(R227:R228))</f>
        <v>0</v>
      </c>
      <c r="U227" s="11">
        <f t="shared" ref="U227:U234" si="368">(S227+T227-2*(Q227-O227)/(P227-N227))/(P227-N227)^2</f>
        <v>2.1842932184433526E-2</v>
      </c>
      <c r="V227" s="11">
        <f t="shared" ref="V227:V234" si="369">((Q227-O227)/(P227-N227) - S227 - U227*(P227^2 + N227*P227 - 2*N227^2))/(P227-N227)</f>
        <v>-2.4573298707487718E-2</v>
      </c>
      <c r="W227" s="15">
        <f t="shared" ref="W227:W234" si="370">S227-2*V227*N227 - 3*U227*N227^2</f>
        <v>0</v>
      </c>
      <c r="X227" s="11">
        <f t="shared" ref="X227:X234" si="371">O227 -U227*N227^3 - V227*N227^2 - W227*N227</f>
        <v>2.5309999999999999E-2</v>
      </c>
      <c r="AA227" s="7">
        <f>$A227</f>
        <v>0</v>
      </c>
      <c r="AB227" s="9">
        <f>$B227</f>
        <v>2.53E-2</v>
      </c>
      <c r="AC227" s="7">
        <f>AA228</f>
        <v>0.75</v>
      </c>
      <c r="AD227" s="10">
        <f>AB228</f>
        <v>2.0712506492346051E-2</v>
      </c>
      <c r="AE227" s="11">
        <f>(AD227-AB227)/(AC227-AA227)</f>
        <v>-6.1166580102052642E-3</v>
      </c>
      <c r="AF227" s="15">
        <v>0</v>
      </c>
      <c r="AG227" s="11">
        <f t="shared" ref="AG227:AG233" si="372">IF($F$5, (AE227*AE228&gt;=0) * AVERAGE(AE227:AE228), AVERAGE(AE227:AE228))</f>
        <v>0</v>
      </c>
      <c r="AH227" s="11">
        <f t="shared" ref="AH227:AH234" si="373">(AF227+AG227-2*(AD227-AB227)/(AC227-AA227))/(AC227-AA227)^2</f>
        <v>2.1748117369618718E-2</v>
      </c>
      <c r="AI227" s="11">
        <f t="shared" ref="AI227:AI234" si="374">((AD227-AB227)/(AC227-AA227) - AF227 - AH227*(AC227^2 + AA227*AC227 - 2*AA227^2))/(AC227-AA227)</f>
        <v>-2.4466632040821057E-2</v>
      </c>
      <c r="AJ227" s="15">
        <f t="shared" ref="AJ227:AJ234" si="375">AF227-2*AI227*AA227 - 3*AH227*AA227^2</f>
        <v>0</v>
      </c>
      <c r="AK227" s="11">
        <f t="shared" ref="AK227:AK234" si="376">AB227 -AH227*AA227^3 - AI227*AA227^2 - AJ227*AA227</f>
        <v>2.53E-2</v>
      </c>
      <c r="AN227" s="7">
        <f>$A227</f>
        <v>0</v>
      </c>
      <c r="AO227" s="9">
        <f>$B227</f>
        <v>2.53E-2</v>
      </c>
      <c r="AP227" s="7">
        <f>AN228</f>
        <v>0.75</v>
      </c>
      <c r="AQ227" s="9">
        <f>AO228</f>
        <v>2.0702506492346052E-2</v>
      </c>
      <c r="AR227" s="11">
        <f>(AQ227-AO227)/(AP227-AN227)</f>
        <v>-6.1299913435385973E-3</v>
      </c>
      <c r="AS227" s="15">
        <v>0</v>
      </c>
      <c r="AT227" s="11">
        <f t="shared" ref="AT227:AT233" si="377">IF($F$5, (AR227*AR228&gt;=0) * AVERAGE(AR227:AR228), AVERAGE(AR227:AR228))</f>
        <v>0</v>
      </c>
      <c r="AU227" s="11">
        <f t="shared" ref="AU227:AU234" si="378">(AS227+AT227-2*(AQ227-AO227)/(AP227-AN227))/(AP227-AN227)^2</f>
        <v>2.1795524777026124E-2</v>
      </c>
      <c r="AV227" s="11">
        <f t="shared" ref="AV227:AV234" si="379">((AQ227-AO227)/(AP227-AN227) - AS227 - AU227*(AP227^2 + AN227*AP227 - 2*AN227^2))/(AP227-AN227)</f>
        <v>-2.4519965374154389E-2</v>
      </c>
      <c r="AW227" s="15">
        <f t="shared" ref="AW227:AW234" si="380">AS227-2*AV227*AN227 - 3*AU227*AN227^2</f>
        <v>0</v>
      </c>
      <c r="AX227" s="11">
        <f t="shared" ref="AX227:AX234" si="381">AO227 -AU227*AN227^3 - AV227*AN227^2 - AW227*AN227</f>
        <v>2.53E-2</v>
      </c>
      <c r="BA227" s="7">
        <f>$A227</f>
        <v>0</v>
      </c>
      <c r="BB227" s="9">
        <f>$B227</f>
        <v>2.53E-2</v>
      </c>
      <c r="BC227" s="7">
        <f>BA228</f>
        <v>0.75</v>
      </c>
      <c r="BD227" s="9">
        <f>BB228</f>
        <v>2.0702506492346052E-2</v>
      </c>
      <c r="BE227" s="11">
        <f>(BD227-BB227)/(BC227-BA227)</f>
        <v>-6.1299913435385973E-3</v>
      </c>
      <c r="BF227" s="15">
        <v>0</v>
      </c>
      <c r="BG227" s="11">
        <f t="shared" ref="BG227:BG233" si="382">IF($F$5, (BE227*BE228&gt;=0) * AVERAGE(BE227:BE228), AVERAGE(BE227:BE228))</f>
        <v>0</v>
      </c>
      <c r="BH227" s="11">
        <f t="shared" ref="BH227:BH234" si="383">(BF227+BG227-2*(BD227-BB227)/(BC227-BA227))/(BC227-BA227)^2</f>
        <v>2.1795524777026124E-2</v>
      </c>
      <c r="BI227" s="11">
        <f t="shared" ref="BI227:BI234" si="384">((BD227-BB227)/(BC227-BA227) - BF227 - BH227*(BC227^2 + BA227*BC227 - 2*BA227^2))/(BC227-BA227)</f>
        <v>-2.4519965374154389E-2</v>
      </c>
      <c r="BJ227" s="15">
        <f t="shared" ref="BJ227:BJ234" si="385">BF227-2*BI227*BA227 - 3*BH227*BA227^2</f>
        <v>0</v>
      </c>
      <c r="BK227" s="11">
        <f t="shared" ref="BK227:BK234" si="386">BB227 -BH227*BA227^3 - BI227*BA227^2 - BJ227*BA227</f>
        <v>2.53E-2</v>
      </c>
      <c r="BN227" s="7">
        <f>$A227</f>
        <v>0</v>
      </c>
      <c r="BO227" s="9">
        <f>$B227</f>
        <v>2.53E-2</v>
      </c>
      <c r="BP227" s="7">
        <f>BN228</f>
        <v>0.75</v>
      </c>
      <c r="BQ227" s="9">
        <f>BO228</f>
        <v>2.0702506492346052E-2</v>
      </c>
      <c r="BR227" s="11">
        <f>(BQ227-BO227)/(BP227-BN227)</f>
        <v>-6.1299913435385973E-3</v>
      </c>
      <c r="BS227" s="15">
        <v>0</v>
      </c>
      <c r="BT227" s="11">
        <f t="shared" ref="BT227:BT233" si="387">IF($F$5, (BR227*BR228&gt;=0) * AVERAGE(BR227:BR228), AVERAGE(BR227:BR228))</f>
        <v>0</v>
      </c>
      <c r="BU227" s="11">
        <f t="shared" ref="BU227:BU234" si="388">(BS227+BT227-2*(BQ227-BO227)/(BP227-BN227))/(BP227-BN227)^2</f>
        <v>2.1795524777026124E-2</v>
      </c>
      <c r="BV227" s="11">
        <f t="shared" ref="BV227:BV234" si="389">((BQ227-BO227)/(BP227-BN227) - BS227 - BU227*(BP227^2 + BN227*BP227 - 2*BN227^2))/(BP227-BN227)</f>
        <v>-2.4519965374154389E-2</v>
      </c>
      <c r="BW227" s="15">
        <f t="shared" ref="BW227:BW234" si="390">BS227-2*BV227*BN227 - 3*BU227*BN227^2</f>
        <v>0</v>
      </c>
      <c r="BX227" s="11">
        <f t="shared" ref="BX227:BX234" si="391">BO227 -BU227*BN227^3 - BV227*BN227^2 - BW227*BN227</f>
        <v>2.53E-2</v>
      </c>
      <c r="CA227" s="7">
        <f>$A227</f>
        <v>0</v>
      </c>
      <c r="CB227" s="9">
        <f>$B227</f>
        <v>2.53E-2</v>
      </c>
      <c r="CC227" s="7">
        <f>CA228</f>
        <v>0.75</v>
      </c>
      <c r="CD227" s="9">
        <f>CB228</f>
        <v>2.0702506492346052E-2</v>
      </c>
      <c r="CE227" s="11">
        <f>(CD227-CB227)/(CC227-CA227)</f>
        <v>-6.1299913435385973E-3</v>
      </c>
      <c r="CF227" s="15">
        <v>0</v>
      </c>
      <c r="CG227" s="11">
        <f t="shared" ref="CG227:CG233" si="392">IF($F$5, (CE227*CE228&gt;=0) * AVERAGE(CE227:CE228), AVERAGE(CE227:CE228))</f>
        <v>0</v>
      </c>
      <c r="CH227" s="11">
        <f t="shared" ref="CH227:CH234" si="393">(CF227+CG227-2*(CD227-CB227)/(CC227-CA227))/(CC227-CA227)^2</f>
        <v>2.1795524777026124E-2</v>
      </c>
      <c r="CI227" s="11">
        <f t="shared" ref="CI227:CI234" si="394">((CD227-CB227)/(CC227-CA227) - CF227 - CH227*(CC227^2 + CA227*CC227 - 2*CA227^2))/(CC227-CA227)</f>
        <v>-2.4519965374154389E-2</v>
      </c>
      <c r="CJ227" s="15">
        <f t="shared" ref="CJ227:CJ234" si="395">CF227-2*CI227*CA227 - 3*CH227*CA227^2</f>
        <v>0</v>
      </c>
      <c r="CK227" s="11">
        <f t="shared" ref="CK227:CK234" si="396">CB227 -CH227*CA227^3 - CI227*CA227^2 - CJ227*CA227</f>
        <v>2.53E-2</v>
      </c>
      <c r="CN227" s="7">
        <f>$A227</f>
        <v>0</v>
      </c>
      <c r="CO227" s="9">
        <f>$B227</f>
        <v>2.53E-2</v>
      </c>
      <c r="CP227" s="7">
        <f>CN228</f>
        <v>0.75</v>
      </c>
      <c r="CQ227" s="9">
        <f>CO228</f>
        <v>2.0702506492346052E-2</v>
      </c>
      <c r="CR227" s="11">
        <f>(CQ227-CO227)/(CP227-CN227)</f>
        <v>-6.1299913435385973E-3</v>
      </c>
      <c r="CS227" s="15">
        <v>0</v>
      </c>
      <c r="CT227" s="11">
        <f t="shared" ref="CT227:CT233" si="397">IF($F$5, (CR227*CR228&gt;=0) * AVERAGE(CR227:CR228), AVERAGE(CR227:CR228))</f>
        <v>0</v>
      </c>
      <c r="CU227" s="11">
        <f t="shared" ref="CU227:CU234" si="398">(CS227+CT227-2*(CQ227-CO227)/(CP227-CN227))/(CP227-CN227)^2</f>
        <v>2.1795524777026124E-2</v>
      </c>
      <c r="CV227" s="11">
        <f t="shared" ref="CV227:CV234" si="399">((CQ227-CO227)/(CP227-CN227) - CS227 - CU227*(CP227^2 + CN227*CP227 - 2*CN227^2))/(CP227-CN227)</f>
        <v>-2.4519965374154389E-2</v>
      </c>
      <c r="CW227" s="15">
        <f t="shared" ref="CW227:CW234" si="400">CS227-2*CV227*CN227 - 3*CU227*CN227^2</f>
        <v>0</v>
      </c>
      <c r="CX227" s="11">
        <f t="shared" ref="CX227:CX234" si="401">CO227 -CU227*CN227^3 - CV227*CN227^2 - CW227*CN227</f>
        <v>2.53E-2</v>
      </c>
      <c r="DA227" s="7">
        <f>$A227</f>
        <v>0</v>
      </c>
      <c r="DB227" s="9">
        <f>$B227</f>
        <v>2.53E-2</v>
      </c>
      <c r="DC227" s="7">
        <f>DA228</f>
        <v>0.75</v>
      </c>
      <c r="DD227" s="9">
        <f>DB228</f>
        <v>2.0702506492346052E-2</v>
      </c>
      <c r="DE227" s="11">
        <f>(DD227-DB227)/(DC227-DA227)</f>
        <v>-6.1299913435385973E-3</v>
      </c>
      <c r="DF227" s="15">
        <v>0</v>
      </c>
      <c r="DG227" s="11">
        <f t="shared" ref="DG227:DG233" si="402">IF($F$5, (DE227*DE228&gt;=0) * AVERAGE(DE227:DE228), AVERAGE(DE227:DE228))</f>
        <v>0</v>
      </c>
      <c r="DH227" s="11">
        <f t="shared" ref="DH227:DH234" si="403">(DF227+DG227-2*(DD227-DB227)/(DC227-DA227))/(DC227-DA227)^2</f>
        <v>2.1795524777026124E-2</v>
      </c>
      <c r="DI227" s="11">
        <f t="shared" ref="DI227:DI234" si="404">((DD227-DB227)/(DC227-DA227) - DF227 - DH227*(DC227^2 + DA227*DC227 - 2*DA227^2))/(DC227-DA227)</f>
        <v>-2.4519965374154389E-2</v>
      </c>
      <c r="DJ227" s="15">
        <f t="shared" ref="DJ227:DJ234" si="405">DF227-2*DI227*DA227 - 3*DH227*DA227^2</f>
        <v>0</v>
      </c>
      <c r="DK227" s="11">
        <f t="shared" ref="DK227:DK234" si="406">DB227 -DH227*DA227^3 - DI227*DA227^2 - DJ227*DA227</f>
        <v>2.53E-2</v>
      </c>
    </row>
    <row r="228" spans="1:115" x14ac:dyDescent="0.25">
      <c r="A228" s="7">
        <f t="shared" si="360"/>
        <v>0.75</v>
      </c>
      <c r="B228" s="9">
        <f t="shared" si="361"/>
        <v>2.0702506492346052E-2</v>
      </c>
      <c r="C228" s="7">
        <f t="shared" ref="C228:C233" si="407">A229</f>
        <v>1.75</v>
      </c>
      <c r="D228" s="9">
        <f t="shared" ref="D228:D233" si="408">B229</f>
        <v>2.3715557373228249E-2</v>
      </c>
      <c r="E228" s="11">
        <f t="shared" ref="E228:E234" si="409">(D228-B228)/(C228-A228)</f>
        <v>3.0130508808821968E-3</v>
      </c>
      <c r="F228" s="15">
        <f>G227</f>
        <v>0</v>
      </c>
      <c r="G228" s="11">
        <f t="shared" si="362"/>
        <v>2.3200304433691737E-3</v>
      </c>
      <c r="H228" s="11">
        <f t="shared" si="363"/>
        <v>-3.7060713183952199E-3</v>
      </c>
      <c r="I228" s="11">
        <f t="shared" si="364"/>
        <v>1.5057782665666661E-2</v>
      </c>
      <c r="J228" s="15">
        <f t="shared" si="365"/>
        <v>-1.6332678648708059E-2</v>
      </c>
      <c r="K228" s="11">
        <f t="shared" si="366"/>
        <v>2.6045511566887579E-2</v>
      </c>
      <c r="N228" s="7">
        <f t="shared" ref="N228:N234" si="410">$A228</f>
        <v>0.75</v>
      </c>
      <c r="O228" s="9">
        <f>$B228</f>
        <v>2.0702506492346052E-2</v>
      </c>
      <c r="P228" s="7">
        <f t="shared" ref="P228:P233" si="411">N229</f>
        <v>1.75</v>
      </c>
      <c r="Q228" s="9">
        <f t="shared" ref="Q228:Q233" si="412">O229</f>
        <v>2.3715557373228249E-2</v>
      </c>
      <c r="R228" s="11">
        <f t="shared" ref="R228:R234" si="413">(Q228-O228)/(P228-N228)</f>
        <v>3.0130508808821968E-3</v>
      </c>
      <c r="S228" s="15">
        <f>T227</f>
        <v>0</v>
      </c>
      <c r="T228" s="11">
        <f t="shared" si="367"/>
        <v>2.3200304433691737E-3</v>
      </c>
      <c r="U228" s="11">
        <f t="shared" si="368"/>
        <v>-3.7060713183952199E-3</v>
      </c>
      <c r="V228" s="11">
        <f t="shared" si="369"/>
        <v>1.5057782665666661E-2</v>
      </c>
      <c r="W228" s="15">
        <f t="shared" si="370"/>
        <v>-1.6332678648708059E-2</v>
      </c>
      <c r="X228" s="11">
        <f t="shared" si="371"/>
        <v>2.6045511566887579E-2</v>
      </c>
      <c r="AA228" s="7">
        <f t="shared" ref="AA228:AA234" si="414">$A228</f>
        <v>0.75</v>
      </c>
      <c r="AB228" s="10">
        <f>$B228+Z226</f>
        <v>2.0712506492346051E-2</v>
      </c>
      <c r="AC228" s="7">
        <f t="shared" ref="AC228:AC233" si="415">AA229</f>
        <v>1.75</v>
      </c>
      <c r="AD228" s="9">
        <f t="shared" ref="AD228:AD233" si="416">AB229</f>
        <v>2.3715557373228249E-2</v>
      </c>
      <c r="AE228" s="11">
        <f t="shared" ref="AE228:AE234" si="417">(AD228-AB228)/(AC228-AA228)</f>
        <v>3.0030508808821972E-3</v>
      </c>
      <c r="AF228" s="15">
        <f>AG227</f>
        <v>0</v>
      </c>
      <c r="AG228" s="11">
        <f t="shared" si="372"/>
        <v>2.3150304433691739E-3</v>
      </c>
      <c r="AH228" s="11">
        <f t="shared" si="373"/>
        <v>-3.6910713183952205E-3</v>
      </c>
      <c r="AI228" s="11">
        <f t="shared" si="374"/>
        <v>1.4999032665666663E-2</v>
      </c>
      <c r="AJ228" s="15">
        <f t="shared" si="375"/>
        <v>-1.6269866148708061E-2</v>
      </c>
      <c r="AK228" s="11">
        <f t="shared" si="376"/>
        <v>2.6035120941887584E-2</v>
      </c>
      <c r="AN228" s="7">
        <f t="shared" ref="AN228:AN234" si="418">$A228</f>
        <v>0.75</v>
      </c>
      <c r="AO228" s="9">
        <f>$B228</f>
        <v>2.0702506492346052E-2</v>
      </c>
      <c r="AP228" s="7">
        <f t="shared" ref="AP228:AP233" si="419">AN229</f>
        <v>1.75</v>
      </c>
      <c r="AQ228" s="10">
        <f t="shared" ref="AQ228:AQ233" si="420">AO229</f>
        <v>2.3725557373228248E-2</v>
      </c>
      <c r="AR228" s="11">
        <f t="shared" ref="AR228:AR234" si="421">(AQ228-AO228)/(AP228-AN228)</f>
        <v>3.0230508808821964E-3</v>
      </c>
      <c r="AS228" s="15">
        <f>AT227</f>
        <v>0</v>
      </c>
      <c r="AT228" s="11">
        <f t="shared" si="377"/>
        <v>2.3200304433691737E-3</v>
      </c>
      <c r="AU228" s="11">
        <f t="shared" si="378"/>
        <v>-3.7260713183952191E-3</v>
      </c>
      <c r="AV228" s="11">
        <f t="shared" si="379"/>
        <v>1.5132782665666658E-2</v>
      </c>
      <c r="AW228" s="15">
        <f t="shared" si="380"/>
        <v>-1.6411428648708055E-2</v>
      </c>
      <c r="AX228" s="11">
        <f t="shared" si="381"/>
        <v>2.6070824066887582E-2</v>
      </c>
      <c r="BA228" s="7">
        <f t="shared" ref="BA228:BA234" si="422">$A228</f>
        <v>0.75</v>
      </c>
      <c r="BB228" s="9">
        <f t="shared" ref="BB228:BB234" si="423">$B228</f>
        <v>2.0702506492346052E-2</v>
      </c>
      <c r="BC228" s="7">
        <f t="shared" ref="BC228:BC233" si="424">BA229</f>
        <v>1.75</v>
      </c>
      <c r="BD228" s="9">
        <f>BB229</f>
        <v>2.3715557373228249E-2</v>
      </c>
      <c r="BE228" s="11">
        <f t="shared" ref="BE228:BE234" si="425">(BD228-BB228)/(BC228-BA228)</f>
        <v>3.0130508808821968E-3</v>
      </c>
      <c r="BF228" s="15">
        <f>BG227</f>
        <v>0</v>
      </c>
      <c r="BG228" s="11">
        <f t="shared" si="382"/>
        <v>2.3250304433691735E-3</v>
      </c>
      <c r="BH228" s="11">
        <f t="shared" si="383"/>
        <v>-3.7010713183952201E-3</v>
      </c>
      <c r="BI228" s="11">
        <f t="shared" si="384"/>
        <v>1.5041532665666662E-2</v>
      </c>
      <c r="BJ228" s="15">
        <f t="shared" si="385"/>
        <v>-1.6316741148708059E-2</v>
      </c>
      <c r="BK228" s="11">
        <f t="shared" si="386"/>
        <v>2.6040589691887581E-2</v>
      </c>
      <c r="BN228" s="7">
        <f t="shared" ref="BN228:BN234" si="426">$A228</f>
        <v>0.75</v>
      </c>
      <c r="BO228" s="9">
        <f t="shared" ref="BO228:BO234" si="427">$B228</f>
        <v>2.0702506492346052E-2</v>
      </c>
      <c r="BP228" s="7">
        <f t="shared" ref="BP228:BP233" si="428">BN229</f>
        <v>1.75</v>
      </c>
      <c r="BQ228" s="9">
        <f t="shared" ref="BQ228:BQ233" si="429">BO229</f>
        <v>2.3715557373228249E-2</v>
      </c>
      <c r="BR228" s="11">
        <f t="shared" ref="BR228:BR234" si="430">(BQ228-BO228)/(BP228-BN228)</f>
        <v>3.0130508808821968E-3</v>
      </c>
      <c r="BS228" s="15">
        <f>BT227</f>
        <v>0</v>
      </c>
      <c r="BT228" s="11">
        <f t="shared" si="387"/>
        <v>2.3200304433691737E-3</v>
      </c>
      <c r="BU228" s="11">
        <f t="shared" si="388"/>
        <v>-3.7060713183952199E-3</v>
      </c>
      <c r="BV228" s="11">
        <f t="shared" si="389"/>
        <v>1.5057782665666661E-2</v>
      </c>
      <c r="BW228" s="15">
        <f t="shared" si="390"/>
        <v>-1.6332678648708059E-2</v>
      </c>
      <c r="BX228" s="11">
        <f t="shared" si="391"/>
        <v>2.6045511566887579E-2</v>
      </c>
      <c r="CA228" s="7">
        <f t="shared" ref="CA228:CA234" si="431">$A228</f>
        <v>0.75</v>
      </c>
      <c r="CB228" s="9">
        <f t="shared" ref="CB228:CB234" si="432">$B228</f>
        <v>2.0702506492346052E-2</v>
      </c>
      <c r="CC228" s="7">
        <f t="shared" ref="CC228:CC233" si="433">CA229</f>
        <v>1.75</v>
      </c>
      <c r="CD228" s="9">
        <f t="shared" ref="CD228:CD233" si="434">CB229</f>
        <v>2.3715557373228249E-2</v>
      </c>
      <c r="CE228" s="11">
        <f t="shared" ref="CE228:CE234" si="435">(CD228-CB228)/(CC228-CA228)</f>
        <v>3.0130508808821968E-3</v>
      </c>
      <c r="CF228" s="15">
        <f>CG227</f>
        <v>0</v>
      </c>
      <c r="CG228" s="11">
        <f t="shared" si="392"/>
        <v>2.3200304433691737E-3</v>
      </c>
      <c r="CH228" s="11">
        <f t="shared" si="393"/>
        <v>-3.7060713183952199E-3</v>
      </c>
      <c r="CI228" s="11">
        <f t="shared" si="394"/>
        <v>1.5057782665666661E-2</v>
      </c>
      <c r="CJ228" s="15">
        <f t="shared" si="395"/>
        <v>-1.6332678648708059E-2</v>
      </c>
      <c r="CK228" s="11">
        <f t="shared" si="396"/>
        <v>2.6045511566887579E-2</v>
      </c>
      <c r="CN228" s="7">
        <f t="shared" ref="CN228:CN234" si="436">$A228</f>
        <v>0.75</v>
      </c>
      <c r="CO228" s="9">
        <f t="shared" ref="CO228:CO234" si="437">$B228</f>
        <v>2.0702506492346052E-2</v>
      </c>
      <c r="CP228" s="7">
        <f t="shared" ref="CP228:CP233" si="438">CN229</f>
        <v>1.75</v>
      </c>
      <c r="CQ228" s="9">
        <f t="shared" ref="CQ228:CQ233" si="439">CO229</f>
        <v>2.3715557373228249E-2</v>
      </c>
      <c r="CR228" s="11">
        <f t="shared" ref="CR228:CR234" si="440">(CQ228-CO228)/(CP228-CN228)</f>
        <v>3.0130508808821968E-3</v>
      </c>
      <c r="CS228" s="15">
        <f>CT227</f>
        <v>0</v>
      </c>
      <c r="CT228" s="11">
        <f t="shared" si="397"/>
        <v>2.3200304433691737E-3</v>
      </c>
      <c r="CU228" s="11">
        <f t="shared" si="398"/>
        <v>-3.7060713183952199E-3</v>
      </c>
      <c r="CV228" s="11">
        <f t="shared" si="399"/>
        <v>1.5057782665666661E-2</v>
      </c>
      <c r="CW228" s="15">
        <f t="shared" si="400"/>
        <v>-1.6332678648708059E-2</v>
      </c>
      <c r="CX228" s="11">
        <f t="shared" si="401"/>
        <v>2.6045511566887579E-2</v>
      </c>
      <c r="DA228" s="7">
        <f t="shared" ref="DA228:DA234" si="441">$A228</f>
        <v>0.75</v>
      </c>
      <c r="DB228" s="9">
        <f t="shared" ref="DB228:DB233" si="442">$B228</f>
        <v>2.0702506492346052E-2</v>
      </c>
      <c r="DC228" s="7">
        <f t="shared" ref="DC228:DC233" si="443">DA229</f>
        <v>1.75</v>
      </c>
      <c r="DD228" s="9">
        <f t="shared" ref="DD228:DD233" si="444">DB229</f>
        <v>2.3715557373228249E-2</v>
      </c>
      <c r="DE228" s="11">
        <f t="shared" ref="DE228:DE234" si="445">(DD228-DB228)/(DC228-DA228)</f>
        <v>3.0130508808821968E-3</v>
      </c>
      <c r="DF228" s="15">
        <f>DG227</f>
        <v>0</v>
      </c>
      <c r="DG228" s="11">
        <f t="shared" si="402"/>
        <v>2.3200304433691737E-3</v>
      </c>
      <c r="DH228" s="11">
        <f t="shared" si="403"/>
        <v>-3.7060713183952199E-3</v>
      </c>
      <c r="DI228" s="11">
        <f t="shared" si="404"/>
        <v>1.5057782665666661E-2</v>
      </c>
      <c r="DJ228" s="15">
        <f t="shared" si="405"/>
        <v>-1.6332678648708059E-2</v>
      </c>
      <c r="DK228" s="11">
        <f t="shared" si="406"/>
        <v>2.6045511566887579E-2</v>
      </c>
    </row>
    <row r="229" spans="1:115" x14ac:dyDescent="0.25">
      <c r="A229" s="7">
        <f t="shared" si="360"/>
        <v>1.75</v>
      </c>
      <c r="B229" s="9">
        <f t="shared" si="361"/>
        <v>2.3715557373228249E-2</v>
      </c>
      <c r="C229" s="7">
        <f t="shared" si="407"/>
        <v>2.75</v>
      </c>
      <c r="D229" s="9">
        <f t="shared" si="408"/>
        <v>2.5342567379084399E-2</v>
      </c>
      <c r="E229" s="11">
        <f t="shared" si="409"/>
        <v>1.6270100058561505E-3</v>
      </c>
      <c r="F229" s="15">
        <f t="shared" ref="F229:F234" si="446">G228</f>
        <v>2.3200304433691737E-3</v>
      </c>
      <c r="G229" s="11">
        <f t="shared" si="362"/>
        <v>1.2075955214208775E-3</v>
      </c>
      <c r="H229" s="11">
        <f t="shared" si="363"/>
        <v>2.7360595307775008E-4</v>
      </c>
      <c r="I229" s="11">
        <f t="shared" si="364"/>
        <v>-2.4030576442489611E-3</v>
      </c>
      <c r="J229" s="15">
        <f t="shared" si="365"/>
        <v>8.21697750433871E-3</v>
      </c>
      <c r="K229" s="11">
        <f t="shared" si="366"/>
        <v>1.5228853871371885E-2</v>
      </c>
      <c r="N229" s="7">
        <f t="shared" si="410"/>
        <v>1.75</v>
      </c>
      <c r="O229" s="9">
        <f t="shared" ref="O229:O234" si="447">$B229</f>
        <v>2.3715557373228249E-2</v>
      </c>
      <c r="P229" s="7">
        <f t="shared" si="411"/>
        <v>2.75</v>
      </c>
      <c r="Q229" s="9">
        <f t="shared" si="412"/>
        <v>2.5342567379084399E-2</v>
      </c>
      <c r="R229" s="11">
        <f t="shared" si="413"/>
        <v>1.6270100058561505E-3</v>
      </c>
      <c r="S229" s="15">
        <f t="shared" ref="S229:S234" si="448">T228</f>
        <v>2.3200304433691737E-3</v>
      </c>
      <c r="T229" s="11">
        <f t="shared" si="367"/>
        <v>1.2075955214208775E-3</v>
      </c>
      <c r="U229" s="11">
        <f t="shared" si="368"/>
        <v>2.7360595307775008E-4</v>
      </c>
      <c r="V229" s="11">
        <f t="shared" si="369"/>
        <v>-2.4030576442489611E-3</v>
      </c>
      <c r="W229" s="15">
        <f t="shared" si="370"/>
        <v>8.21697750433871E-3</v>
      </c>
      <c r="X229" s="11">
        <f t="shared" si="371"/>
        <v>1.5228853871371885E-2</v>
      </c>
      <c r="AA229" s="7">
        <f t="shared" si="414"/>
        <v>1.75</v>
      </c>
      <c r="AB229" s="9">
        <f t="shared" ref="AB229:AB234" si="449">$B229</f>
        <v>2.3715557373228249E-2</v>
      </c>
      <c r="AC229" s="7">
        <f t="shared" si="415"/>
        <v>2.75</v>
      </c>
      <c r="AD229" s="9">
        <f t="shared" si="416"/>
        <v>2.5342567379084399E-2</v>
      </c>
      <c r="AE229" s="11">
        <f t="shared" si="417"/>
        <v>1.6270100058561505E-3</v>
      </c>
      <c r="AF229" s="15">
        <f t="shared" ref="AF229:AF234" si="450">AG228</f>
        <v>2.3150304433691739E-3</v>
      </c>
      <c r="AG229" s="11">
        <f t="shared" si="372"/>
        <v>1.2075955214208775E-3</v>
      </c>
      <c r="AH229" s="11">
        <f t="shared" si="373"/>
        <v>2.6860595307775029E-4</v>
      </c>
      <c r="AI229" s="11">
        <f t="shared" si="374"/>
        <v>-2.3668076442489626E-3</v>
      </c>
      <c r="AJ229" s="15">
        <f t="shared" si="375"/>
        <v>8.1310400043387125E-3</v>
      </c>
      <c r="AK229" s="11">
        <f t="shared" si="376"/>
        <v>1.5295025746371885E-2</v>
      </c>
      <c r="AN229" s="7">
        <f t="shared" si="418"/>
        <v>1.75</v>
      </c>
      <c r="AO229" s="10">
        <f>$B229+AM226</f>
        <v>2.3725557373228248E-2</v>
      </c>
      <c r="AP229" s="7">
        <f t="shared" si="419"/>
        <v>2.75</v>
      </c>
      <c r="AQ229" s="9">
        <f t="shared" si="420"/>
        <v>2.5342567379084399E-2</v>
      </c>
      <c r="AR229" s="11">
        <f t="shared" si="421"/>
        <v>1.617010005856151E-3</v>
      </c>
      <c r="AS229" s="15">
        <f t="shared" ref="AS229:AS234" si="451">AT228</f>
        <v>2.3200304433691737E-3</v>
      </c>
      <c r="AT229" s="11">
        <f t="shared" si="377"/>
        <v>1.2025955214208777E-3</v>
      </c>
      <c r="AU229" s="11">
        <f t="shared" si="378"/>
        <v>2.8860595307774947E-4</v>
      </c>
      <c r="AV229" s="11">
        <f t="shared" si="379"/>
        <v>-2.5068076442489569E-3</v>
      </c>
      <c r="AW229" s="15">
        <f t="shared" si="380"/>
        <v>8.4422900043387011E-3</v>
      </c>
      <c r="AX229" s="11">
        <f t="shared" si="381"/>
        <v>1.5081900746371887E-2</v>
      </c>
      <c r="BA229" s="7">
        <f t="shared" si="422"/>
        <v>1.75</v>
      </c>
      <c r="BB229" s="9">
        <f t="shared" si="423"/>
        <v>2.3715557373228249E-2</v>
      </c>
      <c r="BC229" s="7">
        <f t="shared" si="424"/>
        <v>2.75</v>
      </c>
      <c r="BD229" s="10">
        <f t="shared" ref="BD229:BD233" si="452">BB230</f>
        <v>2.5352567379084399E-2</v>
      </c>
      <c r="BE229" s="11">
        <f t="shared" si="425"/>
        <v>1.6370100058561501E-3</v>
      </c>
      <c r="BF229" s="15">
        <f t="shared" ref="BF229:BF234" si="453">BG228</f>
        <v>2.3250304433691735E-3</v>
      </c>
      <c r="BG229" s="11">
        <f t="shared" si="382"/>
        <v>1.2075955214208775E-3</v>
      </c>
      <c r="BH229" s="11">
        <f t="shared" si="383"/>
        <v>2.5860595307775069E-4</v>
      </c>
      <c r="BI229" s="11">
        <f t="shared" si="384"/>
        <v>-2.3043076442489652E-3</v>
      </c>
      <c r="BJ229" s="15">
        <f t="shared" si="385"/>
        <v>8.0141650043387171E-3</v>
      </c>
      <c r="BK229" s="11">
        <f t="shared" si="386"/>
        <v>1.5361744496371878E-2</v>
      </c>
      <c r="BN229" s="7">
        <f t="shared" si="426"/>
        <v>1.75</v>
      </c>
      <c r="BO229" s="9">
        <f t="shared" si="427"/>
        <v>2.3715557373228249E-2</v>
      </c>
      <c r="BP229" s="7">
        <f t="shared" si="428"/>
        <v>2.75</v>
      </c>
      <c r="BQ229" s="9">
        <f t="shared" si="429"/>
        <v>2.5342567379084399E-2</v>
      </c>
      <c r="BR229" s="11">
        <f t="shared" si="430"/>
        <v>1.6270100058561505E-3</v>
      </c>
      <c r="BS229" s="15">
        <f t="shared" ref="BS229:BS234" si="454">BT228</f>
        <v>2.3200304433691737E-3</v>
      </c>
      <c r="BT229" s="11">
        <f t="shared" si="387"/>
        <v>1.2125955214208773E-3</v>
      </c>
      <c r="BU229" s="11">
        <f t="shared" si="388"/>
        <v>2.7860595307774988E-4</v>
      </c>
      <c r="BV229" s="11">
        <f t="shared" si="389"/>
        <v>-2.4343076442489599E-3</v>
      </c>
      <c r="BW229" s="15">
        <f t="shared" si="390"/>
        <v>8.2804150043387058E-3</v>
      </c>
      <c r="BX229" s="11">
        <f t="shared" si="391"/>
        <v>1.5186744496371887E-2</v>
      </c>
      <c r="CA229" s="7">
        <f t="shared" si="431"/>
        <v>1.75</v>
      </c>
      <c r="CB229" s="9">
        <f t="shared" si="432"/>
        <v>2.3715557373228249E-2</v>
      </c>
      <c r="CC229" s="7">
        <f t="shared" si="433"/>
        <v>2.75</v>
      </c>
      <c r="CD229" s="9">
        <f t="shared" si="434"/>
        <v>2.5342567379084399E-2</v>
      </c>
      <c r="CE229" s="11">
        <f t="shared" si="435"/>
        <v>1.6270100058561505E-3</v>
      </c>
      <c r="CF229" s="15">
        <f t="shared" ref="CF229:CF234" si="455">CG228</f>
        <v>2.3200304433691737E-3</v>
      </c>
      <c r="CG229" s="11">
        <f t="shared" si="392"/>
        <v>1.2075955214208775E-3</v>
      </c>
      <c r="CH229" s="11">
        <f t="shared" si="393"/>
        <v>2.7360595307775008E-4</v>
      </c>
      <c r="CI229" s="11">
        <f t="shared" si="394"/>
        <v>-2.4030576442489611E-3</v>
      </c>
      <c r="CJ229" s="15">
        <f t="shared" si="395"/>
        <v>8.21697750433871E-3</v>
      </c>
      <c r="CK229" s="11">
        <f t="shared" si="396"/>
        <v>1.5228853871371885E-2</v>
      </c>
      <c r="CN229" s="7">
        <f t="shared" si="436"/>
        <v>1.75</v>
      </c>
      <c r="CO229" s="9">
        <f t="shared" si="437"/>
        <v>2.3715557373228249E-2</v>
      </c>
      <c r="CP229" s="7">
        <f t="shared" si="438"/>
        <v>2.75</v>
      </c>
      <c r="CQ229" s="9">
        <f t="shared" si="439"/>
        <v>2.5342567379084399E-2</v>
      </c>
      <c r="CR229" s="11">
        <f t="shared" si="440"/>
        <v>1.6270100058561505E-3</v>
      </c>
      <c r="CS229" s="15">
        <f t="shared" ref="CS229:CS234" si="456">CT228</f>
        <v>2.3200304433691737E-3</v>
      </c>
      <c r="CT229" s="11">
        <f t="shared" si="397"/>
        <v>1.2075955214208775E-3</v>
      </c>
      <c r="CU229" s="11">
        <f t="shared" si="398"/>
        <v>2.7360595307775008E-4</v>
      </c>
      <c r="CV229" s="11">
        <f t="shared" si="399"/>
        <v>-2.4030576442489611E-3</v>
      </c>
      <c r="CW229" s="15">
        <f t="shared" si="400"/>
        <v>8.21697750433871E-3</v>
      </c>
      <c r="CX229" s="11">
        <f t="shared" si="401"/>
        <v>1.5228853871371885E-2</v>
      </c>
      <c r="DA229" s="7">
        <f t="shared" si="441"/>
        <v>1.75</v>
      </c>
      <c r="DB229" s="9">
        <f t="shared" si="442"/>
        <v>2.3715557373228249E-2</v>
      </c>
      <c r="DC229" s="7">
        <f t="shared" si="443"/>
        <v>2.75</v>
      </c>
      <c r="DD229" s="9">
        <f t="shared" si="444"/>
        <v>2.5342567379084399E-2</v>
      </c>
      <c r="DE229" s="11">
        <f t="shared" si="445"/>
        <v>1.6270100058561505E-3</v>
      </c>
      <c r="DF229" s="15">
        <f t="shared" ref="DF229:DF234" si="457">DG228</f>
        <v>2.3200304433691737E-3</v>
      </c>
      <c r="DG229" s="11">
        <f t="shared" si="402"/>
        <v>1.2075955214208775E-3</v>
      </c>
      <c r="DH229" s="11">
        <f t="shared" si="403"/>
        <v>2.7360595307775008E-4</v>
      </c>
      <c r="DI229" s="11">
        <f t="shared" si="404"/>
        <v>-2.4030576442489611E-3</v>
      </c>
      <c r="DJ229" s="15">
        <f t="shared" si="405"/>
        <v>8.21697750433871E-3</v>
      </c>
      <c r="DK229" s="11">
        <f t="shared" si="406"/>
        <v>1.5228853871371885E-2</v>
      </c>
    </row>
    <row r="230" spans="1:115" x14ac:dyDescent="0.25">
      <c r="A230" s="7">
        <f t="shared" si="360"/>
        <v>2.75</v>
      </c>
      <c r="B230" s="9">
        <f t="shared" si="361"/>
        <v>2.5342567379084399E-2</v>
      </c>
      <c r="C230" s="7">
        <f t="shared" si="407"/>
        <v>3.75</v>
      </c>
      <c r="D230" s="9">
        <f t="shared" si="408"/>
        <v>2.6130748416070004E-2</v>
      </c>
      <c r="E230" s="11">
        <f t="shared" si="409"/>
        <v>7.8818103698560446E-4</v>
      </c>
      <c r="F230" s="15">
        <f t="shared" si="446"/>
        <v>1.2075955214208775E-3</v>
      </c>
      <c r="G230" s="11">
        <f t="shared" si="362"/>
        <v>1.1383075330686238E-3</v>
      </c>
      <c r="H230" s="11">
        <f t="shared" si="363"/>
        <v>7.6954098051829241E-4</v>
      </c>
      <c r="I230" s="11">
        <f t="shared" si="364"/>
        <v>-7.5376685542294774E-3</v>
      </c>
      <c r="J230" s="15">
        <f t="shared" si="365"/>
        <v>2.5205811574174248E-2</v>
      </c>
      <c r="K230" s="11">
        <f t="shared" si="366"/>
        <v>-2.9738435877507269E-3</v>
      </c>
      <c r="N230" s="7">
        <f t="shared" si="410"/>
        <v>2.75</v>
      </c>
      <c r="O230" s="9">
        <f t="shared" si="447"/>
        <v>2.5342567379084399E-2</v>
      </c>
      <c r="P230" s="7">
        <f t="shared" si="411"/>
        <v>3.75</v>
      </c>
      <c r="Q230" s="9">
        <f t="shared" si="412"/>
        <v>2.6130748416070004E-2</v>
      </c>
      <c r="R230" s="11">
        <f t="shared" si="413"/>
        <v>7.8818103698560446E-4</v>
      </c>
      <c r="S230" s="15">
        <f t="shared" si="448"/>
        <v>1.2075955214208775E-3</v>
      </c>
      <c r="T230" s="11">
        <f t="shared" si="367"/>
        <v>1.1383075330686238E-3</v>
      </c>
      <c r="U230" s="11">
        <f t="shared" si="368"/>
        <v>7.6954098051829241E-4</v>
      </c>
      <c r="V230" s="11">
        <f t="shared" si="369"/>
        <v>-7.5376685542294774E-3</v>
      </c>
      <c r="W230" s="15">
        <f t="shared" si="370"/>
        <v>2.5205811574174248E-2</v>
      </c>
      <c r="X230" s="11">
        <f t="shared" si="371"/>
        <v>-2.9738435877507269E-3</v>
      </c>
      <c r="AA230" s="7">
        <f t="shared" si="414"/>
        <v>2.75</v>
      </c>
      <c r="AB230" s="9">
        <f t="shared" si="449"/>
        <v>2.5342567379084399E-2</v>
      </c>
      <c r="AC230" s="7">
        <f t="shared" si="415"/>
        <v>3.75</v>
      </c>
      <c r="AD230" s="9">
        <f t="shared" si="416"/>
        <v>2.6130748416070004E-2</v>
      </c>
      <c r="AE230" s="11">
        <f t="shared" si="417"/>
        <v>7.8818103698560446E-4</v>
      </c>
      <c r="AF230" s="15">
        <f t="shared" si="450"/>
        <v>1.2075955214208775E-3</v>
      </c>
      <c r="AG230" s="11">
        <f t="shared" si="372"/>
        <v>1.1383075330686238E-3</v>
      </c>
      <c r="AH230" s="11">
        <f t="shared" si="373"/>
        <v>7.6954098051829241E-4</v>
      </c>
      <c r="AI230" s="11">
        <f t="shared" si="374"/>
        <v>-7.5376685542294774E-3</v>
      </c>
      <c r="AJ230" s="15">
        <f t="shared" si="375"/>
        <v>2.5205811574174248E-2</v>
      </c>
      <c r="AK230" s="11">
        <f t="shared" si="376"/>
        <v>-2.9738435877507269E-3</v>
      </c>
      <c r="AN230" s="7">
        <f t="shared" si="418"/>
        <v>2.75</v>
      </c>
      <c r="AO230" s="9">
        <f t="shared" ref="AO230:AO234" si="458">$B230</f>
        <v>2.5342567379084399E-2</v>
      </c>
      <c r="AP230" s="7">
        <f t="shared" si="419"/>
        <v>3.75</v>
      </c>
      <c r="AQ230" s="9">
        <f t="shared" si="420"/>
        <v>2.6130748416070004E-2</v>
      </c>
      <c r="AR230" s="11">
        <f t="shared" si="421"/>
        <v>7.8818103698560446E-4</v>
      </c>
      <c r="AS230" s="15">
        <f t="shared" si="451"/>
        <v>1.2025955214208777E-3</v>
      </c>
      <c r="AT230" s="11">
        <f t="shared" si="377"/>
        <v>1.1383075330686238E-3</v>
      </c>
      <c r="AU230" s="11">
        <f t="shared" si="378"/>
        <v>7.6454098051829261E-4</v>
      </c>
      <c r="AV230" s="11">
        <f t="shared" si="379"/>
        <v>-7.4864185542294799E-3</v>
      </c>
      <c r="AW230" s="15">
        <f t="shared" si="380"/>
        <v>2.5032374074174257E-2</v>
      </c>
      <c r="AX230" s="11">
        <f t="shared" si="381"/>
        <v>-2.7804842127507334E-3</v>
      </c>
      <c r="BA230" s="7">
        <f t="shared" si="422"/>
        <v>2.75</v>
      </c>
      <c r="BB230" s="10">
        <f>$B230+AZ226</f>
        <v>2.5352567379084399E-2</v>
      </c>
      <c r="BC230" s="7">
        <f t="shared" si="424"/>
        <v>3.75</v>
      </c>
      <c r="BD230" s="9">
        <f t="shared" si="452"/>
        <v>2.6130748416070004E-2</v>
      </c>
      <c r="BE230" s="11">
        <f t="shared" si="425"/>
        <v>7.7818103698560487E-4</v>
      </c>
      <c r="BF230" s="15">
        <f t="shared" si="453"/>
        <v>1.2075955214208775E-3</v>
      </c>
      <c r="BG230" s="11">
        <f t="shared" si="382"/>
        <v>1.133307533068624E-3</v>
      </c>
      <c r="BH230" s="11">
        <f t="shared" si="383"/>
        <v>7.845409805182918E-4</v>
      </c>
      <c r="BI230" s="11">
        <f t="shared" si="384"/>
        <v>-7.6864185542294718E-3</v>
      </c>
      <c r="BJ230" s="15">
        <f t="shared" si="385"/>
        <v>2.5683624074174228E-2</v>
      </c>
      <c r="BK230" s="11">
        <f t="shared" si="386"/>
        <v>-3.4648592127506928E-3</v>
      </c>
      <c r="BN230" s="7">
        <f t="shared" si="426"/>
        <v>2.75</v>
      </c>
      <c r="BO230" s="9">
        <f t="shared" si="427"/>
        <v>2.5342567379084399E-2</v>
      </c>
      <c r="BP230" s="7">
        <f t="shared" si="428"/>
        <v>3.75</v>
      </c>
      <c r="BQ230" s="10">
        <f t="shared" si="429"/>
        <v>2.6140748416070003E-2</v>
      </c>
      <c r="BR230" s="11">
        <f t="shared" si="430"/>
        <v>7.9818103698560405E-4</v>
      </c>
      <c r="BS230" s="15">
        <f t="shared" si="454"/>
        <v>1.2125955214208773E-3</v>
      </c>
      <c r="BT230" s="11">
        <f t="shared" si="387"/>
        <v>1.1383075330686238E-3</v>
      </c>
      <c r="BU230" s="11">
        <f t="shared" si="388"/>
        <v>7.5454098051829302E-4</v>
      </c>
      <c r="BV230" s="11">
        <f t="shared" si="389"/>
        <v>-7.3939185542294837E-3</v>
      </c>
      <c r="BW230" s="15">
        <f t="shared" si="390"/>
        <v>2.4760499074174262E-2</v>
      </c>
      <c r="BX230" s="11">
        <f t="shared" si="391"/>
        <v>-2.5243904627507419E-3</v>
      </c>
      <c r="CA230" s="7">
        <f t="shared" si="431"/>
        <v>2.75</v>
      </c>
      <c r="CB230" s="9">
        <f t="shared" si="432"/>
        <v>2.5342567379084399E-2</v>
      </c>
      <c r="CC230" s="7">
        <f t="shared" si="433"/>
        <v>3.75</v>
      </c>
      <c r="CD230" s="9">
        <f t="shared" si="434"/>
        <v>2.6130748416070004E-2</v>
      </c>
      <c r="CE230" s="11">
        <f t="shared" si="435"/>
        <v>7.8818103698560446E-4</v>
      </c>
      <c r="CF230" s="15">
        <f t="shared" si="455"/>
        <v>1.2075955214208775E-3</v>
      </c>
      <c r="CG230" s="11">
        <f t="shared" si="392"/>
        <v>1.1433075330686236E-3</v>
      </c>
      <c r="CH230" s="11">
        <f t="shared" si="393"/>
        <v>7.745409805182922E-4</v>
      </c>
      <c r="CI230" s="11">
        <f t="shared" si="394"/>
        <v>-7.5839185542294759E-3</v>
      </c>
      <c r="CJ230" s="15">
        <f t="shared" si="395"/>
        <v>2.5346749074174238E-2</v>
      </c>
      <c r="CK230" s="11">
        <f t="shared" si="396"/>
        <v>-3.1156404627507017E-3</v>
      </c>
      <c r="CN230" s="7">
        <f t="shared" si="436"/>
        <v>2.75</v>
      </c>
      <c r="CO230" s="9">
        <f t="shared" si="437"/>
        <v>2.5342567379084399E-2</v>
      </c>
      <c r="CP230" s="7">
        <f t="shared" si="438"/>
        <v>3.75</v>
      </c>
      <c r="CQ230" s="9">
        <f t="shared" si="439"/>
        <v>2.6130748416070004E-2</v>
      </c>
      <c r="CR230" s="11">
        <f t="shared" si="440"/>
        <v>7.8818103698560446E-4</v>
      </c>
      <c r="CS230" s="15">
        <f t="shared" si="456"/>
        <v>1.2075955214208775E-3</v>
      </c>
      <c r="CT230" s="11">
        <f t="shared" si="397"/>
        <v>1.1383075330686238E-3</v>
      </c>
      <c r="CU230" s="11">
        <f t="shared" si="398"/>
        <v>7.6954098051829241E-4</v>
      </c>
      <c r="CV230" s="11">
        <f t="shared" si="399"/>
        <v>-7.5376685542294774E-3</v>
      </c>
      <c r="CW230" s="15">
        <f t="shared" si="400"/>
        <v>2.5205811574174248E-2</v>
      </c>
      <c r="CX230" s="11">
        <f t="shared" si="401"/>
        <v>-2.9738435877507269E-3</v>
      </c>
      <c r="DA230" s="7">
        <f t="shared" si="441"/>
        <v>2.75</v>
      </c>
      <c r="DB230" s="9">
        <f t="shared" si="442"/>
        <v>2.5342567379084399E-2</v>
      </c>
      <c r="DC230" s="7">
        <f t="shared" si="443"/>
        <v>3.75</v>
      </c>
      <c r="DD230" s="9">
        <f t="shared" si="444"/>
        <v>2.6130748416070004E-2</v>
      </c>
      <c r="DE230" s="11">
        <f t="shared" si="445"/>
        <v>7.8818103698560446E-4</v>
      </c>
      <c r="DF230" s="15">
        <f t="shared" si="457"/>
        <v>1.2075955214208775E-3</v>
      </c>
      <c r="DG230" s="11">
        <f t="shared" si="402"/>
        <v>1.1383075330686238E-3</v>
      </c>
      <c r="DH230" s="11">
        <f t="shared" si="403"/>
        <v>7.6954098051829241E-4</v>
      </c>
      <c r="DI230" s="11">
        <f t="shared" si="404"/>
        <v>-7.5376685542294774E-3</v>
      </c>
      <c r="DJ230" s="15">
        <f t="shared" si="405"/>
        <v>2.5205811574174248E-2</v>
      </c>
      <c r="DK230" s="11">
        <f t="shared" si="406"/>
        <v>-2.9738435877507269E-3</v>
      </c>
    </row>
    <row r="231" spans="1:115" x14ac:dyDescent="0.25">
      <c r="A231" s="7">
        <f t="shared" si="360"/>
        <v>3.75</v>
      </c>
      <c r="B231" s="9">
        <f t="shared" si="361"/>
        <v>2.6130748416070004E-2</v>
      </c>
      <c r="C231" s="7">
        <f t="shared" si="407"/>
        <v>4.75</v>
      </c>
      <c r="D231" s="9">
        <f t="shared" si="408"/>
        <v>2.7619182445221647E-2</v>
      </c>
      <c r="E231" s="11">
        <f t="shared" si="409"/>
        <v>1.4884340291516432E-3</v>
      </c>
      <c r="F231" s="15">
        <f t="shared" si="446"/>
        <v>1.1383075330686238E-3</v>
      </c>
      <c r="G231" s="11">
        <f t="shared" si="362"/>
        <v>8.4473479846609249E-4</v>
      </c>
      <c r="H231" s="11">
        <f t="shared" si="363"/>
        <v>-9.9382572676857007E-4</v>
      </c>
      <c r="I231" s="11">
        <f t="shared" si="364"/>
        <v>1.2524491648998003E-2</v>
      </c>
      <c r="J231" s="15">
        <f t="shared" si="365"/>
        <v>-5.0868356986367359E-2</v>
      </c>
      <c r="K231" s="11">
        <f t="shared" si="366"/>
        <v>9.3170201860974494E-2</v>
      </c>
      <c r="N231" s="7">
        <f t="shared" si="410"/>
        <v>3.75</v>
      </c>
      <c r="O231" s="9">
        <f t="shared" si="447"/>
        <v>2.6130748416070004E-2</v>
      </c>
      <c r="P231" s="7">
        <f t="shared" si="411"/>
        <v>4.75</v>
      </c>
      <c r="Q231" s="9">
        <f t="shared" si="412"/>
        <v>2.7619182445221647E-2</v>
      </c>
      <c r="R231" s="11">
        <f t="shared" si="413"/>
        <v>1.4884340291516432E-3</v>
      </c>
      <c r="S231" s="15">
        <f t="shared" si="448"/>
        <v>1.1383075330686238E-3</v>
      </c>
      <c r="T231" s="11">
        <f t="shared" si="367"/>
        <v>8.4473479846609249E-4</v>
      </c>
      <c r="U231" s="11">
        <f t="shared" si="368"/>
        <v>-9.9382572676857007E-4</v>
      </c>
      <c r="V231" s="11">
        <f t="shared" si="369"/>
        <v>1.2524491648998003E-2</v>
      </c>
      <c r="W231" s="15">
        <f t="shared" si="370"/>
        <v>-5.0868356986367359E-2</v>
      </c>
      <c r="X231" s="11">
        <f t="shared" si="371"/>
        <v>9.3170201860974494E-2</v>
      </c>
      <c r="AA231" s="7">
        <f t="shared" si="414"/>
        <v>3.75</v>
      </c>
      <c r="AB231" s="9">
        <f t="shared" si="449"/>
        <v>2.6130748416070004E-2</v>
      </c>
      <c r="AC231" s="7">
        <f t="shared" si="415"/>
        <v>4.75</v>
      </c>
      <c r="AD231" s="9">
        <f t="shared" si="416"/>
        <v>2.7619182445221647E-2</v>
      </c>
      <c r="AE231" s="11">
        <f t="shared" si="417"/>
        <v>1.4884340291516432E-3</v>
      </c>
      <c r="AF231" s="15">
        <f t="shared" si="450"/>
        <v>1.1383075330686238E-3</v>
      </c>
      <c r="AG231" s="11">
        <f t="shared" si="372"/>
        <v>8.4473479846609249E-4</v>
      </c>
      <c r="AH231" s="11">
        <f t="shared" si="373"/>
        <v>-9.9382572676857007E-4</v>
      </c>
      <c r="AI231" s="11">
        <f t="shared" si="374"/>
        <v>1.2524491648998003E-2</v>
      </c>
      <c r="AJ231" s="15">
        <f t="shared" si="375"/>
        <v>-5.0868356986367359E-2</v>
      </c>
      <c r="AK231" s="11">
        <f t="shared" si="376"/>
        <v>9.3170201860974494E-2</v>
      </c>
      <c r="AN231" s="7">
        <f t="shared" si="418"/>
        <v>3.75</v>
      </c>
      <c r="AO231" s="9">
        <f t="shared" si="458"/>
        <v>2.6130748416070004E-2</v>
      </c>
      <c r="AP231" s="7">
        <f t="shared" si="419"/>
        <v>4.75</v>
      </c>
      <c r="AQ231" s="9">
        <f t="shared" si="420"/>
        <v>2.7619182445221647E-2</v>
      </c>
      <c r="AR231" s="11">
        <f t="shared" si="421"/>
        <v>1.4884340291516432E-3</v>
      </c>
      <c r="AS231" s="15">
        <f t="shared" si="451"/>
        <v>1.1383075330686238E-3</v>
      </c>
      <c r="AT231" s="11">
        <f t="shared" si="377"/>
        <v>8.4473479846609249E-4</v>
      </c>
      <c r="AU231" s="11">
        <f t="shared" si="378"/>
        <v>-9.9382572676857007E-4</v>
      </c>
      <c r="AV231" s="11">
        <f t="shared" si="379"/>
        <v>1.2524491648998003E-2</v>
      </c>
      <c r="AW231" s="15">
        <f t="shared" si="380"/>
        <v>-5.0868356986367359E-2</v>
      </c>
      <c r="AX231" s="11">
        <f t="shared" si="381"/>
        <v>9.3170201860974494E-2</v>
      </c>
      <c r="BA231" s="7">
        <f t="shared" si="422"/>
        <v>3.75</v>
      </c>
      <c r="BB231" s="9">
        <f t="shared" si="423"/>
        <v>2.6130748416070004E-2</v>
      </c>
      <c r="BC231" s="7">
        <f t="shared" si="424"/>
        <v>4.75</v>
      </c>
      <c r="BD231" s="9">
        <f t="shared" si="452"/>
        <v>2.7619182445221647E-2</v>
      </c>
      <c r="BE231" s="11">
        <f t="shared" si="425"/>
        <v>1.4884340291516432E-3</v>
      </c>
      <c r="BF231" s="15">
        <f t="shared" si="453"/>
        <v>1.133307533068624E-3</v>
      </c>
      <c r="BG231" s="11">
        <f t="shared" si="382"/>
        <v>8.4473479846609249E-4</v>
      </c>
      <c r="BH231" s="11">
        <f t="shared" si="383"/>
        <v>-9.9882572676856986E-4</v>
      </c>
      <c r="BI231" s="11">
        <f t="shared" si="384"/>
        <v>1.2590741648998E-2</v>
      </c>
      <c r="BJ231" s="15">
        <f t="shared" si="385"/>
        <v>-5.1159294486367322E-2</v>
      </c>
      <c r="BK231" s="11">
        <f t="shared" si="386"/>
        <v>9.3593248735974369E-2</v>
      </c>
      <c r="BN231" s="7">
        <f t="shared" si="426"/>
        <v>3.75</v>
      </c>
      <c r="BO231" s="10">
        <f>$B231+BM226</f>
        <v>2.6140748416070003E-2</v>
      </c>
      <c r="BP231" s="7">
        <f t="shared" si="428"/>
        <v>4.75</v>
      </c>
      <c r="BQ231" s="9">
        <f t="shared" si="429"/>
        <v>2.7619182445221647E-2</v>
      </c>
      <c r="BR231" s="11">
        <f t="shared" si="430"/>
        <v>1.4784340291516436E-3</v>
      </c>
      <c r="BS231" s="15">
        <f t="shared" si="454"/>
        <v>1.1383075330686238E-3</v>
      </c>
      <c r="BT231" s="11">
        <f t="shared" si="387"/>
        <v>8.3973479846609269E-4</v>
      </c>
      <c r="BU231" s="11">
        <f t="shared" si="388"/>
        <v>-9.7882572676857068E-4</v>
      </c>
      <c r="BV231" s="11">
        <f t="shared" si="389"/>
        <v>1.2330741648998011E-2</v>
      </c>
      <c r="BW231" s="15">
        <f t="shared" si="390"/>
        <v>-5.0048044486367391E-2</v>
      </c>
      <c r="BX231" s="11">
        <f t="shared" si="391"/>
        <v>9.2037623735974544E-2</v>
      </c>
      <c r="CA231" s="7">
        <f t="shared" si="431"/>
        <v>3.75</v>
      </c>
      <c r="CB231" s="9">
        <f t="shared" si="432"/>
        <v>2.6130748416070004E-2</v>
      </c>
      <c r="CC231" s="7">
        <f t="shared" si="433"/>
        <v>4.75</v>
      </c>
      <c r="CD231" s="10">
        <f t="shared" si="434"/>
        <v>2.7629182445221646E-2</v>
      </c>
      <c r="CE231" s="11">
        <f t="shared" si="435"/>
        <v>1.4984340291516428E-3</v>
      </c>
      <c r="CF231" s="15">
        <f t="shared" si="455"/>
        <v>1.1433075330686236E-3</v>
      </c>
      <c r="CG231" s="11">
        <f t="shared" si="392"/>
        <v>8.4723479846609238E-4</v>
      </c>
      <c r="CH231" s="11">
        <f t="shared" si="393"/>
        <v>-1.0063257267685696E-3</v>
      </c>
      <c r="CI231" s="11">
        <f t="shared" si="394"/>
        <v>1.2682616648997997E-2</v>
      </c>
      <c r="CJ231" s="15">
        <f t="shared" si="395"/>
        <v>-5.1521950736367318E-2</v>
      </c>
      <c r="CK231" s="11">
        <f t="shared" si="396"/>
        <v>9.4056725298474406E-2</v>
      </c>
      <c r="CN231" s="7">
        <f t="shared" si="436"/>
        <v>3.75</v>
      </c>
      <c r="CO231" s="9">
        <f t="shared" si="437"/>
        <v>2.6130748416070004E-2</v>
      </c>
      <c r="CP231" s="7">
        <f t="shared" si="438"/>
        <v>4.75</v>
      </c>
      <c r="CQ231" s="9">
        <f t="shared" si="439"/>
        <v>2.7619182445221647E-2</v>
      </c>
      <c r="CR231" s="11">
        <f t="shared" si="440"/>
        <v>1.4884340291516432E-3</v>
      </c>
      <c r="CS231" s="15">
        <f t="shared" si="456"/>
        <v>1.1383075330686238E-3</v>
      </c>
      <c r="CT231" s="11">
        <f t="shared" si="397"/>
        <v>8.4723479846609238E-4</v>
      </c>
      <c r="CU231" s="11">
        <f t="shared" si="398"/>
        <v>-9.9132572676857017E-4</v>
      </c>
      <c r="CV231" s="11">
        <f t="shared" si="399"/>
        <v>1.2493866648998004E-2</v>
      </c>
      <c r="CW231" s="15">
        <f t="shared" si="400"/>
        <v>-5.074413823636735E-2</v>
      </c>
      <c r="CX231" s="11">
        <f t="shared" si="401"/>
        <v>9.3003209673474446E-2</v>
      </c>
      <c r="DA231" s="7">
        <f t="shared" si="441"/>
        <v>3.75</v>
      </c>
      <c r="DB231" s="9">
        <f t="shared" si="442"/>
        <v>2.6130748416070004E-2</v>
      </c>
      <c r="DC231" s="7">
        <f t="shared" si="443"/>
        <v>4.75</v>
      </c>
      <c r="DD231" s="9">
        <f t="shared" si="444"/>
        <v>2.7619182445221647E-2</v>
      </c>
      <c r="DE231" s="11">
        <f t="shared" si="445"/>
        <v>1.4884340291516432E-3</v>
      </c>
      <c r="DF231" s="15">
        <f t="shared" si="457"/>
        <v>1.1383075330686238E-3</v>
      </c>
      <c r="DG231" s="11">
        <f t="shared" si="402"/>
        <v>8.4473479846609249E-4</v>
      </c>
      <c r="DH231" s="11">
        <f t="shared" si="403"/>
        <v>-9.9382572676857007E-4</v>
      </c>
      <c r="DI231" s="11">
        <f t="shared" si="404"/>
        <v>1.2524491648998003E-2</v>
      </c>
      <c r="DJ231" s="15">
        <f t="shared" si="405"/>
        <v>-5.0868356986367359E-2</v>
      </c>
      <c r="DK231" s="11">
        <f t="shared" si="406"/>
        <v>9.3170201860974494E-2</v>
      </c>
    </row>
    <row r="232" spans="1:115" x14ac:dyDescent="0.25">
      <c r="A232" s="7">
        <f t="shared" si="360"/>
        <v>4.75</v>
      </c>
      <c r="B232" s="9">
        <f t="shared" si="361"/>
        <v>2.7619182445221647E-2</v>
      </c>
      <c r="C232" s="7">
        <f t="shared" si="407"/>
        <v>6.75</v>
      </c>
      <c r="D232" s="9">
        <f t="shared" si="408"/>
        <v>2.802125358078273E-2</v>
      </c>
      <c r="E232" s="11">
        <f t="shared" si="409"/>
        <v>2.0103556778054178E-4</v>
      </c>
      <c r="F232" s="15">
        <f t="shared" si="446"/>
        <v>8.4473479846609249E-4</v>
      </c>
      <c r="G232" s="11">
        <f t="shared" si="362"/>
        <v>6.4328211842791267E-4</v>
      </c>
      <c r="H232" s="11">
        <f t="shared" si="363"/>
        <v>2.714864453332304E-4</v>
      </c>
      <c r="I232" s="11">
        <f t="shared" si="364"/>
        <v>-4.7335043520077696E-3</v>
      </c>
      <c r="J232" s="15">
        <f t="shared" si="365"/>
        <v>2.7436787374046871E-2</v>
      </c>
      <c r="K232" s="11">
        <f t="shared" si="366"/>
        <v>-2.5001577022773003E-2</v>
      </c>
      <c r="N232" s="7">
        <f t="shared" si="410"/>
        <v>4.75</v>
      </c>
      <c r="O232" s="9">
        <f t="shared" si="447"/>
        <v>2.7619182445221647E-2</v>
      </c>
      <c r="P232" s="7">
        <f t="shared" si="411"/>
        <v>6.75</v>
      </c>
      <c r="Q232" s="9">
        <f t="shared" si="412"/>
        <v>2.802125358078273E-2</v>
      </c>
      <c r="R232" s="11">
        <f t="shared" si="413"/>
        <v>2.0103556778054178E-4</v>
      </c>
      <c r="S232" s="15">
        <f t="shared" si="448"/>
        <v>8.4473479846609249E-4</v>
      </c>
      <c r="T232" s="11">
        <f t="shared" si="367"/>
        <v>6.4328211842791267E-4</v>
      </c>
      <c r="U232" s="11">
        <f t="shared" si="368"/>
        <v>2.714864453332304E-4</v>
      </c>
      <c r="V232" s="11">
        <f t="shared" si="369"/>
        <v>-4.7335043520077696E-3</v>
      </c>
      <c r="W232" s="15">
        <f t="shared" si="370"/>
        <v>2.7436787374046871E-2</v>
      </c>
      <c r="X232" s="11">
        <f t="shared" si="371"/>
        <v>-2.5001577022773003E-2</v>
      </c>
      <c r="AA232" s="7">
        <f t="shared" si="414"/>
        <v>4.75</v>
      </c>
      <c r="AB232" s="9">
        <f t="shared" si="449"/>
        <v>2.7619182445221647E-2</v>
      </c>
      <c r="AC232" s="7">
        <f t="shared" si="415"/>
        <v>6.75</v>
      </c>
      <c r="AD232" s="9">
        <f t="shared" si="416"/>
        <v>2.802125358078273E-2</v>
      </c>
      <c r="AE232" s="11">
        <f t="shared" si="417"/>
        <v>2.0103556778054178E-4</v>
      </c>
      <c r="AF232" s="15">
        <f t="shared" si="450"/>
        <v>8.4473479846609249E-4</v>
      </c>
      <c r="AG232" s="11">
        <f t="shared" si="372"/>
        <v>6.4328211842791267E-4</v>
      </c>
      <c r="AH232" s="11">
        <f t="shared" si="373"/>
        <v>2.714864453332304E-4</v>
      </c>
      <c r="AI232" s="11">
        <f t="shared" si="374"/>
        <v>-4.7335043520077696E-3</v>
      </c>
      <c r="AJ232" s="15">
        <f t="shared" si="375"/>
        <v>2.7436787374046871E-2</v>
      </c>
      <c r="AK232" s="11">
        <f t="shared" si="376"/>
        <v>-2.5001577022773003E-2</v>
      </c>
      <c r="AN232" s="7">
        <f t="shared" si="418"/>
        <v>4.75</v>
      </c>
      <c r="AO232" s="9">
        <f t="shared" si="458"/>
        <v>2.7619182445221647E-2</v>
      </c>
      <c r="AP232" s="7">
        <f t="shared" si="419"/>
        <v>6.75</v>
      </c>
      <c r="AQ232" s="9">
        <f t="shared" si="420"/>
        <v>2.802125358078273E-2</v>
      </c>
      <c r="AR232" s="11">
        <f t="shared" si="421"/>
        <v>2.0103556778054178E-4</v>
      </c>
      <c r="AS232" s="15">
        <f t="shared" si="451"/>
        <v>8.4473479846609249E-4</v>
      </c>
      <c r="AT232" s="11">
        <f t="shared" si="377"/>
        <v>6.4328211842791267E-4</v>
      </c>
      <c r="AU232" s="11">
        <f t="shared" si="378"/>
        <v>2.714864453332304E-4</v>
      </c>
      <c r="AV232" s="11">
        <f t="shared" si="379"/>
        <v>-4.7335043520077696E-3</v>
      </c>
      <c r="AW232" s="15">
        <f t="shared" si="380"/>
        <v>2.7436787374046871E-2</v>
      </c>
      <c r="AX232" s="11">
        <f t="shared" si="381"/>
        <v>-2.5001577022773003E-2</v>
      </c>
      <c r="BA232" s="7">
        <f t="shared" si="422"/>
        <v>4.75</v>
      </c>
      <c r="BB232" s="9">
        <f t="shared" si="423"/>
        <v>2.7619182445221647E-2</v>
      </c>
      <c r="BC232" s="7">
        <f t="shared" si="424"/>
        <v>6.75</v>
      </c>
      <c r="BD232" s="9">
        <f t="shared" si="452"/>
        <v>2.802125358078273E-2</v>
      </c>
      <c r="BE232" s="11">
        <f t="shared" si="425"/>
        <v>2.0103556778054178E-4</v>
      </c>
      <c r="BF232" s="15">
        <f t="shared" si="453"/>
        <v>8.4473479846609249E-4</v>
      </c>
      <c r="BG232" s="11">
        <f t="shared" si="382"/>
        <v>6.4328211842791267E-4</v>
      </c>
      <c r="BH232" s="11">
        <f t="shared" si="383"/>
        <v>2.714864453332304E-4</v>
      </c>
      <c r="BI232" s="11">
        <f t="shared" si="384"/>
        <v>-4.7335043520077696E-3</v>
      </c>
      <c r="BJ232" s="15">
        <f t="shared" si="385"/>
        <v>2.7436787374046871E-2</v>
      </c>
      <c r="BK232" s="11">
        <f t="shared" si="386"/>
        <v>-2.5001577022773003E-2</v>
      </c>
      <c r="BN232" s="7">
        <f t="shared" si="426"/>
        <v>4.75</v>
      </c>
      <c r="BO232" s="9">
        <f t="shared" si="427"/>
        <v>2.7619182445221647E-2</v>
      </c>
      <c r="BP232" s="7">
        <f t="shared" si="428"/>
        <v>6.75</v>
      </c>
      <c r="BQ232" s="9">
        <f t="shared" si="429"/>
        <v>2.802125358078273E-2</v>
      </c>
      <c r="BR232" s="11">
        <f t="shared" si="430"/>
        <v>2.0103556778054178E-4</v>
      </c>
      <c r="BS232" s="15">
        <f t="shared" si="454"/>
        <v>8.3973479846609269E-4</v>
      </c>
      <c r="BT232" s="11">
        <f t="shared" si="387"/>
        <v>6.4328211842791267E-4</v>
      </c>
      <c r="BU232" s="11">
        <f t="shared" si="388"/>
        <v>2.7023644533323045E-4</v>
      </c>
      <c r="BV232" s="11">
        <f t="shared" si="389"/>
        <v>-4.7106918520077694E-3</v>
      </c>
      <c r="BW232" s="15">
        <f t="shared" si="390"/>
        <v>2.7299677999046864E-2</v>
      </c>
      <c r="BX232" s="11">
        <f t="shared" si="391"/>
        <v>-2.4731049679022954E-2</v>
      </c>
      <c r="CA232" s="7">
        <f t="shared" si="431"/>
        <v>4.75</v>
      </c>
      <c r="CB232" s="10">
        <f>$B232+BZ226</f>
        <v>2.7629182445221646E-2</v>
      </c>
      <c r="CC232" s="7">
        <f t="shared" si="433"/>
        <v>6.75</v>
      </c>
      <c r="CD232" s="9">
        <f t="shared" si="434"/>
        <v>2.802125358078273E-2</v>
      </c>
      <c r="CE232" s="11">
        <f t="shared" si="435"/>
        <v>1.9603556778054199E-4</v>
      </c>
      <c r="CF232" s="15">
        <f t="shared" si="455"/>
        <v>8.4723479846609238E-4</v>
      </c>
      <c r="CG232" s="11">
        <f t="shared" si="392"/>
        <v>6.4078211842791277E-4</v>
      </c>
      <c r="CH232" s="11">
        <f t="shared" si="393"/>
        <v>2.739864453332303E-4</v>
      </c>
      <c r="CI232" s="11">
        <f t="shared" si="394"/>
        <v>-4.7778793520077672E-3</v>
      </c>
      <c r="CJ232" s="15">
        <f t="shared" si="395"/>
        <v>2.7691631124046861E-2</v>
      </c>
      <c r="CK232" s="11">
        <f t="shared" si="396"/>
        <v>-2.5468803585272995E-2</v>
      </c>
      <c r="CN232" s="7">
        <f t="shared" si="436"/>
        <v>4.75</v>
      </c>
      <c r="CO232" s="9">
        <f t="shared" si="437"/>
        <v>2.7619182445221647E-2</v>
      </c>
      <c r="CP232" s="7">
        <f t="shared" si="438"/>
        <v>6.75</v>
      </c>
      <c r="CQ232" s="10">
        <f t="shared" si="439"/>
        <v>2.803125358078273E-2</v>
      </c>
      <c r="CR232" s="11">
        <f t="shared" si="440"/>
        <v>2.0603556778054158E-4</v>
      </c>
      <c r="CS232" s="15">
        <f t="shared" si="456"/>
        <v>8.4723479846609238E-4</v>
      </c>
      <c r="CT232" s="11">
        <f t="shared" si="397"/>
        <v>6.4411545176124593E-4</v>
      </c>
      <c r="CU232" s="11">
        <f t="shared" si="398"/>
        <v>2.6981977866656376E-4</v>
      </c>
      <c r="CV232" s="11">
        <f t="shared" si="399"/>
        <v>-4.7051710186744363E-3</v>
      </c>
      <c r="CW232" s="15">
        <f t="shared" si="400"/>
        <v>2.7282933207380202E-2</v>
      </c>
      <c r="CX232" s="11">
        <f t="shared" si="401"/>
        <v>-2.4731420772772975E-2</v>
      </c>
      <c r="DA232" s="7">
        <f t="shared" si="441"/>
        <v>4.75</v>
      </c>
      <c r="DB232" s="9">
        <f t="shared" si="442"/>
        <v>2.7619182445221647E-2</v>
      </c>
      <c r="DC232" s="7">
        <f t="shared" si="443"/>
        <v>6.75</v>
      </c>
      <c r="DD232" s="9">
        <f t="shared" si="444"/>
        <v>2.802125358078273E-2</v>
      </c>
      <c r="DE232" s="11">
        <f t="shared" si="445"/>
        <v>2.0103556778054178E-4</v>
      </c>
      <c r="DF232" s="15">
        <f t="shared" si="457"/>
        <v>8.4473479846609249E-4</v>
      </c>
      <c r="DG232" s="11">
        <f t="shared" si="402"/>
        <v>6.4494878509457985E-4</v>
      </c>
      <c r="DH232" s="11">
        <f t="shared" si="403"/>
        <v>2.7190311199989719E-4</v>
      </c>
      <c r="DI232" s="11">
        <f t="shared" si="404"/>
        <v>-4.740275185341104E-3</v>
      </c>
      <c r="DJ232" s="15">
        <f t="shared" si="405"/>
        <v>2.7472907165713541E-2</v>
      </c>
      <c r="DK232" s="11">
        <f t="shared" si="406"/>
        <v>-2.5065034054023008E-2</v>
      </c>
    </row>
    <row r="233" spans="1:115" x14ac:dyDescent="0.25">
      <c r="A233" s="7">
        <f t="shared" si="360"/>
        <v>6.75</v>
      </c>
      <c r="B233" s="9">
        <f t="shared" si="361"/>
        <v>2.802125358078273E-2</v>
      </c>
      <c r="C233" s="7">
        <f t="shared" si="407"/>
        <v>9.75</v>
      </c>
      <c r="D233" s="9">
        <f t="shared" si="408"/>
        <v>3.1277839588008581E-2</v>
      </c>
      <c r="E233" s="11">
        <f t="shared" si="409"/>
        <v>1.0855286690752836E-3</v>
      </c>
      <c r="F233" s="15">
        <f t="shared" si="446"/>
        <v>6.4328211842791267E-4</v>
      </c>
      <c r="G233" s="11">
        <f t="shared" si="362"/>
        <v>5.4276433453764178E-4</v>
      </c>
      <c r="H233" s="11">
        <f t="shared" si="363"/>
        <v>-1.0944565390944586E-4</v>
      </c>
      <c r="I233" s="11">
        <f t="shared" si="364"/>
        <v>2.6920269702770728E-3</v>
      </c>
      <c r="J233" s="15">
        <f t="shared" si="365"/>
        <v>-2.0739229161565186E-2</v>
      </c>
      <c r="K233" s="11">
        <f t="shared" si="366"/>
        <v>7.9015240430280215E-2</v>
      </c>
      <c r="N233" s="7">
        <f t="shared" si="410"/>
        <v>6.75</v>
      </c>
      <c r="O233" s="9">
        <f t="shared" si="447"/>
        <v>2.802125358078273E-2</v>
      </c>
      <c r="P233" s="7">
        <f t="shared" si="411"/>
        <v>9.75</v>
      </c>
      <c r="Q233" s="9">
        <f t="shared" si="412"/>
        <v>3.1277839588008581E-2</v>
      </c>
      <c r="R233" s="11">
        <f t="shared" si="413"/>
        <v>1.0855286690752836E-3</v>
      </c>
      <c r="S233" s="15">
        <f t="shared" si="448"/>
        <v>6.4328211842791267E-4</v>
      </c>
      <c r="T233" s="11">
        <f t="shared" si="367"/>
        <v>5.4276433453764178E-4</v>
      </c>
      <c r="U233" s="11">
        <f t="shared" si="368"/>
        <v>-1.0944565390944586E-4</v>
      </c>
      <c r="V233" s="11">
        <f t="shared" si="369"/>
        <v>2.6920269702770728E-3</v>
      </c>
      <c r="W233" s="15">
        <f t="shared" si="370"/>
        <v>-2.0739229161565186E-2</v>
      </c>
      <c r="X233" s="11">
        <f t="shared" si="371"/>
        <v>7.9015240430280215E-2</v>
      </c>
      <c r="AA233" s="7">
        <f t="shared" si="414"/>
        <v>6.75</v>
      </c>
      <c r="AB233" s="9">
        <f t="shared" si="449"/>
        <v>2.802125358078273E-2</v>
      </c>
      <c r="AC233" s="7">
        <f t="shared" si="415"/>
        <v>9.75</v>
      </c>
      <c r="AD233" s="9">
        <f t="shared" si="416"/>
        <v>3.1277839588008581E-2</v>
      </c>
      <c r="AE233" s="11">
        <f t="shared" si="417"/>
        <v>1.0855286690752836E-3</v>
      </c>
      <c r="AF233" s="15">
        <f t="shared" si="450"/>
        <v>6.4328211842791267E-4</v>
      </c>
      <c r="AG233" s="11">
        <f t="shared" si="372"/>
        <v>5.4276433453764178E-4</v>
      </c>
      <c r="AH233" s="11">
        <f t="shared" si="373"/>
        <v>-1.0944565390944586E-4</v>
      </c>
      <c r="AI233" s="11">
        <f t="shared" si="374"/>
        <v>2.6920269702770728E-3</v>
      </c>
      <c r="AJ233" s="15">
        <f t="shared" si="375"/>
        <v>-2.0739229161565186E-2</v>
      </c>
      <c r="AK233" s="11">
        <f t="shared" si="376"/>
        <v>7.9015240430280215E-2</v>
      </c>
      <c r="AN233" s="7">
        <f t="shared" si="418"/>
        <v>6.75</v>
      </c>
      <c r="AO233" s="9">
        <f t="shared" si="458"/>
        <v>2.802125358078273E-2</v>
      </c>
      <c r="AP233" s="7">
        <f t="shared" si="419"/>
        <v>9.75</v>
      </c>
      <c r="AQ233" s="9">
        <f t="shared" si="420"/>
        <v>3.1277839588008581E-2</v>
      </c>
      <c r="AR233" s="11">
        <f t="shared" si="421"/>
        <v>1.0855286690752836E-3</v>
      </c>
      <c r="AS233" s="15">
        <f t="shared" si="451"/>
        <v>6.4328211842791267E-4</v>
      </c>
      <c r="AT233" s="11">
        <f t="shared" si="377"/>
        <v>5.4276433453764178E-4</v>
      </c>
      <c r="AU233" s="11">
        <f t="shared" si="378"/>
        <v>-1.0944565390944586E-4</v>
      </c>
      <c r="AV233" s="11">
        <f t="shared" si="379"/>
        <v>2.6920269702770728E-3</v>
      </c>
      <c r="AW233" s="15">
        <f t="shared" si="380"/>
        <v>-2.0739229161565186E-2</v>
      </c>
      <c r="AX233" s="11">
        <f t="shared" si="381"/>
        <v>7.9015240430280215E-2</v>
      </c>
      <c r="BA233" s="7">
        <f t="shared" si="422"/>
        <v>6.75</v>
      </c>
      <c r="BB233" s="9">
        <f t="shared" si="423"/>
        <v>2.802125358078273E-2</v>
      </c>
      <c r="BC233" s="7">
        <f t="shared" si="424"/>
        <v>9.75</v>
      </c>
      <c r="BD233" s="9">
        <f t="shared" si="452"/>
        <v>3.1277839588008581E-2</v>
      </c>
      <c r="BE233" s="11">
        <f t="shared" si="425"/>
        <v>1.0855286690752836E-3</v>
      </c>
      <c r="BF233" s="15">
        <f t="shared" si="453"/>
        <v>6.4328211842791267E-4</v>
      </c>
      <c r="BG233" s="11">
        <f t="shared" si="382"/>
        <v>5.4276433453764178E-4</v>
      </c>
      <c r="BH233" s="11">
        <f t="shared" si="383"/>
        <v>-1.0944565390944586E-4</v>
      </c>
      <c r="BI233" s="11">
        <f t="shared" si="384"/>
        <v>2.6920269702770728E-3</v>
      </c>
      <c r="BJ233" s="15">
        <f t="shared" si="385"/>
        <v>-2.0739229161565186E-2</v>
      </c>
      <c r="BK233" s="11">
        <f t="shared" si="386"/>
        <v>7.9015240430280215E-2</v>
      </c>
      <c r="BN233" s="7">
        <f t="shared" si="426"/>
        <v>6.75</v>
      </c>
      <c r="BO233" s="9">
        <f t="shared" si="427"/>
        <v>2.802125358078273E-2</v>
      </c>
      <c r="BP233" s="7">
        <f t="shared" si="428"/>
        <v>9.75</v>
      </c>
      <c r="BQ233" s="9">
        <f t="shared" si="429"/>
        <v>3.1277839588008581E-2</v>
      </c>
      <c r="BR233" s="11">
        <f t="shared" si="430"/>
        <v>1.0855286690752836E-3</v>
      </c>
      <c r="BS233" s="15">
        <f t="shared" si="454"/>
        <v>6.4328211842791267E-4</v>
      </c>
      <c r="BT233" s="11">
        <f t="shared" si="387"/>
        <v>5.4276433453764178E-4</v>
      </c>
      <c r="BU233" s="11">
        <f t="shared" si="388"/>
        <v>-1.0944565390944586E-4</v>
      </c>
      <c r="BV233" s="11">
        <f t="shared" si="389"/>
        <v>2.6920269702770728E-3</v>
      </c>
      <c r="BW233" s="15">
        <f t="shared" si="390"/>
        <v>-2.0739229161565186E-2</v>
      </c>
      <c r="BX233" s="11">
        <f t="shared" si="391"/>
        <v>7.9015240430280215E-2</v>
      </c>
      <c r="CA233" s="7">
        <f t="shared" si="431"/>
        <v>6.75</v>
      </c>
      <c r="CB233" s="9">
        <f t="shared" si="432"/>
        <v>2.802125358078273E-2</v>
      </c>
      <c r="CC233" s="7">
        <f t="shared" si="433"/>
        <v>9.75</v>
      </c>
      <c r="CD233" s="9">
        <f t="shared" si="434"/>
        <v>3.1277839588008581E-2</v>
      </c>
      <c r="CE233" s="11">
        <f t="shared" si="435"/>
        <v>1.0855286690752836E-3</v>
      </c>
      <c r="CF233" s="15">
        <f t="shared" si="455"/>
        <v>6.4078211842791277E-4</v>
      </c>
      <c r="CG233" s="11">
        <f t="shared" si="392"/>
        <v>5.4276433453764178E-4</v>
      </c>
      <c r="CH233" s="11">
        <f t="shared" si="393"/>
        <v>-1.0972343168722361E-4</v>
      </c>
      <c r="CI233" s="11">
        <f t="shared" si="394"/>
        <v>2.6993186369437395E-3</v>
      </c>
      <c r="CJ233" s="15">
        <f t="shared" si="395"/>
        <v>-2.0802197911565193E-2</v>
      </c>
      <c r="CK233" s="11">
        <f t="shared" si="396"/>
        <v>7.9193482617780253E-2</v>
      </c>
      <c r="CN233" s="7">
        <f t="shared" si="436"/>
        <v>6.75</v>
      </c>
      <c r="CO233" s="10">
        <f>$B233+CM226</f>
        <v>2.803125358078273E-2</v>
      </c>
      <c r="CP233" s="7">
        <f t="shared" si="438"/>
        <v>9.75</v>
      </c>
      <c r="CQ233" s="9">
        <f t="shared" si="439"/>
        <v>3.1277839588008581E-2</v>
      </c>
      <c r="CR233" s="11">
        <f t="shared" si="440"/>
        <v>1.0821953357419503E-3</v>
      </c>
      <c r="CS233" s="15">
        <f t="shared" si="456"/>
        <v>6.4411545176124593E-4</v>
      </c>
      <c r="CT233" s="11">
        <f t="shared" si="397"/>
        <v>5.4109766787097514E-4</v>
      </c>
      <c r="CU233" s="11">
        <f t="shared" si="398"/>
        <v>-1.0879750576129772E-4</v>
      </c>
      <c r="CV233" s="11">
        <f t="shared" si="399"/>
        <v>2.6755686369437401E-3</v>
      </c>
      <c r="CW233" s="15">
        <f t="shared" si="400"/>
        <v>-2.0604802078231864E-2</v>
      </c>
      <c r="CX233" s="11">
        <f t="shared" si="401"/>
        <v>7.8668404492780272E-2</v>
      </c>
      <c r="DA233" s="7">
        <f t="shared" si="441"/>
        <v>6.75</v>
      </c>
      <c r="DB233" s="9">
        <f t="shared" si="442"/>
        <v>2.802125358078273E-2</v>
      </c>
      <c r="DC233" s="7">
        <f t="shared" si="443"/>
        <v>9.75</v>
      </c>
      <c r="DD233" s="10">
        <f t="shared" si="444"/>
        <v>3.1287839588008584E-2</v>
      </c>
      <c r="DE233" s="11">
        <f t="shared" si="445"/>
        <v>1.0888620024086179E-3</v>
      </c>
      <c r="DF233" s="15">
        <f t="shared" si="457"/>
        <v>6.4494878509457985E-4</v>
      </c>
      <c r="DG233" s="11">
        <f t="shared" si="402"/>
        <v>5.4443100120430896E-4</v>
      </c>
      <c r="DH233" s="11">
        <f t="shared" si="403"/>
        <v>-1.0981602427981634E-4</v>
      </c>
      <c r="DI233" s="11">
        <f t="shared" si="404"/>
        <v>2.7011936369437423E-3</v>
      </c>
      <c r="DJ233" s="15">
        <f t="shared" si="405"/>
        <v>-2.0810687494898547E-2</v>
      </c>
      <c r="DK233" s="11">
        <f t="shared" si="406"/>
        <v>7.9193834180280309E-2</v>
      </c>
    </row>
    <row r="234" spans="1:115" x14ac:dyDescent="0.25">
      <c r="A234" s="7">
        <f t="shared" si="360"/>
        <v>9.75</v>
      </c>
      <c r="B234" s="9">
        <f t="shared" si="361"/>
        <v>3.1277839588008581E-2</v>
      </c>
      <c r="C234">
        <v>100</v>
      </c>
      <c r="D234" s="9">
        <f>B234</f>
        <v>3.1277839588008581E-2</v>
      </c>
      <c r="E234" s="11">
        <f t="shared" si="409"/>
        <v>0</v>
      </c>
      <c r="F234" s="15">
        <f t="shared" si="446"/>
        <v>5.4276433453764178E-4</v>
      </c>
      <c r="G234" s="11">
        <v>0</v>
      </c>
      <c r="H234" s="11">
        <f t="shared" si="363"/>
        <v>6.6637221572902815E-8</v>
      </c>
      <c r="I234" s="11">
        <f t="shared" si="364"/>
        <v>-1.3977157224916366E-5</v>
      </c>
      <c r="J234" s="15">
        <f t="shared" si="365"/>
        <v>7.9631479779618871E-4</v>
      </c>
      <c r="K234" s="11">
        <f t="shared" si="366"/>
        <v>2.4780710484650557E-2</v>
      </c>
      <c r="N234" s="7">
        <f t="shared" si="410"/>
        <v>9.75</v>
      </c>
      <c r="O234" s="9">
        <f t="shared" si="447"/>
        <v>3.1277839588008581E-2</v>
      </c>
      <c r="P234" s="7">
        <v>100</v>
      </c>
      <c r="Q234" s="9">
        <f>O234</f>
        <v>3.1277839588008581E-2</v>
      </c>
      <c r="R234" s="11">
        <f t="shared" si="413"/>
        <v>0</v>
      </c>
      <c r="S234" s="15">
        <f t="shared" si="448"/>
        <v>5.4276433453764178E-4</v>
      </c>
      <c r="T234" s="11">
        <v>0</v>
      </c>
      <c r="U234" s="11">
        <f t="shared" si="368"/>
        <v>6.6637221572902815E-8</v>
      </c>
      <c r="V234" s="11">
        <f t="shared" si="369"/>
        <v>-1.3977157224916366E-5</v>
      </c>
      <c r="W234" s="15">
        <f t="shared" si="370"/>
        <v>7.9631479779618871E-4</v>
      </c>
      <c r="X234" s="11">
        <f t="shared" si="371"/>
        <v>2.4780710484650557E-2</v>
      </c>
      <c r="AA234" s="7">
        <f t="shared" si="414"/>
        <v>9.75</v>
      </c>
      <c r="AB234" s="9">
        <f t="shared" si="449"/>
        <v>3.1277839588008581E-2</v>
      </c>
      <c r="AC234" s="7">
        <v>100</v>
      </c>
      <c r="AD234" s="9">
        <f>AB234</f>
        <v>3.1277839588008581E-2</v>
      </c>
      <c r="AE234" s="11">
        <f t="shared" si="417"/>
        <v>0</v>
      </c>
      <c r="AF234" s="15">
        <f t="shared" si="450"/>
        <v>5.4276433453764178E-4</v>
      </c>
      <c r="AG234" s="11">
        <v>0</v>
      </c>
      <c r="AH234" s="11">
        <f t="shared" si="373"/>
        <v>6.6637221572902815E-8</v>
      </c>
      <c r="AI234" s="11">
        <f t="shared" si="374"/>
        <v>-1.3977157224916366E-5</v>
      </c>
      <c r="AJ234" s="15">
        <f t="shared" si="375"/>
        <v>7.9631479779618871E-4</v>
      </c>
      <c r="AK234" s="11">
        <f t="shared" si="376"/>
        <v>2.4780710484650557E-2</v>
      </c>
      <c r="AN234" s="7">
        <f t="shared" si="418"/>
        <v>9.75</v>
      </c>
      <c r="AO234" s="9">
        <f t="shared" si="458"/>
        <v>3.1277839588008581E-2</v>
      </c>
      <c r="AP234" s="7">
        <v>100</v>
      </c>
      <c r="AQ234" s="9">
        <f>AO234</f>
        <v>3.1277839588008581E-2</v>
      </c>
      <c r="AR234" s="11">
        <f t="shared" si="421"/>
        <v>0</v>
      </c>
      <c r="AS234" s="15">
        <f t="shared" si="451"/>
        <v>5.4276433453764178E-4</v>
      </c>
      <c r="AT234" s="11">
        <v>0</v>
      </c>
      <c r="AU234" s="11">
        <f t="shared" si="378"/>
        <v>6.6637221572902815E-8</v>
      </c>
      <c r="AV234" s="11">
        <f t="shared" si="379"/>
        <v>-1.3977157224916366E-5</v>
      </c>
      <c r="AW234" s="15">
        <f t="shared" si="380"/>
        <v>7.9631479779618871E-4</v>
      </c>
      <c r="AX234" s="11">
        <f t="shared" si="381"/>
        <v>2.4780710484650557E-2</v>
      </c>
      <c r="BA234" s="7">
        <f t="shared" si="422"/>
        <v>9.75</v>
      </c>
      <c r="BB234" s="9">
        <f t="shared" si="423"/>
        <v>3.1277839588008581E-2</v>
      </c>
      <c r="BC234" s="7">
        <v>100</v>
      </c>
      <c r="BD234" s="9">
        <f>BB234</f>
        <v>3.1277839588008581E-2</v>
      </c>
      <c r="BE234" s="11">
        <f t="shared" si="425"/>
        <v>0</v>
      </c>
      <c r="BF234" s="15">
        <f t="shared" si="453"/>
        <v>5.4276433453764178E-4</v>
      </c>
      <c r="BG234" s="11">
        <v>0</v>
      </c>
      <c r="BH234" s="11">
        <f t="shared" si="383"/>
        <v>6.6637221572902815E-8</v>
      </c>
      <c r="BI234" s="11">
        <f t="shared" si="384"/>
        <v>-1.3977157224916366E-5</v>
      </c>
      <c r="BJ234" s="15">
        <f t="shared" si="385"/>
        <v>7.9631479779618871E-4</v>
      </c>
      <c r="BK234" s="11">
        <f t="shared" si="386"/>
        <v>2.4780710484650557E-2</v>
      </c>
      <c r="BN234" s="7">
        <f t="shared" si="426"/>
        <v>9.75</v>
      </c>
      <c r="BO234" s="9">
        <f t="shared" si="427"/>
        <v>3.1277839588008581E-2</v>
      </c>
      <c r="BP234" s="7">
        <v>100</v>
      </c>
      <c r="BQ234" s="9">
        <f>BO234</f>
        <v>3.1277839588008581E-2</v>
      </c>
      <c r="BR234" s="11">
        <f t="shared" si="430"/>
        <v>0</v>
      </c>
      <c r="BS234" s="15">
        <f t="shared" si="454"/>
        <v>5.4276433453764178E-4</v>
      </c>
      <c r="BT234" s="11">
        <v>0</v>
      </c>
      <c r="BU234" s="11">
        <f t="shared" si="388"/>
        <v>6.6637221572902815E-8</v>
      </c>
      <c r="BV234" s="11">
        <f t="shared" si="389"/>
        <v>-1.3977157224916366E-5</v>
      </c>
      <c r="BW234" s="15">
        <f t="shared" si="390"/>
        <v>7.9631479779618871E-4</v>
      </c>
      <c r="BX234" s="11">
        <f t="shared" si="391"/>
        <v>2.4780710484650557E-2</v>
      </c>
      <c r="CA234" s="7">
        <f t="shared" si="431"/>
        <v>9.75</v>
      </c>
      <c r="CB234" s="9">
        <f t="shared" si="432"/>
        <v>3.1277839588008581E-2</v>
      </c>
      <c r="CC234" s="7">
        <v>100</v>
      </c>
      <c r="CD234" s="9">
        <f>CB234</f>
        <v>3.1277839588008581E-2</v>
      </c>
      <c r="CE234" s="11">
        <f t="shared" si="435"/>
        <v>0</v>
      </c>
      <c r="CF234" s="15">
        <f t="shared" si="455"/>
        <v>5.4276433453764178E-4</v>
      </c>
      <c r="CG234" s="11">
        <v>0</v>
      </c>
      <c r="CH234" s="11">
        <f t="shared" si="393"/>
        <v>6.6637221572902815E-8</v>
      </c>
      <c r="CI234" s="11">
        <f t="shared" si="394"/>
        <v>-1.3977157224916366E-5</v>
      </c>
      <c r="CJ234" s="15">
        <f t="shared" si="395"/>
        <v>7.9631479779618871E-4</v>
      </c>
      <c r="CK234" s="11">
        <f t="shared" si="396"/>
        <v>2.4780710484650557E-2</v>
      </c>
      <c r="CN234" s="7">
        <f t="shared" si="436"/>
        <v>9.75</v>
      </c>
      <c r="CO234" s="9">
        <f t="shared" si="437"/>
        <v>3.1277839588008581E-2</v>
      </c>
      <c r="CP234" s="7">
        <v>100</v>
      </c>
      <c r="CQ234" s="9">
        <f>CO234</f>
        <v>3.1277839588008581E-2</v>
      </c>
      <c r="CR234" s="11">
        <f t="shared" si="440"/>
        <v>0</v>
      </c>
      <c r="CS234" s="15">
        <f t="shared" si="456"/>
        <v>5.4109766787097514E-4</v>
      </c>
      <c r="CT234" s="11">
        <v>0</v>
      </c>
      <c r="CU234" s="11">
        <f t="shared" si="398"/>
        <v>6.6432598629043692E-8</v>
      </c>
      <c r="CV234" s="11">
        <f t="shared" si="399"/>
        <v>-1.3934237562441914E-5</v>
      </c>
      <c r="CW234" s="15">
        <f t="shared" si="400"/>
        <v>7.9386955361707211E-4</v>
      </c>
      <c r="CX234" s="11">
        <f t="shared" si="401"/>
        <v>2.4800661221676824E-2</v>
      </c>
      <c r="DA234" s="7">
        <f t="shared" si="441"/>
        <v>9.75</v>
      </c>
      <c r="DB234" s="10">
        <f>$B234+CZ226</f>
        <v>3.1287839588008584E-2</v>
      </c>
      <c r="DC234" s="7">
        <v>100</v>
      </c>
      <c r="DD234" s="10">
        <f>DB234</f>
        <v>3.1287839588008584E-2</v>
      </c>
      <c r="DE234" s="11">
        <f t="shared" si="445"/>
        <v>0</v>
      </c>
      <c r="DF234" s="15">
        <f t="shared" si="457"/>
        <v>5.4443100120430896E-4</v>
      </c>
      <c r="DG234" s="11">
        <v>0</v>
      </c>
      <c r="DH234" s="11">
        <f t="shared" si="403"/>
        <v>6.6841844516762017E-8</v>
      </c>
      <c r="DI234" s="11">
        <f t="shared" si="404"/>
        <v>-1.4020076887390836E-5</v>
      </c>
      <c r="DJ234" s="15">
        <f t="shared" si="405"/>
        <v>7.9876004197530618E-4</v>
      </c>
      <c r="DK234" s="11">
        <f t="shared" si="406"/>
        <v>2.4770759747624289E-2</v>
      </c>
    </row>
    <row r="236" spans="1:115" x14ac:dyDescent="0.25">
      <c r="A236" t="str">
        <f t="array" ref="A236:H236">TRANSPOSE($A$2:$A$9)</f>
        <v>3M Fixing</v>
      </c>
      <c r="B236" t="str">
        <v>1Y Swap</v>
      </c>
      <c r="C236" t="str">
        <v>2Y Swap</v>
      </c>
      <c r="D236" t="str">
        <v>3Y Swap</v>
      </c>
      <c r="E236" t="str">
        <v>4Y Swap</v>
      </c>
      <c r="F236" t="str">
        <v>5Y Swap</v>
      </c>
      <c r="G236" t="str">
        <v>7Y Swap</v>
      </c>
      <c r="H236" t="str">
        <v>10Y Swap</v>
      </c>
      <c r="N236" t="str">
        <f t="array" ref="N236:U236">TRANSPOSE($A$2:$A$9)</f>
        <v>3M Fixing</v>
      </c>
      <c r="O236" t="str">
        <v>1Y Swap</v>
      </c>
      <c r="P236" t="str">
        <v>2Y Swap</v>
      </c>
      <c r="Q236" t="str">
        <v>3Y Swap</v>
      </c>
      <c r="R236" t="str">
        <v>4Y Swap</v>
      </c>
      <c r="S236" t="str">
        <v>5Y Swap</v>
      </c>
      <c r="T236" t="str">
        <v>7Y Swap</v>
      </c>
      <c r="U236" t="str">
        <v>10Y Swap</v>
      </c>
      <c r="AA236" t="str">
        <f t="array" ref="AA236:AH236">TRANSPOSE($A$2:$A$9)</f>
        <v>3M Fixing</v>
      </c>
      <c r="AB236" t="str">
        <v>1Y Swap</v>
      </c>
      <c r="AC236" t="str">
        <v>2Y Swap</v>
      </c>
      <c r="AD236" t="str">
        <v>3Y Swap</v>
      </c>
      <c r="AE236" t="str">
        <v>4Y Swap</v>
      </c>
      <c r="AF236" t="str">
        <v>5Y Swap</v>
      </c>
      <c r="AG236" t="str">
        <v>7Y Swap</v>
      </c>
      <c r="AH236" t="str">
        <v>10Y Swap</v>
      </c>
      <c r="AN236" t="str">
        <f t="array" ref="AN236:AU236">TRANSPOSE($A$2:$A$9)</f>
        <v>3M Fixing</v>
      </c>
      <c r="AO236" t="str">
        <v>1Y Swap</v>
      </c>
      <c r="AP236" t="str">
        <v>2Y Swap</v>
      </c>
      <c r="AQ236" t="str">
        <v>3Y Swap</v>
      </c>
      <c r="AR236" t="str">
        <v>4Y Swap</v>
      </c>
      <c r="AS236" t="str">
        <v>5Y Swap</v>
      </c>
      <c r="AT236" t="str">
        <v>7Y Swap</v>
      </c>
      <c r="AU236" t="str">
        <v>10Y Swap</v>
      </c>
      <c r="BA236" t="str">
        <f t="array" ref="BA236:BH236">TRANSPOSE($A$2:$A$9)</f>
        <v>3M Fixing</v>
      </c>
      <c r="BB236" t="str">
        <v>1Y Swap</v>
      </c>
      <c r="BC236" t="str">
        <v>2Y Swap</v>
      </c>
      <c r="BD236" t="str">
        <v>3Y Swap</v>
      </c>
      <c r="BE236" t="str">
        <v>4Y Swap</v>
      </c>
      <c r="BF236" t="str">
        <v>5Y Swap</v>
      </c>
      <c r="BG236" t="str">
        <v>7Y Swap</v>
      </c>
      <c r="BH236" t="str">
        <v>10Y Swap</v>
      </c>
      <c r="BN236" t="str">
        <f t="array" ref="BN236:BU236">TRANSPOSE($A$2:$A$9)</f>
        <v>3M Fixing</v>
      </c>
      <c r="BO236" t="str">
        <v>1Y Swap</v>
      </c>
      <c r="BP236" t="str">
        <v>2Y Swap</v>
      </c>
      <c r="BQ236" t="str">
        <v>3Y Swap</v>
      </c>
      <c r="BR236" t="str">
        <v>4Y Swap</v>
      </c>
      <c r="BS236" t="str">
        <v>5Y Swap</v>
      </c>
      <c r="BT236" t="str">
        <v>7Y Swap</v>
      </c>
      <c r="BU236" t="str">
        <v>10Y Swap</v>
      </c>
      <c r="CA236" t="str">
        <f t="array" ref="CA236:CH236">TRANSPOSE($A$2:$A$9)</f>
        <v>3M Fixing</v>
      </c>
      <c r="CB236" t="str">
        <v>1Y Swap</v>
      </c>
      <c r="CC236" t="str">
        <v>2Y Swap</v>
      </c>
      <c r="CD236" t="str">
        <v>3Y Swap</v>
      </c>
      <c r="CE236" t="str">
        <v>4Y Swap</v>
      </c>
      <c r="CF236" t="str">
        <v>5Y Swap</v>
      </c>
      <c r="CG236" t="str">
        <v>7Y Swap</v>
      </c>
      <c r="CH236" t="str">
        <v>10Y Swap</v>
      </c>
      <c r="CN236" t="str">
        <f t="array" ref="CN236:CU236">TRANSPOSE($A$2:$A$9)</f>
        <v>3M Fixing</v>
      </c>
      <c r="CO236" t="str">
        <v>1Y Swap</v>
      </c>
      <c r="CP236" t="str">
        <v>2Y Swap</v>
      </c>
      <c r="CQ236" t="str">
        <v>3Y Swap</v>
      </c>
      <c r="CR236" t="str">
        <v>4Y Swap</v>
      </c>
      <c r="CS236" t="str">
        <v>5Y Swap</v>
      </c>
      <c r="CT236" t="str">
        <v>7Y Swap</v>
      </c>
      <c r="CU236" t="str">
        <v>10Y Swap</v>
      </c>
      <c r="DA236" t="str">
        <f t="array" ref="DA236:DH236">TRANSPOSE($A$2:$A$9)</f>
        <v>3M Fixing</v>
      </c>
      <c r="DB236" t="str">
        <v>1Y Swap</v>
      </c>
      <c r="DC236" t="str">
        <v>2Y Swap</v>
      </c>
      <c r="DD236" t="str">
        <v>3Y Swap</v>
      </c>
      <c r="DE236" t="str">
        <v>4Y Swap</v>
      </c>
      <c r="DF236" t="str">
        <v>5Y Swap</v>
      </c>
      <c r="DG236" t="str">
        <v>7Y Swap</v>
      </c>
      <c r="DH236" t="str">
        <v>10Y Swap</v>
      </c>
    </row>
    <row r="237" spans="1:115" x14ac:dyDescent="0.25">
      <c r="A237" s="9">
        <f>G240</f>
        <v>2.53E-2</v>
      </c>
      <c r="B237" s="9">
        <f>SUM(I241:I244)/SUM(J241:J244)*$F$6</f>
        <v>2.3199999999999998E-2</v>
      </c>
      <c r="C237" s="9">
        <f>SUM(I241:I248)/SUM(J241:J248)*$F$6</f>
        <v>2.2899999999999997E-2</v>
      </c>
      <c r="D237" s="9">
        <f>SUM(I241:I252)/SUM(J241:J252)*$F$6</f>
        <v>2.3599999999999999E-2</v>
      </c>
      <c r="E237" s="9">
        <f>SUM(I241:I256)/SUM(J241:J256)*$F$6</f>
        <v>2.4200000000000006E-2</v>
      </c>
      <c r="F237" s="9">
        <f>SUM(I241:I260)/SUM(J241:J260)*$F$6</f>
        <v>2.4800000000000006E-2</v>
      </c>
      <c r="G237" s="9">
        <f>SUM(I241:I268)/SUM(J241:J268)*$F$6</f>
        <v>2.5700000000000004E-2</v>
      </c>
      <c r="H237" s="9">
        <f>SUM(I241:I280)/SUM(J241:J280)*$F$6</f>
        <v>2.6899999999999993E-2</v>
      </c>
      <c r="N237" s="3">
        <f>T240</f>
        <v>2.5309999999999999E-2</v>
      </c>
      <c r="O237" s="9">
        <f>SUM(V241:V244)/SUM(W241:W244)*$F$6</f>
        <v>2.3205084967956115E-2</v>
      </c>
      <c r="P237" s="9">
        <f>SUM(V241:V248)/SUM(W241:W248)*$F$6</f>
        <v>2.2902570884599793E-2</v>
      </c>
      <c r="Q237" s="9">
        <f>SUM(V241:V252)/SUM(W241:W252)*$F$6</f>
        <v>2.3601734351695759E-2</v>
      </c>
      <c r="R237" s="9">
        <f>SUM(V241:V256)/SUM(W241:W256)*$F$6</f>
        <v>2.4201316782713696E-2</v>
      </c>
      <c r="S237" s="9">
        <f>SUM(V241:V260)/SUM(W241:W260)*$F$6</f>
        <v>2.4801066780725661E-2</v>
      </c>
      <c r="T237" s="9">
        <f>SUM(V241:V268)/SUM(W241:W268)*$F$6</f>
        <v>2.5700781949076917E-2</v>
      </c>
      <c r="U237" s="9">
        <f>SUM(V241:V280)/SUM(W241:W280)*$F$6</f>
        <v>2.690056969969034E-2</v>
      </c>
      <c r="AA237" s="3">
        <f>AG240</f>
        <v>2.53E-2</v>
      </c>
      <c r="AB237" s="9">
        <f>SUM(AI241:AI244)/SUM(AJ241:AJ244)*$F$6</f>
        <v>2.3205088548354312E-2</v>
      </c>
      <c r="AC237" s="9">
        <f>SUM(AI241:AI248)/SUM(AJ241:AJ248)*$F$6</f>
        <v>2.2904655513535415E-2</v>
      </c>
      <c r="AD237" s="9">
        <f>SUM(AI241:AI252)/SUM(AJ241:AJ252)*$F$6</f>
        <v>2.3603010376650455E-2</v>
      </c>
      <c r="AE237" s="9">
        <f>SUM(AI241:AI256)/SUM(AJ241:AJ256)*$F$6</f>
        <v>2.4202285067196475E-2</v>
      </c>
      <c r="AF237" s="9">
        <f>SUM(AI241:AI260)/SUM(AJ241:AJ260)*$F$6</f>
        <v>2.480185080703122E-2</v>
      </c>
      <c r="AG237" s="9">
        <f>SUM(AI241:AI268)/SUM(AJ241:AJ268)*$F$6</f>
        <v>2.570135617603396E-2</v>
      </c>
      <c r="AH237" s="9">
        <f>SUM(AI241:AI280)/SUM(AJ241:AJ280)*$F$6</f>
        <v>2.6900987610280626E-2</v>
      </c>
      <c r="AN237" s="3">
        <f>AT240</f>
        <v>2.53E-2</v>
      </c>
      <c r="AO237" s="9">
        <f>SUM(AV241:AV244)/SUM(AW241:AW244)*$F$6</f>
        <v>2.3199999999999998E-2</v>
      </c>
      <c r="AP237" s="9">
        <f>SUM(AV241:AV248)/SUM(AW241:AW248)*$F$6</f>
        <v>2.2903142842729013E-2</v>
      </c>
      <c r="AQ237" s="9">
        <f>SUM(AV241:AV252)/SUM(AW241:AW252)*$F$6</f>
        <v>2.3603489427868933E-2</v>
      </c>
      <c r="AR237" s="9">
        <f>SUM(AV241:AV256)/SUM(AW241:AW256)*$F$6</f>
        <v>2.4202551363666239E-2</v>
      </c>
      <c r="AS237" s="9">
        <f>SUM(AV241:AV260)/SUM(AW241:AW260)*$F$6</f>
        <v>2.4802065304107775E-2</v>
      </c>
      <c r="AT237" s="9">
        <f>SUM(AV241:AV268)/SUM(AW241:AW268)*$F$6</f>
        <v>2.5701512037587731E-2</v>
      </c>
      <c r="AU237" s="9">
        <f>SUM(AV241:AV280)/SUM(AW241:AW280)*$F$6</f>
        <v>2.6901099839412284E-2</v>
      </c>
      <c r="BA237" s="3">
        <f>BG240</f>
        <v>2.53E-2</v>
      </c>
      <c r="BB237" s="9">
        <f>SUM(BI241:BI244)/SUM(BJ241:BJ244)*$F$6</f>
        <v>2.3199999999999998E-2</v>
      </c>
      <c r="BC237" s="9">
        <f>SUM(BI241:BI248)/SUM(BJ241:BJ248)*$F$6</f>
        <v>2.2899803538862281E-2</v>
      </c>
      <c r="BD237" s="9">
        <f>SUM(BI241:BI252)/SUM(BJ241:BJ252)*$F$6</f>
        <v>2.3602065582238766E-2</v>
      </c>
      <c r="BE237" s="9">
        <f>SUM(BI241:BI256)/SUM(BJ241:BJ256)*$F$6</f>
        <v>2.4202580819093607E-2</v>
      </c>
      <c r="BF237" s="9">
        <f>SUM(BI241:BI260)/SUM(BJ241:BJ260)*$F$6</f>
        <v>2.4802012222565787E-2</v>
      </c>
      <c r="BG237" s="9">
        <f>SUM(BI241:BI268)/SUM(BJ241:BJ268)*$F$6</f>
        <v>2.570147174399838E-2</v>
      </c>
      <c r="BH237" s="9">
        <f>SUM(BI241:BI280)/SUM(BJ241:BJ280)*$F$6</f>
        <v>2.6901069137324943E-2</v>
      </c>
      <c r="BN237" s="3">
        <f>BT240</f>
        <v>2.53E-2</v>
      </c>
      <c r="BO237" s="9">
        <f>SUM(BV241:BV244)/SUM(BW241:BW244)*$F$6</f>
        <v>2.3199999999999998E-2</v>
      </c>
      <c r="BP237" s="9">
        <f>SUM(BV241:BV248)/SUM(BW241:BW248)*$F$6</f>
        <v>2.2899999999999993E-2</v>
      </c>
      <c r="BQ237" s="9">
        <f>SUM(BV241:BV252)/SUM(BW241:BW252)*$F$6</f>
        <v>2.3599870696512742E-2</v>
      </c>
      <c r="BR237" s="9">
        <f>SUM(BV241:BV256)/SUM(BW241:BW256)*$F$6</f>
        <v>2.420152891017005E-2</v>
      </c>
      <c r="BS237" s="9">
        <f>SUM(BV241:BV260)/SUM(BW241:BW260)*$F$6</f>
        <v>2.4802036570097587E-2</v>
      </c>
      <c r="BT237" s="9">
        <f>SUM(BV241:BV268)/SUM(BW241:BW268)*$F$6</f>
        <v>2.57012636545591E-2</v>
      </c>
      <c r="BU237" s="9">
        <f>SUM(BV241:BV280)/SUM(BW241:BW280)*$F$6</f>
        <v>2.6900917108631513E-2</v>
      </c>
      <c r="CA237" s="3">
        <f>CG240</f>
        <v>2.53E-2</v>
      </c>
      <c r="CB237" s="9">
        <f>SUM(CI241:CI244)/SUM(CJ241:CJ244)*$F$6</f>
        <v>2.3199999999999998E-2</v>
      </c>
      <c r="CC237" s="9">
        <f>SUM(CI241:CI248)/SUM(CJ241:CJ248)*$F$6</f>
        <v>2.2899999999999997E-2</v>
      </c>
      <c r="CD237" s="9">
        <f>SUM(CI241:CI252)/SUM(CJ241:CJ252)*$F$6</f>
        <v>2.3599999999999999E-2</v>
      </c>
      <c r="CE237" s="9">
        <f>SUM(CI241:CI256)/SUM(CJ241:CJ256)*$F$6</f>
        <v>2.4199904292809101E-2</v>
      </c>
      <c r="CF237" s="9">
        <f>SUM(CI241:CI260)/SUM(CJ241:CJ260)*$F$6</f>
        <v>2.4801168150966463E-2</v>
      </c>
      <c r="CG237" s="9">
        <f>SUM(CI241:CI268)/SUM(CJ241:CJ268)*$F$6</f>
        <v>2.5702275450983521E-2</v>
      </c>
      <c r="CH237" s="9">
        <f>SUM(CI241:CI280)/SUM(CJ241:CJ280)*$F$6</f>
        <v>2.6901474900583474E-2</v>
      </c>
      <c r="CN237" s="3">
        <f>CT240</f>
        <v>2.53E-2</v>
      </c>
      <c r="CO237" s="9">
        <f>SUM(CV241:CV244)/SUM(CW241:CW244)*$F$6</f>
        <v>2.3199999999999998E-2</v>
      </c>
      <c r="CP237" s="9">
        <f>SUM(CV241:CV248)/SUM(CW241:CW248)*$F$6</f>
        <v>2.2899999999999997E-2</v>
      </c>
      <c r="CQ237" s="9">
        <f>SUM(CV241:CV252)/SUM(CW241:CW252)*$F$6</f>
        <v>2.3599999999999999E-2</v>
      </c>
      <c r="CR237" s="9">
        <f>SUM(CV241:CV256)/SUM(CW241:CW256)*$F$6</f>
        <v>2.4200000000000006E-2</v>
      </c>
      <c r="CS237" s="9">
        <f>SUM(CV241:CV260)/SUM(CW241:CW260)*$F$6</f>
        <v>2.4799962253778684E-2</v>
      </c>
      <c r="CT237" s="9">
        <f>SUM(CV241:CV268)/SUM(CW241:CW268)*$F$6</f>
        <v>2.5701564866490941E-2</v>
      </c>
      <c r="CU237" s="9">
        <f>SUM(CV241:CV280)/SUM(CW241:CW280)*$F$6</f>
        <v>2.6902586106302254E-2</v>
      </c>
      <c r="DA237" s="3">
        <f>DG240</f>
        <v>2.53E-2</v>
      </c>
      <c r="DB237" s="9">
        <f>SUM(DI241:DI244)/SUM(DJ241:DJ244)*$F$6</f>
        <v>2.3199999999999998E-2</v>
      </c>
      <c r="DC237" s="9">
        <f>SUM(DI241:DI248)/SUM(DJ241:DJ248)*$F$6</f>
        <v>2.2899999999999997E-2</v>
      </c>
      <c r="DD237" s="9">
        <f>SUM(DI241:DI252)/SUM(DJ241:DJ252)*$F$6</f>
        <v>2.3599999999999999E-2</v>
      </c>
      <c r="DE237" s="9">
        <f>SUM(DI241:DI256)/SUM(DJ241:DJ256)*$F$6</f>
        <v>2.4200000000000006E-2</v>
      </c>
      <c r="DF237" s="9">
        <f>SUM(DI241:DI260)/SUM(DJ241:DJ260)*$F$6</f>
        <v>2.4800000000000006E-2</v>
      </c>
      <c r="DG237" s="9">
        <f>SUM(DI241:DI268)/SUM(DJ241:DJ268)*$F$6</f>
        <v>2.5699925880549229E-2</v>
      </c>
      <c r="DH237" s="9">
        <f>SUM(DI241:DI280)/SUM(DJ241:DJ280)*$F$6</f>
        <v>2.6901420924555632E-2</v>
      </c>
    </row>
    <row r="239" spans="1:115" x14ac:dyDescent="0.25">
      <c r="A239" t="s">
        <v>9</v>
      </c>
      <c r="B239" t="s">
        <v>18</v>
      </c>
      <c r="C239" t="s">
        <v>33</v>
      </c>
      <c r="D239" t="s">
        <v>34</v>
      </c>
      <c r="E239" t="s">
        <v>35</v>
      </c>
      <c r="F239" t="s">
        <v>36</v>
      </c>
      <c r="G239" t="s">
        <v>10</v>
      </c>
      <c r="H239" t="s">
        <v>19</v>
      </c>
      <c r="I239" t="s">
        <v>20</v>
      </c>
      <c r="J239" t="s">
        <v>21</v>
      </c>
      <c r="N239" t="s">
        <v>9</v>
      </c>
      <c r="O239" t="s">
        <v>18</v>
      </c>
      <c r="P239" t="s">
        <v>33</v>
      </c>
      <c r="Q239" t="s">
        <v>34</v>
      </c>
      <c r="R239" t="s">
        <v>35</v>
      </c>
      <c r="S239" t="s">
        <v>36</v>
      </c>
      <c r="T239" t="s">
        <v>10</v>
      </c>
      <c r="U239" t="s">
        <v>19</v>
      </c>
      <c r="V239" t="s">
        <v>20</v>
      </c>
      <c r="W239" t="s">
        <v>21</v>
      </c>
      <c r="AA239" t="s">
        <v>9</v>
      </c>
      <c r="AB239" t="s">
        <v>18</v>
      </c>
      <c r="AC239" t="s">
        <v>33</v>
      </c>
      <c r="AD239" t="s">
        <v>34</v>
      </c>
      <c r="AE239" t="s">
        <v>35</v>
      </c>
      <c r="AF239" t="s">
        <v>36</v>
      </c>
      <c r="AG239" t="s">
        <v>10</v>
      </c>
      <c r="AH239" t="s">
        <v>19</v>
      </c>
      <c r="AI239" t="s">
        <v>20</v>
      </c>
      <c r="AJ239" t="s">
        <v>21</v>
      </c>
      <c r="AN239" t="s">
        <v>9</v>
      </c>
      <c r="AO239" t="s">
        <v>18</v>
      </c>
      <c r="AP239" t="s">
        <v>33</v>
      </c>
      <c r="AQ239" t="s">
        <v>34</v>
      </c>
      <c r="AR239" t="s">
        <v>35</v>
      </c>
      <c r="AS239" t="s">
        <v>36</v>
      </c>
      <c r="AT239" t="s">
        <v>10</v>
      </c>
      <c r="AU239" t="s">
        <v>19</v>
      </c>
      <c r="AV239" t="s">
        <v>20</v>
      </c>
      <c r="AW239" t="s">
        <v>21</v>
      </c>
      <c r="BA239" t="s">
        <v>9</v>
      </c>
      <c r="BB239" t="s">
        <v>18</v>
      </c>
      <c r="BC239" t="s">
        <v>33</v>
      </c>
      <c r="BD239" t="s">
        <v>34</v>
      </c>
      <c r="BE239" t="s">
        <v>35</v>
      </c>
      <c r="BF239" t="s">
        <v>36</v>
      </c>
      <c r="BG239" t="s">
        <v>10</v>
      </c>
      <c r="BH239" t="s">
        <v>19</v>
      </c>
      <c r="BI239" t="s">
        <v>20</v>
      </c>
      <c r="BJ239" t="s">
        <v>21</v>
      </c>
      <c r="BN239" t="s">
        <v>9</v>
      </c>
      <c r="BO239" t="s">
        <v>18</v>
      </c>
      <c r="BP239" t="s">
        <v>33</v>
      </c>
      <c r="BQ239" t="s">
        <v>34</v>
      </c>
      <c r="BR239" t="s">
        <v>35</v>
      </c>
      <c r="BS239" t="s">
        <v>36</v>
      </c>
      <c r="BT239" t="s">
        <v>10</v>
      </c>
      <c r="BU239" t="s">
        <v>19</v>
      </c>
      <c r="BV239" t="s">
        <v>20</v>
      </c>
      <c r="BW239" t="s">
        <v>21</v>
      </c>
      <c r="CA239" t="s">
        <v>9</v>
      </c>
      <c r="CB239" t="s">
        <v>18</v>
      </c>
      <c r="CC239" t="s">
        <v>33</v>
      </c>
      <c r="CD239" t="s">
        <v>34</v>
      </c>
      <c r="CE239" t="s">
        <v>35</v>
      </c>
      <c r="CF239" t="s">
        <v>36</v>
      </c>
      <c r="CG239" t="s">
        <v>10</v>
      </c>
      <c r="CH239" t="s">
        <v>19</v>
      </c>
      <c r="CI239" t="s">
        <v>20</v>
      </c>
      <c r="CJ239" t="s">
        <v>21</v>
      </c>
      <c r="CN239" t="s">
        <v>9</v>
      </c>
      <c r="CO239" t="s">
        <v>18</v>
      </c>
      <c r="CP239" t="s">
        <v>33</v>
      </c>
      <c r="CQ239" t="s">
        <v>34</v>
      </c>
      <c r="CR239" t="s">
        <v>35</v>
      </c>
      <c r="CS239" t="s">
        <v>36</v>
      </c>
      <c r="CT239" t="s">
        <v>10</v>
      </c>
      <c r="CU239" t="s">
        <v>19</v>
      </c>
      <c r="CV239" t="s">
        <v>20</v>
      </c>
      <c r="CW239" t="s">
        <v>21</v>
      </c>
      <c r="DA239" t="s">
        <v>9</v>
      </c>
      <c r="DB239" t="s">
        <v>18</v>
      </c>
      <c r="DC239" t="s">
        <v>33</v>
      </c>
      <c r="DD239" t="s">
        <v>34</v>
      </c>
      <c r="DE239" t="s">
        <v>35</v>
      </c>
      <c r="DF239" t="s">
        <v>36</v>
      </c>
      <c r="DG239" t="s">
        <v>10</v>
      </c>
      <c r="DH239" t="s">
        <v>19</v>
      </c>
      <c r="DI239" t="s">
        <v>20</v>
      </c>
      <c r="DJ239" t="s">
        <v>21</v>
      </c>
    </row>
    <row r="240" spans="1:115" x14ac:dyDescent="0.25">
      <c r="A240" s="7">
        <v>0</v>
      </c>
      <c r="B240" s="7">
        <f t="array" ref="B240:B280">INDEX(A227:A235, MATCH(A240:A280, A227:A235, 1))</f>
        <v>0</v>
      </c>
      <c r="C240" s="11">
        <f t="array" ref="C240:C280">VLOOKUP(B240:B280, A227:K234, COLUMN(H227)-COLUMN(A227) + 1, FALSE)</f>
        <v>2.1795524777026124E-2</v>
      </c>
      <c r="D240" s="11">
        <f t="array" ref="D240:D280">VLOOKUP(B240:B280, A227:K234, COLUMN(I227)-COLUMN(A227) + 1, FALSE)</f>
        <v>-2.4519965374154389E-2</v>
      </c>
      <c r="E240" s="11">
        <f t="array" ref="E240:E280">VLOOKUP(B240:B280, A227:K234, COLUMN(J227)-COLUMN(A227) + 1, FALSE)</f>
        <v>0</v>
      </c>
      <c r="F240" s="1">
        <f t="array" ref="F240:F280">VLOOKUP(B240:B280, A227:K234, COLUMN(K227)-COLUMN(A227) + 1, FALSE)</f>
        <v>2.53E-2</v>
      </c>
      <c r="G240" s="3">
        <f t="shared" ref="G240:G279" si="459">C240*A240^3 + D240*A240^2 + E240*A240 + F240</f>
        <v>2.53E-2</v>
      </c>
      <c r="H240" s="11">
        <v>1</v>
      </c>
      <c r="N240" s="7">
        <v>0</v>
      </c>
      <c r="O240" s="7">
        <f t="array" ref="O240:O280">INDEX(N227:N235, MATCH(N240:N280, N227:N235, 1))</f>
        <v>0</v>
      </c>
      <c r="P240" s="11">
        <f t="array" ref="P240:P280">VLOOKUP(O240:O280, N227:X234, COLUMN(U227)-COLUMN(N227) + 1, FALSE)</f>
        <v>2.1842932184433526E-2</v>
      </c>
      <c r="Q240" s="11">
        <f t="array" ref="Q240:Q280">VLOOKUP(O240:O280, N227:X234, COLUMN(V227)-COLUMN(N227) + 1, FALSE)</f>
        <v>-2.4573298707487718E-2</v>
      </c>
      <c r="R240" s="11">
        <f t="array" ref="R240:R280">VLOOKUP(O240:O280, N227:X234, COLUMN(W227)-COLUMN(N227) + 1, FALSE)</f>
        <v>0</v>
      </c>
      <c r="S240" s="1">
        <f t="array" ref="S240:S280">VLOOKUP(O240:O280, N227:X234, COLUMN(X227)-COLUMN(N227) + 1, FALSE)</f>
        <v>2.5309999999999999E-2</v>
      </c>
      <c r="T240" s="3">
        <f t="shared" ref="T240:T279" si="460">P240*N240^3 + Q240*N240^2 + R240*N240 + S240</f>
        <v>2.5309999999999999E-2</v>
      </c>
      <c r="U240" s="11">
        <v>1</v>
      </c>
      <c r="AA240" s="7">
        <v>0</v>
      </c>
      <c r="AB240" s="7">
        <f t="array" ref="AB240:AB280">INDEX(AA227:AA235, MATCH(AA240:AA280, AA227:AA235, 1))</f>
        <v>0</v>
      </c>
      <c r="AC240" s="11">
        <f t="array" ref="AC240:AC280">VLOOKUP(AB240:AB280, AA227:AK234, COLUMN(AH227)-COLUMN(AA227) + 1, FALSE)</f>
        <v>2.1748117369618718E-2</v>
      </c>
      <c r="AD240" s="11">
        <f t="array" ref="AD240:AD280">VLOOKUP(AB240:AB280, AA227:AK234, COLUMN(AI227)-COLUMN(AA227) + 1, FALSE)</f>
        <v>-2.4466632040821057E-2</v>
      </c>
      <c r="AE240" s="11">
        <f t="array" ref="AE240:AE280">VLOOKUP(AB240:AB280, AA227:AK234, COLUMN(AJ227)-COLUMN(AA227) + 1, FALSE)</f>
        <v>0</v>
      </c>
      <c r="AF240" s="1">
        <f t="array" ref="AF240:AF280">VLOOKUP(AB240:AB280, AA227:AK234, COLUMN(AK227)-COLUMN(AA227) + 1, FALSE)</f>
        <v>2.53E-2</v>
      </c>
      <c r="AG240" s="3">
        <f t="shared" ref="AG240:AG279" si="461">AC240*AA240^3 + AD240*AA240^2 + AE240*AA240 + AF240</f>
        <v>2.53E-2</v>
      </c>
      <c r="AH240" s="11">
        <v>1</v>
      </c>
      <c r="AN240" s="7">
        <v>0</v>
      </c>
      <c r="AO240" s="7">
        <f t="array" ref="AO240:AO280">INDEX(AN227:AN235, MATCH(AN240:AN280, AN227:AN235, 1))</f>
        <v>0</v>
      </c>
      <c r="AP240" s="11">
        <f t="array" ref="AP240:AP280">VLOOKUP(AO240:AO280, AN227:AX234, COLUMN(AU227)-COLUMN(AN227) + 1, FALSE)</f>
        <v>2.1795524777026124E-2</v>
      </c>
      <c r="AQ240" s="11">
        <f t="array" ref="AQ240:AQ280">VLOOKUP(AO240:AO280, AN227:AX234, COLUMN(AV227)-COLUMN(AN227) + 1, FALSE)</f>
        <v>-2.4519965374154389E-2</v>
      </c>
      <c r="AR240" s="11">
        <f t="array" ref="AR240:AR280">VLOOKUP(AO240:AO280, AN227:AX234, COLUMN(AW227)-COLUMN(AN227) + 1, FALSE)</f>
        <v>0</v>
      </c>
      <c r="AS240" s="1">
        <f t="array" ref="AS240:AS280">VLOOKUP(AO240:AO280, AN227:AX234, COLUMN(AX227)-COLUMN(AN227) + 1, FALSE)</f>
        <v>2.53E-2</v>
      </c>
      <c r="AT240" s="3">
        <f t="shared" ref="AT240:AT279" si="462">AP240*AN240^3 + AQ240*AN240^2 + AR240*AN240 + AS240</f>
        <v>2.53E-2</v>
      </c>
      <c r="AU240" s="11">
        <v>1</v>
      </c>
      <c r="BA240" s="7">
        <v>0</v>
      </c>
      <c r="BB240" s="7">
        <f t="array" ref="BB240:BB280">INDEX(BA227:BA235, MATCH(BA240:BA280, BA227:BA235, 1))</f>
        <v>0</v>
      </c>
      <c r="BC240" s="11">
        <f t="array" ref="BC240:BC280">VLOOKUP(BB240:BB280, BA227:BK234, COLUMN(BH227)-COLUMN(BA227) + 1, FALSE)</f>
        <v>2.1795524777026124E-2</v>
      </c>
      <c r="BD240" s="11">
        <f t="array" ref="BD240:BD280">VLOOKUP(BB240:BB280, BA227:BK234, COLUMN(BI227)-COLUMN(BA227) + 1, FALSE)</f>
        <v>-2.4519965374154389E-2</v>
      </c>
      <c r="BE240" s="11">
        <f t="array" ref="BE240:BE280">VLOOKUP(BB240:BB280, BA227:BK234, COLUMN(BJ227)-COLUMN(BA227) + 1, FALSE)</f>
        <v>0</v>
      </c>
      <c r="BF240" s="1">
        <f t="array" ref="BF240:BF280">VLOOKUP(BB240:BB280, BA227:BK234, COLUMN(BK227)-COLUMN(BA227) + 1, FALSE)</f>
        <v>2.53E-2</v>
      </c>
      <c r="BG240" s="3">
        <f t="shared" ref="BG240:BG279" si="463">BC240*BA240^3 + BD240*BA240^2 + BE240*BA240 + BF240</f>
        <v>2.53E-2</v>
      </c>
      <c r="BH240" s="11">
        <v>1</v>
      </c>
      <c r="BN240" s="7">
        <v>0</v>
      </c>
      <c r="BO240" s="7">
        <f t="array" ref="BO240:BO280">INDEX(BN227:BN235, MATCH(BN240:BN280, BN227:BN235, 1))</f>
        <v>0</v>
      </c>
      <c r="BP240" s="11">
        <f t="array" ref="BP240:BP280">VLOOKUP(BO240:BO280, BN227:BX234, COLUMN(BU227)-COLUMN(BN227) + 1, FALSE)</f>
        <v>2.1795524777026124E-2</v>
      </c>
      <c r="BQ240" s="11">
        <f t="array" ref="BQ240:BQ280">VLOOKUP(BO240:BO280, BN227:BX234, COLUMN(BV227)-COLUMN(BN227) + 1, FALSE)</f>
        <v>-2.4519965374154389E-2</v>
      </c>
      <c r="BR240" s="11">
        <f t="array" ref="BR240:BR280">VLOOKUP(BO240:BO280, BN227:BX234, COLUMN(BW227)-COLUMN(BN227) + 1, FALSE)</f>
        <v>0</v>
      </c>
      <c r="BS240" s="1">
        <f t="array" ref="BS240:BS280">VLOOKUP(BO240:BO280, BN227:BX234, COLUMN(BX227)-COLUMN(BN227) + 1, FALSE)</f>
        <v>2.53E-2</v>
      </c>
      <c r="BT240" s="3">
        <f t="shared" ref="BT240:BT279" si="464">BP240*BN240^3 + BQ240*BN240^2 + BR240*BN240 + BS240</f>
        <v>2.53E-2</v>
      </c>
      <c r="BU240" s="11">
        <v>1</v>
      </c>
      <c r="CA240" s="7">
        <v>0</v>
      </c>
      <c r="CB240" s="7">
        <f t="array" ref="CB240:CB280">INDEX(CA227:CA235, MATCH(CA240:CA280, CA227:CA235, 1))</f>
        <v>0</v>
      </c>
      <c r="CC240" s="11">
        <f t="array" ref="CC240:CC280">VLOOKUP(CB240:CB280, CA227:CK234, COLUMN(CH227)-COLUMN(CA227) + 1, FALSE)</f>
        <v>2.1795524777026124E-2</v>
      </c>
      <c r="CD240" s="11">
        <f t="array" ref="CD240:CD280">VLOOKUP(CB240:CB280, CA227:CK234, COLUMN(CI227)-COLUMN(CA227) + 1, FALSE)</f>
        <v>-2.4519965374154389E-2</v>
      </c>
      <c r="CE240" s="11">
        <f t="array" ref="CE240:CE280">VLOOKUP(CB240:CB280, CA227:CK234, COLUMN(CJ227)-COLUMN(CA227) + 1, FALSE)</f>
        <v>0</v>
      </c>
      <c r="CF240" s="1">
        <f t="array" ref="CF240:CF280">VLOOKUP(CB240:CB280, CA227:CK234, COLUMN(CK227)-COLUMN(CA227) + 1, FALSE)</f>
        <v>2.53E-2</v>
      </c>
      <c r="CG240" s="3">
        <f t="shared" ref="CG240:CG279" si="465">CC240*CA240^3 + CD240*CA240^2 + CE240*CA240 + CF240</f>
        <v>2.53E-2</v>
      </c>
      <c r="CH240" s="11">
        <v>1</v>
      </c>
      <c r="CN240" s="7">
        <v>0</v>
      </c>
      <c r="CO240" s="7">
        <f t="array" ref="CO240:CO280">INDEX(CN227:CN235, MATCH(CN240:CN280, CN227:CN235, 1))</f>
        <v>0</v>
      </c>
      <c r="CP240" s="11">
        <f t="array" ref="CP240:CP280">VLOOKUP(CO240:CO280, CN227:CX234, COLUMN(CU227)-COLUMN(CN227) + 1, FALSE)</f>
        <v>2.1795524777026124E-2</v>
      </c>
      <c r="CQ240" s="11">
        <f t="array" ref="CQ240:CQ280">VLOOKUP(CO240:CO280, CN227:CX234, COLUMN(CV227)-COLUMN(CN227) + 1, FALSE)</f>
        <v>-2.4519965374154389E-2</v>
      </c>
      <c r="CR240" s="11">
        <f t="array" ref="CR240:CR280">VLOOKUP(CO240:CO280, CN227:CX234, COLUMN(CW227)-COLUMN(CN227) + 1, FALSE)</f>
        <v>0</v>
      </c>
      <c r="CS240" s="1">
        <f t="array" ref="CS240:CS280">VLOOKUP(CO240:CO280, CN227:CX234, COLUMN(CX227)-COLUMN(CN227) + 1, FALSE)</f>
        <v>2.53E-2</v>
      </c>
      <c r="CT240" s="3">
        <f t="shared" ref="CT240:CT279" si="466">CP240*CN240^3 + CQ240*CN240^2 + CR240*CN240 + CS240</f>
        <v>2.53E-2</v>
      </c>
      <c r="CU240" s="11">
        <v>1</v>
      </c>
      <c r="DA240" s="7">
        <v>0</v>
      </c>
      <c r="DB240" s="7">
        <f t="array" ref="DB240:DB280">INDEX(DA227:DA235, MATCH(DA240:DA280, DA227:DA235, 1))</f>
        <v>0</v>
      </c>
      <c r="DC240" s="11">
        <f t="array" ref="DC240:DC280">VLOOKUP(DB240:DB280, DA227:DK234, COLUMN(DH227)-COLUMN(DA227) + 1, FALSE)</f>
        <v>2.1795524777026124E-2</v>
      </c>
      <c r="DD240" s="11">
        <f t="array" ref="DD240:DD280">VLOOKUP(DB240:DB280, DA227:DK234, COLUMN(DI227)-COLUMN(DA227) + 1, FALSE)</f>
        <v>-2.4519965374154389E-2</v>
      </c>
      <c r="DE240" s="11">
        <f t="array" ref="DE240:DE280">VLOOKUP(DB240:DB280, DA227:DK234, COLUMN(DJ227)-COLUMN(DA227) + 1, FALSE)</f>
        <v>0</v>
      </c>
      <c r="DF240" s="1">
        <f t="array" ref="DF240:DF280">VLOOKUP(DB240:DB280, DA227:DK234, COLUMN(DK227)-COLUMN(DA227) + 1, FALSE)</f>
        <v>2.53E-2</v>
      </c>
      <c r="DG240" s="3">
        <f t="shared" ref="DG240:DG279" si="467">DC240*DA240^3 + DD240*DA240^2 + DE240*DA240 + DF240</f>
        <v>2.53E-2</v>
      </c>
      <c r="DH240" s="11">
        <v>1</v>
      </c>
    </row>
    <row r="241" spans="1:115" x14ac:dyDescent="0.25">
      <c r="A241" s="7">
        <v>0.25</v>
      </c>
      <c r="B241" s="7">
        <v>0</v>
      </c>
      <c r="C241" s="11">
        <v>2.1795524777026124E-2</v>
      </c>
      <c r="D241" s="11">
        <v>-2.4519965374154389E-2</v>
      </c>
      <c r="E241" s="11">
        <v>0</v>
      </c>
      <c r="F241" s="1">
        <v>2.53E-2</v>
      </c>
      <c r="G241" s="3">
        <f t="shared" si="459"/>
        <v>2.4108057238756385E-2</v>
      </c>
      <c r="H241" s="11">
        <f t="shared" ref="H241:H280" si="468">H240 / (1 + G240*(A241-A240))</f>
        <v>0.99371475417981281</v>
      </c>
      <c r="I241" s="3">
        <f t="array" ref="I241:I280">G240:G279 * H241:H280 * (A241:A280-A240:A279)</f>
        <v>6.2852458201873157E-3</v>
      </c>
      <c r="J241" s="11">
        <f t="array" ref="J241:J280">(ROUND(A241:A280*$F$6, 0)=A241:A280*$F$6) * H241:H280</f>
        <v>0</v>
      </c>
      <c r="N241" s="7">
        <v>0.25</v>
      </c>
      <c r="O241" s="7">
        <v>0</v>
      </c>
      <c r="P241" s="11">
        <v>2.1842932184433526E-2</v>
      </c>
      <c r="Q241" s="11">
        <v>-2.4573298707487718E-2</v>
      </c>
      <c r="R241" s="11">
        <v>0</v>
      </c>
      <c r="S241" s="1">
        <v>2.5309999999999999E-2</v>
      </c>
      <c r="T241" s="3">
        <f t="shared" si="460"/>
        <v>2.4115464646163792E-2</v>
      </c>
      <c r="U241" s="11">
        <f t="shared" ref="U241:U280" si="469">U240 / (1 + T240*(N241-N240))</f>
        <v>0.99371228551341384</v>
      </c>
      <c r="V241" s="3">
        <f t="array" ref="V241:V280">T240:T279 * U241:U280 * (N241:N280-N240:N279)</f>
        <v>6.2877144865861262E-3</v>
      </c>
      <c r="W241" s="11">
        <f t="array" ref="W241:W280">(ROUND(N241:N280*$F$6, 0)=N241:N280*$F$6) * U241:U280</f>
        <v>0</v>
      </c>
      <c r="AA241" s="7">
        <v>0.25</v>
      </c>
      <c r="AB241" s="7">
        <v>0</v>
      </c>
      <c r="AC241" s="11">
        <v>2.1748117369618718E-2</v>
      </c>
      <c r="AD241" s="11">
        <v>-2.4466632040821057E-2</v>
      </c>
      <c r="AE241" s="11">
        <v>0</v>
      </c>
      <c r="AF241" s="1">
        <v>2.53E-2</v>
      </c>
      <c r="AG241" s="3">
        <f t="shared" si="461"/>
        <v>2.4110649831348977E-2</v>
      </c>
      <c r="AH241" s="11">
        <f t="shared" ref="AH241:AH280" si="470">AH240 / (1 + AG240*(AA241-AA240))</f>
        <v>0.99371475417981281</v>
      </c>
      <c r="AI241" s="3">
        <f t="array" ref="AI241:AI280">AG240:AG279 * AH241:AH280 * (AA241:AA280-AA240:AA279)</f>
        <v>6.2852458201873157E-3</v>
      </c>
      <c r="AJ241" s="11">
        <f t="array" ref="AJ241:AJ280">(ROUND(AA241:AA280*$F$6, 0)=AA241:AA280*$F$6) * AH241:AH280</f>
        <v>0</v>
      </c>
      <c r="AK241" s="11"/>
      <c r="AN241" s="7">
        <v>0.25</v>
      </c>
      <c r="AO241" s="7">
        <v>0</v>
      </c>
      <c r="AP241" s="11">
        <v>2.1795524777026124E-2</v>
      </c>
      <c r="AQ241" s="11">
        <v>-2.4519965374154389E-2</v>
      </c>
      <c r="AR241" s="11">
        <v>0</v>
      </c>
      <c r="AS241" s="1">
        <v>2.53E-2</v>
      </c>
      <c r="AT241" s="3">
        <f t="shared" si="462"/>
        <v>2.4108057238756385E-2</v>
      </c>
      <c r="AU241" s="11">
        <f t="shared" ref="AU241:AU280" si="471">AU240 / (1 + AT240*(AN241-AN240))</f>
        <v>0.99371475417981281</v>
      </c>
      <c r="AV241" s="3">
        <f t="array" ref="AV241:AV280">AT240:AT279 * AU241:AU280 * (AN241:AN280-AN240:AN279)</f>
        <v>6.2852458201873157E-3</v>
      </c>
      <c r="AW241" s="11">
        <f t="array" ref="AW241:AW280">(ROUND(AN241:AN280*$F$6, 0)=AN241:AN280*$F$6) * AU241:AU280</f>
        <v>0</v>
      </c>
      <c r="AX241" s="11"/>
      <c r="BA241" s="7">
        <v>0.25</v>
      </c>
      <c r="BB241" s="7">
        <v>0</v>
      </c>
      <c r="BC241" s="11">
        <v>2.1795524777026124E-2</v>
      </c>
      <c r="BD241" s="11">
        <v>-2.4519965374154389E-2</v>
      </c>
      <c r="BE241" s="11">
        <v>0</v>
      </c>
      <c r="BF241" s="1">
        <v>2.53E-2</v>
      </c>
      <c r="BG241" s="3">
        <f t="shared" si="463"/>
        <v>2.4108057238756385E-2</v>
      </c>
      <c r="BH241" s="11">
        <f t="shared" ref="BH241:BH280" si="472">BH240 / (1 + BG240*(BA241-BA240))</f>
        <v>0.99371475417981281</v>
      </c>
      <c r="BI241" s="3">
        <f t="array" ref="BI241:BI280">BG240:BG279 * BH241:BH280 * (BA241:BA280-BA240:BA279)</f>
        <v>6.2852458201873157E-3</v>
      </c>
      <c r="BJ241" s="11">
        <f t="array" ref="BJ241:BJ280">(ROUND(BA241:BA280*$F$6, 0)=BA241:BA280*$F$6) * BH241:BH280</f>
        <v>0</v>
      </c>
      <c r="BK241" s="11"/>
      <c r="BN241" s="7">
        <v>0.25</v>
      </c>
      <c r="BO241" s="7">
        <v>0</v>
      </c>
      <c r="BP241" s="11">
        <v>2.1795524777026124E-2</v>
      </c>
      <c r="BQ241" s="11">
        <v>-2.4519965374154389E-2</v>
      </c>
      <c r="BR241" s="11">
        <v>0</v>
      </c>
      <c r="BS241" s="1">
        <v>2.53E-2</v>
      </c>
      <c r="BT241" s="3">
        <f t="shared" si="464"/>
        <v>2.4108057238756385E-2</v>
      </c>
      <c r="BU241" s="11">
        <f t="shared" ref="BU241:BU280" si="473">BU240 / (1 + BT240*(BN241-BN240))</f>
        <v>0.99371475417981281</v>
      </c>
      <c r="BV241" s="3">
        <f t="array" ref="BV241:BV280">BT240:BT279 * BU241:BU280 * (BN241:BN280-BN240:BN279)</f>
        <v>6.2852458201873157E-3</v>
      </c>
      <c r="BW241" s="11">
        <f t="array" ref="BW241:BW280">(ROUND(BN241:BN280*$F$6, 0)=BN241:BN280*$F$6) * BU241:BU280</f>
        <v>0</v>
      </c>
      <c r="BX241" s="11"/>
      <c r="CA241" s="7">
        <v>0.25</v>
      </c>
      <c r="CB241" s="7">
        <v>0</v>
      </c>
      <c r="CC241" s="11">
        <v>2.1795524777026124E-2</v>
      </c>
      <c r="CD241" s="11">
        <v>-2.4519965374154389E-2</v>
      </c>
      <c r="CE241" s="11">
        <v>0</v>
      </c>
      <c r="CF241" s="1">
        <v>2.53E-2</v>
      </c>
      <c r="CG241" s="3">
        <f t="shared" si="465"/>
        <v>2.4108057238756385E-2</v>
      </c>
      <c r="CH241" s="11">
        <f t="shared" ref="CH241:CH280" si="474">CH240 / (1 + CG240*(CA241-CA240))</f>
        <v>0.99371475417981281</v>
      </c>
      <c r="CI241" s="3">
        <f t="array" ref="CI241:CI280">CG240:CG279 * CH241:CH280 * (CA241:CA280-CA240:CA279)</f>
        <v>6.2852458201873157E-3</v>
      </c>
      <c r="CJ241" s="11">
        <f t="array" ref="CJ241:CJ280">(ROUND(CA241:CA280*$F$6, 0)=CA241:CA280*$F$6) * CH241:CH280</f>
        <v>0</v>
      </c>
      <c r="CK241" s="11"/>
      <c r="CN241" s="7">
        <v>0.25</v>
      </c>
      <c r="CO241" s="7">
        <v>0</v>
      </c>
      <c r="CP241" s="11">
        <v>2.1795524777026124E-2</v>
      </c>
      <c r="CQ241" s="11">
        <v>-2.4519965374154389E-2</v>
      </c>
      <c r="CR241" s="11">
        <v>0</v>
      </c>
      <c r="CS241" s="1">
        <v>2.53E-2</v>
      </c>
      <c r="CT241" s="3">
        <f t="shared" si="466"/>
        <v>2.4108057238756385E-2</v>
      </c>
      <c r="CU241" s="11">
        <f t="shared" ref="CU241:CU280" si="475">CU240 / (1 + CT240*(CN241-CN240))</f>
        <v>0.99371475417981281</v>
      </c>
      <c r="CV241" s="3">
        <f t="array" ref="CV241:CV280">CT240:CT279 * CU241:CU280 * (CN241:CN280-CN240:CN279)</f>
        <v>6.2852458201873157E-3</v>
      </c>
      <c r="CW241" s="11">
        <f t="array" ref="CW241:CW280">(ROUND(CN241:CN280*$F$6, 0)=CN241:CN280*$F$6) * CU241:CU280</f>
        <v>0</v>
      </c>
      <c r="CX241" s="11"/>
      <c r="DA241" s="7">
        <v>0.25</v>
      </c>
      <c r="DB241" s="7">
        <v>0</v>
      </c>
      <c r="DC241" s="11">
        <v>2.1795524777026124E-2</v>
      </c>
      <c r="DD241" s="11">
        <v>-2.4519965374154389E-2</v>
      </c>
      <c r="DE241" s="11">
        <v>0</v>
      </c>
      <c r="DF241" s="1">
        <v>2.53E-2</v>
      </c>
      <c r="DG241" s="3">
        <f t="shared" si="467"/>
        <v>2.4108057238756385E-2</v>
      </c>
      <c r="DH241" s="11">
        <f t="shared" ref="DH241:DH280" si="476">DH240 / (1 + DG240*(DA241-DA240))</f>
        <v>0.99371475417981281</v>
      </c>
      <c r="DI241" s="3">
        <f t="array" ref="DI241:DI280">DG240:DG279 * DH241:DH280 * (DA241:DA280-DA240:DA279)</f>
        <v>6.2852458201873157E-3</v>
      </c>
      <c r="DJ241" s="11">
        <f t="array" ref="DJ241:DJ280">(ROUND(DA241:DA280*$F$6, 0)=DA241:DA280*$F$6) * DH241:DH280</f>
        <v>0</v>
      </c>
      <c r="DK241" s="11"/>
    </row>
    <row r="242" spans="1:115" x14ac:dyDescent="0.25">
      <c r="A242" s="7">
        <v>0.5</v>
      </c>
      <c r="B242" s="7">
        <v>0</v>
      </c>
      <c r="C242" s="11">
        <v>2.1795524777026124E-2</v>
      </c>
      <c r="D242" s="11">
        <v>-2.4519965374154389E-2</v>
      </c>
      <c r="E242" s="11">
        <v>0</v>
      </c>
      <c r="F242" s="1">
        <v>2.53E-2</v>
      </c>
      <c r="G242" s="3">
        <f t="shared" si="459"/>
        <v>2.1894449253589666E-2</v>
      </c>
      <c r="H242" s="11">
        <f t="shared" si="468"/>
        <v>0.98776150147585795</v>
      </c>
      <c r="I242" s="3">
        <v>5.9532527039549829E-3</v>
      </c>
      <c r="J242" s="11">
        <v>0</v>
      </c>
      <c r="N242" s="7">
        <v>0.5</v>
      </c>
      <c r="O242" s="7">
        <v>0</v>
      </c>
      <c r="P242" s="11">
        <v>2.1842932184433526E-2</v>
      </c>
      <c r="Q242" s="11">
        <v>-2.4573298707487718E-2</v>
      </c>
      <c r="R242" s="11">
        <v>0</v>
      </c>
      <c r="S242" s="1">
        <v>2.5309999999999999E-2</v>
      </c>
      <c r="T242" s="3">
        <f t="shared" si="460"/>
        <v>2.1897041846182262E-2</v>
      </c>
      <c r="U242" s="11">
        <f t="shared" si="469"/>
        <v>0.98775722937740307</v>
      </c>
      <c r="V242" s="3">
        <v>5.955056136010866E-3</v>
      </c>
      <c r="W242" s="11">
        <v>0</v>
      </c>
      <c r="AA242" s="7">
        <v>0.5</v>
      </c>
      <c r="AB242" s="7">
        <v>0</v>
      </c>
      <c r="AC242" s="11">
        <v>2.1748117369618718E-2</v>
      </c>
      <c r="AD242" s="11">
        <v>-2.4466632040821057E-2</v>
      </c>
      <c r="AE242" s="11">
        <v>0</v>
      </c>
      <c r="AF242" s="1">
        <v>2.53E-2</v>
      </c>
      <c r="AG242" s="3">
        <f t="shared" si="461"/>
        <v>2.1901856660997074E-2</v>
      </c>
      <c r="AH242" s="11">
        <f t="shared" si="470"/>
        <v>0.98776086509595307</v>
      </c>
      <c r="AI242" s="3">
        <v>5.9538890838597147E-3</v>
      </c>
      <c r="AJ242" s="11">
        <v>0</v>
      </c>
      <c r="AK242" s="11"/>
      <c r="AN242" s="7">
        <v>0.5</v>
      </c>
      <c r="AO242" s="7">
        <v>0</v>
      </c>
      <c r="AP242" s="11">
        <v>2.1795524777026124E-2</v>
      </c>
      <c r="AQ242" s="11">
        <v>-2.4519965374154389E-2</v>
      </c>
      <c r="AR242" s="11">
        <v>0</v>
      </c>
      <c r="AS242" s="1">
        <v>2.53E-2</v>
      </c>
      <c r="AT242" s="3">
        <f t="shared" si="462"/>
        <v>2.1894449253589666E-2</v>
      </c>
      <c r="AU242" s="11">
        <f t="shared" si="471"/>
        <v>0.98776150147585795</v>
      </c>
      <c r="AV242" s="3">
        <v>5.9532527039549829E-3</v>
      </c>
      <c r="AW242" s="11">
        <v>0</v>
      </c>
      <c r="AX242" s="11"/>
      <c r="BA242" s="7">
        <v>0.5</v>
      </c>
      <c r="BB242" s="7">
        <v>0</v>
      </c>
      <c r="BC242" s="11">
        <v>2.1795524777026124E-2</v>
      </c>
      <c r="BD242" s="11">
        <v>-2.4519965374154389E-2</v>
      </c>
      <c r="BE242" s="11">
        <v>0</v>
      </c>
      <c r="BF242" s="1">
        <v>2.53E-2</v>
      </c>
      <c r="BG242" s="3">
        <f t="shared" si="463"/>
        <v>2.1894449253589666E-2</v>
      </c>
      <c r="BH242" s="11">
        <f t="shared" si="472"/>
        <v>0.98776150147585795</v>
      </c>
      <c r="BI242" s="3">
        <v>5.9532527039549829E-3</v>
      </c>
      <c r="BJ242" s="11">
        <v>0</v>
      </c>
      <c r="BK242" s="11"/>
      <c r="BN242" s="7">
        <v>0.5</v>
      </c>
      <c r="BO242" s="7">
        <v>0</v>
      </c>
      <c r="BP242" s="11">
        <v>2.1795524777026124E-2</v>
      </c>
      <c r="BQ242" s="11">
        <v>-2.4519965374154389E-2</v>
      </c>
      <c r="BR242" s="11">
        <v>0</v>
      </c>
      <c r="BS242" s="1">
        <v>2.53E-2</v>
      </c>
      <c r="BT242" s="3">
        <f t="shared" si="464"/>
        <v>2.1894449253589666E-2</v>
      </c>
      <c r="BU242" s="11">
        <f t="shared" si="473"/>
        <v>0.98776150147585795</v>
      </c>
      <c r="BV242" s="3">
        <v>5.9532527039549829E-3</v>
      </c>
      <c r="BW242" s="11">
        <v>0</v>
      </c>
      <c r="BX242" s="11"/>
      <c r="CA242" s="7">
        <v>0.5</v>
      </c>
      <c r="CB242" s="7">
        <v>0</v>
      </c>
      <c r="CC242" s="11">
        <v>2.1795524777026124E-2</v>
      </c>
      <c r="CD242" s="11">
        <v>-2.4519965374154389E-2</v>
      </c>
      <c r="CE242" s="11">
        <v>0</v>
      </c>
      <c r="CF242" s="1">
        <v>2.53E-2</v>
      </c>
      <c r="CG242" s="3">
        <f t="shared" si="465"/>
        <v>2.1894449253589666E-2</v>
      </c>
      <c r="CH242" s="11">
        <f t="shared" si="474"/>
        <v>0.98776150147585795</v>
      </c>
      <c r="CI242" s="3">
        <v>5.9532527039549829E-3</v>
      </c>
      <c r="CJ242" s="11">
        <v>0</v>
      </c>
      <c r="CK242" s="11"/>
      <c r="CN242" s="7">
        <v>0.5</v>
      </c>
      <c r="CO242" s="7">
        <v>0</v>
      </c>
      <c r="CP242" s="11">
        <v>2.1795524777026124E-2</v>
      </c>
      <c r="CQ242" s="11">
        <v>-2.4519965374154389E-2</v>
      </c>
      <c r="CR242" s="11">
        <v>0</v>
      </c>
      <c r="CS242" s="1">
        <v>2.53E-2</v>
      </c>
      <c r="CT242" s="3">
        <f t="shared" si="466"/>
        <v>2.1894449253589666E-2</v>
      </c>
      <c r="CU242" s="11">
        <f t="shared" si="475"/>
        <v>0.98776150147585795</v>
      </c>
      <c r="CV242" s="3">
        <v>5.9532527039549829E-3</v>
      </c>
      <c r="CW242" s="11">
        <v>0</v>
      </c>
      <c r="CX242" s="11"/>
      <c r="DA242" s="7">
        <v>0.5</v>
      </c>
      <c r="DB242" s="7">
        <v>0</v>
      </c>
      <c r="DC242" s="11">
        <v>2.1795524777026124E-2</v>
      </c>
      <c r="DD242" s="11">
        <v>-2.4519965374154389E-2</v>
      </c>
      <c r="DE242" s="11">
        <v>0</v>
      </c>
      <c r="DF242" s="1">
        <v>2.53E-2</v>
      </c>
      <c r="DG242" s="3">
        <f t="shared" si="467"/>
        <v>2.1894449253589666E-2</v>
      </c>
      <c r="DH242" s="11">
        <f t="shared" si="476"/>
        <v>0.98776150147585795</v>
      </c>
      <c r="DI242" s="3">
        <v>5.9532527039549829E-3</v>
      </c>
      <c r="DJ242" s="11">
        <v>0</v>
      </c>
      <c r="DK242" s="11"/>
    </row>
    <row r="243" spans="1:115" x14ac:dyDescent="0.25">
      <c r="A243" s="7">
        <v>0.75</v>
      </c>
      <c r="B243" s="7">
        <v>0.75</v>
      </c>
      <c r="C243" s="11">
        <v>-3.7060713183952199E-3</v>
      </c>
      <c r="D243" s="11">
        <v>1.5057782665666661E-2</v>
      </c>
      <c r="E243" s="11">
        <v>-1.6332678648708059E-2</v>
      </c>
      <c r="F243" s="1">
        <v>2.6045511566887579E-2</v>
      </c>
      <c r="G243" s="3">
        <f t="shared" si="459"/>
        <v>2.0702506492346048E-2</v>
      </c>
      <c r="H243" s="11">
        <f t="shared" si="468"/>
        <v>0.98238431061677756</v>
      </c>
      <c r="I243" s="3">
        <v>5.3771908590804262E-3</v>
      </c>
      <c r="J243" s="11">
        <v>0</v>
      </c>
      <c r="N243" s="7">
        <v>0.75</v>
      </c>
      <c r="O243" s="7">
        <v>0.75</v>
      </c>
      <c r="P243" s="11">
        <v>-3.7060713183952199E-3</v>
      </c>
      <c r="Q243" s="11">
        <v>1.5057782665666661E-2</v>
      </c>
      <c r="R243" s="11">
        <v>-1.6332678648708059E-2</v>
      </c>
      <c r="S243" s="1">
        <v>2.6045511566887579E-2</v>
      </c>
      <c r="T243" s="3">
        <f t="shared" si="460"/>
        <v>2.0702506492346048E-2</v>
      </c>
      <c r="U243" s="11">
        <f t="shared" si="469"/>
        <v>0.98237942851365501</v>
      </c>
      <c r="V243" s="3">
        <v>5.37780086374803E-3</v>
      </c>
      <c r="W243" s="11">
        <v>0</v>
      </c>
      <c r="AA243" s="7">
        <v>0.75</v>
      </c>
      <c r="AB243" s="7">
        <v>0.75</v>
      </c>
      <c r="AC243" s="11">
        <v>-3.6910713183952205E-3</v>
      </c>
      <c r="AD243" s="11">
        <v>1.4999032665666663E-2</v>
      </c>
      <c r="AE243" s="11">
        <v>-1.6269866148708061E-2</v>
      </c>
      <c r="AF243" s="1">
        <v>2.6035120941887584E-2</v>
      </c>
      <c r="AG243" s="3">
        <f t="shared" si="461"/>
        <v>2.0712506492346051E-2</v>
      </c>
      <c r="AH243" s="11">
        <f t="shared" si="470"/>
        <v>0.98238186837905295</v>
      </c>
      <c r="AI243" s="3">
        <v>5.3789967169001283E-3</v>
      </c>
      <c r="AJ243" s="11">
        <v>0</v>
      </c>
      <c r="AK243" s="11"/>
      <c r="AN243" s="7">
        <v>0.75</v>
      </c>
      <c r="AO243" s="7">
        <v>0.75</v>
      </c>
      <c r="AP243" s="11">
        <v>-3.7260713183952191E-3</v>
      </c>
      <c r="AQ243" s="11">
        <v>1.5132782665666658E-2</v>
      </c>
      <c r="AR243" s="11">
        <v>-1.6411428648708055E-2</v>
      </c>
      <c r="AS243" s="1">
        <v>2.6070824066887582E-2</v>
      </c>
      <c r="AT243" s="3">
        <f t="shared" si="462"/>
        <v>2.0702506492346052E-2</v>
      </c>
      <c r="AU243" s="11">
        <f t="shared" si="471"/>
        <v>0.98238431061677756</v>
      </c>
      <c r="AV243" s="3">
        <v>5.3771908590804262E-3</v>
      </c>
      <c r="AW243" s="11">
        <v>0</v>
      </c>
      <c r="AX243" s="11"/>
      <c r="BA243" s="7">
        <v>0.75</v>
      </c>
      <c r="BB243" s="7">
        <v>0.75</v>
      </c>
      <c r="BC243" s="11">
        <v>-3.7010713183952201E-3</v>
      </c>
      <c r="BD243" s="11">
        <v>1.5041532665666662E-2</v>
      </c>
      <c r="BE243" s="11">
        <v>-1.6316741148708059E-2</v>
      </c>
      <c r="BF243" s="1">
        <v>2.6040589691887581E-2</v>
      </c>
      <c r="BG243" s="3">
        <f t="shared" si="463"/>
        <v>2.0702506492346052E-2</v>
      </c>
      <c r="BH243" s="11">
        <f t="shared" si="472"/>
        <v>0.98238431061677756</v>
      </c>
      <c r="BI243" s="3">
        <v>5.3771908590804262E-3</v>
      </c>
      <c r="BJ243" s="11">
        <v>0</v>
      </c>
      <c r="BK243" s="11"/>
      <c r="BN243" s="7">
        <v>0.75</v>
      </c>
      <c r="BO243" s="7">
        <v>0.75</v>
      </c>
      <c r="BP243" s="11">
        <v>-3.7060713183952199E-3</v>
      </c>
      <c r="BQ243" s="11">
        <v>1.5057782665666661E-2</v>
      </c>
      <c r="BR243" s="11">
        <v>-1.6332678648708059E-2</v>
      </c>
      <c r="BS243" s="1">
        <v>2.6045511566887579E-2</v>
      </c>
      <c r="BT243" s="3">
        <f t="shared" si="464"/>
        <v>2.0702506492346048E-2</v>
      </c>
      <c r="BU243" s="11">
        <f t="shared" si="473"/>
        <v>0.98238431061677756</v>
      </c>
      <c r="BV243" s="3">
        <v>5.3771908590804262E-3</v>
      </c>
      <c r="BW243" s="11">
        <v>0</v>
      </c>
      <c r="BX243" s="11"/>
      <c r="CA243" s="7">
        <v>0.75</v>
      </c>
      <c r="CB243" s="7">
        <v>0.75</v>
      </c>
      <c r="CC243" s="11">
        <v>-3.7060713183952199E-3</v>
      </c>
      <c r="CD243" s="11">
        <v>1.5057782665666661E-2</v>
      </c>
      <c r="CE243" s="11">
        <v>-1.6332678648708059E-2</v>
      </c>
      <c r="CF243" s="1">
        <v>2.6045511566887579E-2</v>
      </c>
      <c r="CG243" s="3">
        <f t="shared" si="465"/>
        <v>2.0702506492346048E-2</v>
      </c>
      <c r="CH243" s="11">
        <f t="shared" si="474"/>
        <v>0.98238431061677756</v>
      </c>
      <c r="CI243" s="3">
        <v>5.3771908590804262E-3</v>
      </c>
      <c r="CJ243" s="11">
        <v>0</v>
      </c>
      <c r="CK243" s="11"/>
      <c r="CN243" s="7">
        <v>0.75</v>
      </c>
      <c r="CO243" s="7">
        <v>0.75</v>
      </c>
      <c r="CP243" s="11">
        <v>-3.7060713183952199E-3</v>
      </c>
      <c r="CQ243" s="11">
        <v>1.5057782665666661E-2</v>
      </c>
      <c r="CR243" s="11">
        <v>-1.6332678648708059E-2</v>
      </c>
      <c r="CS243" s="1">
        <v>2.6045511566887579E-2</v>
      </c>
      <c r="CT243" s="3">
        <f t="shared" si="466"/>
        <v>2.0702506492346048E-2</v>
      </c>
      <c r="CU243" s="11">
        <f t="shared" si="475"/>
        <v>0.98238431061677756</v>
      </c>
      <c r="CV243" s="3">
        <v>5.3771908590804262E-3</v>
      </c>
      <c r="CW243" s="11">
        <v>0</v>
      </c>
      <c r="CX243" s="11"/>
      <c r="DA243" s="7">
        <v>0.75</v>
      </c>
      <c r="DB243" s="7">
        <v>0.75</v>
      </c>
      <c r="DC243" s="11">
        <v>-3.7060713183952199E-3</v>
      </c>
      <c r="DD243" s="11">
        <v>1.5057782665666661E-2</v>
      </c>
      <c r="DE243" s="11">
        <v>-1.6332678648708059E-2</v>
      </c>
      <c r="DF243" s="1">
        <v>2.6045511566887579E-2</v>
      </c>
      <c r="DG243" s="3">
        <f t="shared" si="467"/>
        <v>2.0702506492346048E-2</v>
      </c>
      <c r="DH243" s="11">
        <f t="shared" si="476"/>
        <v>0.98238431061677756</v>
      </c>
      <c r="DI243" s="3">
        <v>5.3771908590804262E-3</v>
      </c>
      <c r="DJ243" s="11">
        <v>0</v>
      </c>
      <c r="DK243" s="11"/>
    </row>
    <row r="244" spans="1:115" x14ac:dyDescent="0.25">
      <c r="A244" s="7">
        <v>1</v>
      </c>
      <c r="B244" s="7">
        <v>0.75</v>
      </c>
      <c r="C244" s="11">
        <v>-3.7060713183952199E-3</v>
      </c>
      <c r="D244" s="11">
        <v>1.5057782665666661E-2</v>
      </c>
      <c r="E244" s="11">
        <v>-1.6332678648708059E-2</v>
      </c>
      <c r="F244" s="1">
        <v>2.6045511566887579E-2</v>
      </c>
      <c r="G244" s="3">
        <f t="shared" si="459"/>
        <v>2.1064544265450961E-2</v>
      </c>
      <c r="H244" s="11">
        <f t="shared" si="468"/>
        <v>0.97732603596559842</v>
      </c>
      <c r="I244" s="3">
        <v>5.0582746511791572E-3</v>
      </c>
      <c r="J244" s="11">
        <v>0.97732603596559842</v>
      </c>
      <c r="N244" s="7">
        <v>1</v>
      </c>
      <c r="O244" s="7">
        <v>0.75</v>
      </c>
      <c r="P244" s="11">
        <v>-3.7060713183952199E-3</v>
      </c>
      <c r="Q244" s="11">
        <v>1.5057782665666661E-2</v>
      </c>
      <c r="R244" s="11">
        <v>-1.6332678648708059E-2</v>
      </c>
      <c r="S244" s="1">
        <v>2.6045511566887579E-2</v>
      </c>
      <c r="T244" s="3">
        <f t="shared" si="460"/>
        <v>2.1064544265450961E-2</v>
      </c>
      <c r="U244" s="11">
        <f t="shared" si="469"/>
        <v>0.97732117900031468</v>
      </c>
      <c r="V244" s="3">
        <v>5.0582495133403276E-3</v>
      </c>
      <c r="W244" s="11">
        <v>0.97732117900031468</v>
      </c>
      <c r="AA244" s="7">
        <v>1</v>
      </c>
      <c r="AB244" s="7">
        <v>0.75</v>
      </c>
      <c r="AC244" s="11">
        <v>-3.6910713183952205E-3</v>
      </c>
      <c r="AD244" s="11">
        <v>1.4999032665666663E-2</v>
      </c>
      <c r="AE244" s="11">
        <v>-1.6269866148708061E-2</v>
      </c>
      <c r="AF244" s="1">
        <v>2.6035120941887584E-2</v>
      </c>
      <c r="AG244" s="3">
        <f t="shared" si="461"/>
        <v>2.1073216140450966E-2</v>
      </c>
      <c r="AH244" s="11">
        <f t="shared" si="470"/>
        <v>0.97732117558047338</v>
      </c>
      <c r="AI244" s="3">
        <v>5.0606927985794572E-3</v>
      </c>
      <c r="AJ244" s="11">
        <v>0.97732117558047338</v>
      </c>
      <c r="AK244" s="11"/>
      <c r="AN244" s="7">
        <v>1</v>
      </c>
      <c r="AO244" s="7">
        <v>0.75</v>
      </c>
      <c r="AP244" s="11">
        <v>-3.7260713183952191E-3</v>
      </c>
      <c r="AQ244" s="11">
        <v>1.5132782665666658E-2</v>
      </c>
      <c r="AR244" s="11">
        <v>-1.6411428648708055E-2</v>
      </c>
      <c r="AS244" s="1">
        <v>2.6070824066887582E-2</v>
      </c>
      <c r="AT244" s="3">
        <f t="shared" si="462"/>
        <v>2.1066106765450968E-2</v>
      </c>
      <c r="AU244" s="11">
        <f t="shared" si="471"/>
        <v>0.97732603596559842</v>
      </c>
      <c r="AV244" s="3">
        <v>5.0582746511791581E-3</v>
      </c>
      <c r="AW244" s="11">
        <v>0.97732603596559842</v>
      </c>
      <c r="AX244" s="11"/>
      <c r="BA244" s="7">
        <v>1</v>
      </c>
      <c r="BB244" s="7">
        <v>0.75</v>
      </c>
      <c r="BC244" s="11">
        <v>-3.7010713183952201E-3</v>
      </c>
      <c r="BD244" s="11">
        <v>1.5041532665666662E-2</v>
      </c>
      <c r="BE244" s="11">
        <v>-1.6316741148708059E-2</v>
      </c>
      <c r="BF244" s="1">
        <v>2.6040589691887581E-2</v>
      </c>
      <c r="BG244" s="3">
        <f t="shared" si="463"/>
        <v>2.1064309890450966E-2</v>
      </c>
      <c r="BH244" s="11">
        <f t="shared" si="472"/>
        <v>0.97732603596559842</v>
      </c>
      <c r="BI244" s="3">
        <v>5.0582746511791581E-3</v>
      </c>
      <c r="BJ244" s="11">
        <v>0.97732603596559842</v>
      </c>
      <c r="BK244" s="11"/>
      <c r="BN244" s="7">
        <v>1</v>
      </c>
      <c r="BO244" s="7">
        <v>0.75</v>
      </c>
      <c r="BP244" s="11">
        <v>-3.7060713183952199E-3</v>
      </c>
      <c r="BQ244" s="11">
        <v>1.5057782665666661E-2</v>
      </c>
      <c r="BR244" s="11">
        <v>-1.6332678648708059E-2</v>
      </c>
      <c r="BS244" s="1">
        <v>2.6045511566887579E-2</v>
      </c>
      <c r="BT244" s="3">
        <f t="shared" si="464"/>
        <v>2.1064544265450961E-2</v>
      </c>
      <c r="BU244" s="11">
        <f t="shared" si="473"/>
        <v>0.97732603596559842</v>
      </c>
      <c r="BV244" s="3">
        <v>5.0582746511791572E-3</v>
      </c>
      <c r="BW244" s="11">
        <v>0.97732603596559842</v>
      </c>
      <c r="BX244" s="11"/>
      <c r="CA244" s="7">
        <v>1</v>
      </c>
      <c r="CB244" s="7">
        <v>0.75</v>
      </c>
      <c r="CC244" s="11">
        <v>-3.7060713183952199E-3</v>
      </c>
      <c r="CD244" s="11">
        <v>1.5057782665666661E-2</v>
      </c>
      <c r="CE244" s="11">
        <v>-1.6332678648708059E-2</v>
      </c>
      <c r="CF244" s="1">
        <v>2.6045511566887579E-2</v>
      </c>
      <c r="CG244" s="3">
        <f t="shared" si="465"/>
        <v>2.1064544265450961E-2</v>
      </c>
      <c r="CH244" s="11">
        <f t="shared" si="474"/>
        <v>0.97732603596559842</v>
      </c>
      <c r="CI244" s="3">
        <v>5.0582746511791572E-3</v>
      </c>
      <c r="CJ244" s="11">
        <v>0.97732603596559842</v>
      </c>
      <c r="CK244" s="11"/>
      <c r="CN244" s="7">
        <v>1</v>
      </c>
      <c r="CO244" s="7">
        <v>0.75</v>
      </c>
      <c r="CP244" s="11">
        <v>-3.7060713183952199E-3</v>
      </c>
      <c r="CQ244" s="11">
        <v>1.5057782665666661E-2</v>
      </c>
      <c r="CR244" s="11">
        <v>-1.6332678648708059E-2</v>
      </c>
      <c r="CS244" s="1">
        <v>2.6045511566887579E-2</v>
      </c>
      <c r="CT244" s="3">
        <f t="shared" si="466"/>
        <v>2.1064544265450961E-2</v>
      </c>
      <c r="CU244" s="11">
        <f t="shared" si="475"/>
        <v>0.97732603596559842</v>
      </c>
      <c r="CV244" s="3">
        <v>5.0582746511791572E-3</v>
      </c>
      <c r="CW244" s="11">
        <v>0.97732603596559842</v>
      </c>
      <c r="CX244" s="11"/>
      <c r="DA244" s="7">
        <v>1</v>
      </c>
      <c r="DB244" s="7">
        <v>0.75</v>
      </c>
      <c r="DC244" s="11">
        <v>-3.7060713183952199E-3</v>
      </c>
      <c r="DD244" s="11">
        <v>1.5057782665666661E-2</v>
      </c>
      <c r="DE244" s="11">
        <v>-1.6332678648708059E-2</v>
      </c>
      <c r="DF244" s="1">
        <v>2.6045511566887579E-2</v>
      </c>
      <c r="DG244" s="3">
        <f t="shared" si="467"/>
        <v>2.1064544265450961E-2</v>
      </c>
      <c r="DH244" s="11">
        <f t="shared" si="476"/>
        <v>0.97732603596559842</v>
      </c>
      <c r="DI244" s="3">
        <v>5.0582746511791572E-3</v>
      </c>
      <c r="DJ244" s="11">
        <v>0.97732603596559842</v>
      </c>
      <c r="DK244" s="11"/>
    </row>
    <row r="245" spans="1:115" x14ac:dyDescent="0.25">
      <c r="A245" s="7">
        <v>1.25</v>
      </c>
      <c r="B245" s="7">
        <v>0.75</v>
      </c>
      <c r="C245" s="11">
        <v>-3.7060713183952199E-3</v>
      </c>
      <c r="D245" s="11">
        <v>1.5057782665666661E-2</v>
      </c>
      <c r="E245" s="11">
        <v>-1.6332678648708059E-2</v>
      </c>
      <c r="F245" s="1">
        <v>2.6045511566887579E-2</v>
      </c>
      <c r="G245" s="3">
        <f t="shared" si="459"/>
        <v>2.1919028127366E-2</v>
      </c>
      <c r="H245" s="11">
        <f t="shared" si="468"/>
        <v>0.97220626548697353</v>
      </c>
      <c r="I245" s="3">
        <v>5.1197704786247805E-3</v>
      </c>
      <c r="J245" s="11">
        <v>0</v>
      </c>
      <c r="N245" s="7">
        <v>1.25</v>
      </c>
      <c r="O245" s="7">
        <v>0.75</v>
      </c>
      <c r="P245" s="11">
        <v>-3.7060713183952199E-3</v>
      </c>
      <c r="Q245" s="11">
        <v>1.5057782665666661E-2</v>
      </c>
      <c r="R245" s="11">
        <v>-1.6332678648708059E-2</v>
      </c>
      <c r="S245" s="1">
        <v>2.6045511566887579E-2</v>
      </c>
      <c r="T245" s="3">
        <f t="shared" si="460"/>
        <v>2.1919028127366E-2</v>
      </c>
      <c r="U245" s="11">
        <f t="shared" si="469"/>
        <v>0.97220143396514114</v>
      </c>
      <c r="V245" s="3">
        <v>5.1197450351734035E-3</v>
      </c>
      <c r="W245" s="11">
        <v>0</v>
      </c>
      <c r="AA245" s="7">
        <v>1.25</v>
      </c>
      <c r="AB245" s="7">
        <v>0.75</v>
      </c>
      <c r="AC245" s="11">
        <v>-3.6910713183952205E-3</v>
      </c>
      <c r="AD245" s="11">
        <v>1.4999032665666663E-2</v>
      </c>
      <c r="AE245" s="11">
        <v>-1.6269866148708061E-2</v>
      </c>
      <c r="AF245" s="1">
        <v>2.6035120941887584E-2</v>
      </c>
      <c r="AG245" s="3">
        <f t="shared" si="461"/>
        <v>2.1924653127366002E-2</v>
      </c>
      <c r="AH245" s="11">
        <f t="shared" si="470"/>
        <v>0.97219933390671875</v>
      </c>
      <c r="AI245" s="3">
        <v>5.121841673754686E-3</v>
      </c>
      <c r="AJ245" s="11">
        <v>0</v>
      </c>
      <c r="AK245" s="11"/>
      <c r="AN245" s="7">
        <v>1.25</v>
      </c>
      <c r="AO245" s="7">
        <v>0.75</v>
      </c>
      <c r="AP245" s="11">
        <v>-3.7260713183952191E-3</v>
      </c>
      <c r="AQ245" s="11">
        <v>1.5132782665666658E-2</v>
      </c>
      <c r="AR245" s="11">
        <v>-1.6411428648708055E-2</v>
      </c>
      <c r="AS245" s="1">
        <v>2.6070824066887582E-2</v>
      </c>
      <c r="AT245" s="3">
        <f t="shared" si="462"/>
        <v>2.1924028127366005E-2</v>
      </c>
      <c r="AU245" s="11">
        <f t="shared" si="471"/>
        <v>0.97220588770848171</v>
      </c>
      <c r="AV245" s="3">
        <v>5.1201482571167278E-3</v>
      </c>
      <c r="AW245" s="11">
        <v>0</v>
      </c>
      <c r="AX245" s="11"/>
      <c r="BA245" s="7">
        <v>1.25</v>
      </c>
      <c r="BB245" s="7">
        <v>0.75</v>
      </c>
      <c r="BC245" s="11">
        <v>-3.7010713183952201E-3</v>
      </c>
      <c r="BD245" s="11">
        <v>1.5041532665666662E-2</v>
      </c>
      <c r="BE245" s="11">
        <v>-1.6316741148708059E-2</v>
      </c>
      <c r="BF245" s="1">
        <v>2.6040589691887581E-2</v>
      </c>
      <c r="BG245" s="3">
        <f t="shared" si="463"/>
        <v>2.1918403127366003E-2</v>
      </c>
      <c r="BH245" s="11">
        <f t="shared" si="472"/>
        <v>0.97220632215377267</v>
      </c>
      <c r="BI245" s="3">
        <v>5.119713811825668E-3</v>
      </c>
      <c r="BJ245" s="11">
        <v>0</v>
      </c>
      <c r="BK245" s="11"/>
      <c r="BN245" s="7">
        <v>1.25</v>
      </c>
      <c r="BO245" s="7">
        <v>0.75</v>
      </c>
      <c r="BP245" s="11">
        <v>-3.7060713183952199E-3</v>
      </c>
      <c r="BQ245" s="11">
        <v>1.5057782665666661E-2</v>
      </c>
      <c r="BR245" s="11">
        <v>-1.6332678648708059E-2</v>
      </c>
      <c r="BS245" s="1">
        <v>2.6045511566887579E-2</v>
      </c>
      <c r="BT245" s="3">
        <f t="shared" si="464"/>
        <v>2.1919028127366E-2</v>
      </c>
      <c r="BU245" s="11">
        <f t="shared" si="473"/>
        <v>0.97220626548697353</v>
      </c>
      <c r="BV245" s="3">
        <v>5.1197704786247805E-3</v>
      </c>
      <c r="BW245" s="11">
        <v>0</v>
      </c>
      <c r="BX245" s="11"/>
      <c r="CA245" s="7">
        <v>1.25</v>
      </c>
      <c r="CB245" s="7">
        <v>0.75</v>
      </c>
      <c r="CC245" s="11">
        <v>-3.7060713183952199E-3</v>
      </c>
      <c r="CD245" s="11">
        <v>1.5057782665666661E-2</v>
      </c>
      <c r="CE245" s="11">
        <v>-1.6332678648708059E-2</v>
      </c>
      <c r="CF245" s="1">
        <v>2.6045511566887579E-2</v>
      </c>
      <c r="CG245" s="3">
        <f t="shared" si="465"/>
        <v>2.1919028127366E-2</v>
      </c>
      <c r="CH245" s="11">
        <f t="shared" si="474"/>
        <v>0.97220626548697353</v>
      </c>
      <c r="CI245" s="3">
        <v>5.1197704786247805E-3</v>
      </c>
      <c r="CJ245" s="11">
        <v>0</v>
      </c>
      <c r="CK245" s="11"/>
      <c r="CN245" s="7">
        <v>1.25</v>
      </c>
      <c r="CO245" s="7">
        <v>0.75</v>
      </c>
      <c r="CP245" s="11">
        <v>-3.7060713183952199E-3</v>
      </c>
      <c r="CQ245" s="11">
        <v>1.5057782665666661E-2</v>
      </c>
      <c r="CR245" s="11">
        <v>-1.6332678648708059E-2</v>
      </c>
      <c r="CS245" s="1">
        <v>2.6045511566887579E-2</v>
      </c>
      <c r="CT245" s="3">
        <f t="shared" si="466"/>
        <v>2.1919028127366E-2</v>
      </c>
      <c r="CU245" s="11">
        <f t="shared" si="475"/>
        <v>0.97220626548697353</v>
      </c>
      <c r="CV245" s="3">
        <v>5.1197704786247805E-3</v>
      </c>
      <c r="CW245" s="11">
        <v>0</v>
      </c>
      <c r="CX245" s="11"/>
      <c r="DA245" s="7">
        <v>1.25</v>
      </c>
      <c r="DB245" s="7">
        <v>0.75</v>
      </c>
      <c r="DC245" s="11">
        <v>-3.7060713183952199E-3</v>
      </c>
      <c r="DD245" s="11">
        <v>1.5057782665666661E-2</v>
      </c>
      <c r="DE245" s="11">
        <v>-1.6332678648708059E-2</v>
      </c>
      <c r="DF245" s="1">
        <v>2.6045511566887579E-2</v>
      </c>
      <c r="DG245" s="3">
        <f t="shared" si="467"/>
        <v>2.1919028127366E-2</v>
      </c>
      <c r="DH245" s="11">
        <f t="shared" si="476"/>
        <v>0.97220626548697353</v>
      </c>
      <c r="DI245" s="3">
        <v>5.1197704786247805E-3</v>
      </c>
      <c r="DJ245" s="11">
        <v>0</v>
      </c>
      <c r="DK245" s="11"/>
    </row>
    <row r="246" spans="1:115" x14ac:dyDescent="0.25">
      <c r="A246" s="7">
        <v>1.5</v>
      </c>
      <c r="B246" s="7">
        <v>0.75</v>
      </c>
      <c r="C246" s="11">
        <v>-3.7060713183952199E-3</v>
      </c>
      <c r="D246" s="11">
        <v>1.5057782665666661E-2</v>
      </c>
      <c r="E246" s="11">
        <v>-1.6332678648708059E-2</v>
      </c>
      <c r="F246" s="1">
        <v>2.6045511566887579E-2</v>
      </c>
      <c r="G246" s="3">
        <f t="shared" si="459"/>
        <v>2.2918513891991614E-2</v>
      </c>
      <c r="H246" s="11">
        <f t="shared" si="468"/>
        <v>0.96690784542188035</v>
      </c>
      <c r="I246" s="3">
        <v>5.2984200650932631E-3</v>
      </c>
      <c r="J246" s="11">
        <v>0</v>
      </c>
      <c r="N246" s="7">
        <v>1.5</v>
      </c>
      <c r="O246" s="7">
        <v>0.75</v>
      </c>
      <c r="P246" s="11">
        <v>-3.7060713183952199E-3</v>
      </c>
      <c r="Q246" s="11">
        <v>1.5057782665666661E-2</v>
      </c>
      <c r="R246" s="11">
        <v>-1.6332678648708059E-2</v>
      </c>
      <c r="S246" s="1">
        <v>2.6045511566887579E-2</v>
      </c>
      <c r="T246" s="3">
        <f t="shared" si="460"/>
        <v>2.2918513891991614E-2</v>
      </c>
      <c r="U246" s="11">
        <f t="shared" si="469"/>
        <v>0.96690304023132467</v>
      </c>
      <c r="V246" s="3">
        <v>5.298393733816526E-3</v>
      </c>
      <c r="W246" s="11">
        <v>0</v>
      </c>
      <c r="AA246" s="7">
        <v>1.5</v>
      </c>
      <c r="AB246" s="7">
        <v>0.75</v>
      </c>
      <c r="AC246" s="11">
        <v>-3.6910713183952205E-3</v>
      </c>
      <c r="AD246" s="11">
        <v>1.4999032665666663E-2</v>
      </c>
      <c r="AE246" s="11">
        <v>-1.6269866148708061E-2</v>
      </c>
      <c r="AF246" s="1">
        <v>2.6035120941887584E-2</v>
      </c>
      <c r="AG246" s="3">
        <f t="shared" si="461"/>
        <v>2.2920779516991615E-2</v>
      </c>
      <c r="AH246" s="11">
        <f t="shared" si="470"/>
        <v>0.96689959932566771</v>
      </c>
      <c r="AI246" s="3">
        <v>5.2997345810511087E-3</v>
      </c>
      <c r="AJ246" s="11">
        <v>0</v>
      </c>
      <c r="AK246" s="11"/>
      <c r="AN246" s="7">
        <v>1.5</v>
      </c>
      <c r="AO246" s="7">
        <v>0.75</v>
      </c>
      <c r="AP246" s="11">
        <v>-3.7260713183952191E-3</v>
      </c>
      <c r="AQ246" s="11">
        <v>1.5132782665666658E-2</v>
      </c>
      <c r="AR246" s="11">
        <v>-1.6411428648708055E-2</v>
      </c>
      <c r="AS246" s="1">
        <v>2.6070824066887582E-2</v>
      </c>
      <c r="AT246" s="3">
        <f t="shared" si="462"/>
        <v>2.292695139199161E-2</v>
      </c>
      <c r="AU246" s="11">
        <f t="shared" si="471"/>
        <v>0.96690626765632581</v>
      </c>
      <c r="AV246" s="3">
        <v>5.2996200521559424E-3</v>
      </c>
      <c r="AW246" s="11">
        <v>0</v>
      </c>
      <c r="AX246" s="11"/>
      <c r="BA246" s="7">
        <v>1.5</v>
      </c>
      <c r="BB246" s="7">
        <v>0.75</v>
      </c>
      <c r="BC246" s="11">
        <v>-3.7010713183952201E-3</v>
      </c>
      <c r="BD246" s="11">
        <v>1.5041532665666662E-2</v>
      </c>
      <c r="BE246" s="11">
        <v>-1.6316741148708059E-2</v>
      </c>
      <c r="BF246" s="1">
        <v>2.6040589691887581E-2</v>
      </c>
      <c r="BG246" s="3">
        <f t="shared" si="463"/>
        <v>2.2917810766991616E-2</v>
      </c>
      <c r="BH246" s="11">
        <f t="shared" si="472"/>
        <v>0.96690805203586816</v>
      </c>
      <c r="BI246" s="3">
        <v>5.2982701179045853E-3</v>
      </c>
      <c r="BJ246" s="11">
        <v>0</v>
      </c>
      <c r="BK246" s="11"/>
      <c r="BN246" s="7">
        <v>1.5</v>
      </c>
      <c r="BO246" s="7">
        <v>0.75</v>
      </c>
      <c r="BP246" s="11">
        <v>-3.7060713183952199E-3</v>
      </c>
      <c r="BQ246" s="11">
        <v>1.5057782665666661E-2</v>
      </c>
      <c r="BR246" s="11">
        <v>-1.6332678648708059E-2</v>
      </c>
      <c r="BS246" s="1">
        <v>2.6045511566887579E-2</v>
      </c>
      <c r="BT246" s="3">
        <f t="shared" si="464"/>
        <v>2.2918513891991614E-2</v>
      </c>
      <c r="BU246" s="11">
        <f t="shared" si="473"/>
        <v>0.96690784542188035</v>
      </c>
      <c r="BV246" s="3">
        <v>5.2984200650932631E-3</v>
      </c>
      <c r="BW246" s="11">
        <v>0</v>
      </c>
      <c r="BX246" s="11"/>
      <c r="CA246" s="7">
        <v>1.5</v>
      </c>
      <c r="CB246" s="7">
        <v>0.75</v>
      </c>
      <c r="CC246" s="11">
        <v>-3.7060713183952199E-3</v>
      </c>
      <c r="CD246" s="11">
        <v>1.5057782665666661E-2</v>
      </c>
      <c r="CE246" s="11">
        <v>-1.6332678648708059E-2</v>
      </c>
      <c r="CF246" s="1">
        <v>2.6045511566887579E-2</v>
      </c>
      <c r="CG246" s="3">
        <f t="shared" si="465"/>
        <v>2.2918513891991614E-2</v>
      </c>
      <c r="CH246" s="11">
        <f t="shared" si="474"/>
        <v>0.96690784542188035</v>
      </c>
      <c r="CI246" s="3">
        <v>5.2984200650932631E-3</v>
      </c>
      <c r="CJ246" s="11">
        <v>0</v>
      </c>
      <c r="CK246" s="11"/>
      <c r="CN246" s="7">
        <v>1.5</v>
      </c>
      <c r="CO246" s="7">
        <v>0.75</v>
      </c>
      <c r="CP246" s="11">
        <v>-3.7060713183952199E-3</v>
      </c>
      <c r="CQ246" s="11">
        <v>1.5057782665666661E-2</v>
      </c>
      <c r="CR246" s="11">
        <v>-1.6332678648708059E-2</v>
      </c>
      <c r="CS246" s="1">
        <v>2.6045511566887579E-2</v>
      </c>
      <c r="CT246" s="3">
        <f t="shared" si="466"/>
        <v>2.2918513891991614E-2</v>
      </c>
      <c r="CU246" s="11">
        <f t="shared" si="475"/>
        <v>0.96690784542188035</v>
      </c>
      <c r="CV246" s="3">
        <v>5.2984200650932631E-3</v>
      </c>
      <c r="CW246" s="11">
        <v>0</v>
      </c>
      <c r="CX246" s="11"/>
      <c r="DA246" s="7">
        <v>1.5</v>
      </c>
      <c r="DB246" s="7">
        <v>0.75</v>
      </c>
      <c r="DC246" s="11">
        <v>-3.7060713183952199E-3</v>
      </c>
      <c r="DD246" s="11">
        <v>1.5057782665666661E-2</v>
      </c>
      <c r="DE246" s="11">
        <v>-1.6332678648708059E-2</v>
      </c>
      <c r="DF246" s="1">
        <v>2.6045511566887579E-2</v>
      </c>
      <c r="DG246" s="3">
        <f t="shared" si="467"/>
        <v>2.2918513891991614E-2</v>
      </c>
      <c r="DH246" s="11">
        <f t="shared" si="476"/>
        <v>0.96690784542188035</v>
      </c>
      <c r="DI246" s="3">
        <v>5.2984200650932631E-3</v>
      </c>
      <c r="DJ246" s="11">
        <v>0</v>
      </c>
      <c r="DK246" s="11"/>
    </row>
    <row r="247" spans="1:115" x14ac:dyDescent="0.25">
      <c r="A247" s="7">
        <v>1.75</v>
      </c>
      <c r="B247" s="7">
        <v>1.75</v>
      </c>
      <c r="C247" s="11">
        <v>2.7360595307775008E-4</v>
      </c>
      <c r="D247" s="11">
        <v>-2.4030576442489611E-3</v>
      </c>
      <c r="E247" s="11">
        <v>8.21697750433871E-3</v>
      </c>
      <c r="F247" s="1">
        <v>1.5228853871371885E-2</v>
      </c>
      <c r="G247" s="3">
        <f t="shared" si="459"/>
        <v>2.3715557373228252E-2</v>
      </c>
      <c r="H247" s="11">
        <f t="shared" si="468"/>
        <v>0.96139938413660853</v>
      </c>
      <c r="I247" s="3">
        <v>5.5084612852717612E-3</v>
      </c>
      <c r="J247" s="11">
        <v>0</v>
      </c>
      <c r="N247" s="7">
        <v>1.75</v>
      </c>
      <c r="O247" s="7">
        <v>1.75</v>
      </c>
      <c r="P247" s="11">
        <v>2.7360595307775008E-4</v>
      </c>
      <c r="Q247" s="11">
        <v>-2.4030576442489611E-3</v>
      </c>
      <c r="R247" s="11">
        <v>8.21697750433871E-3</v>
      </c>
      <c r="S247" s="1">
        <v>1.5228853871371885E-2</v>
      </c>
      <c r="T247" s="3">
        <f t="shared" si="460"/>
        <v>2.3715557373228252E-2</v>
      </c>
      <c r="U247" s="11">
        <f t="shared" si="469"/>
        <v>0.96139460632116025</v>
      </c>
      <c r="V247" s="3">
        <v>5.5084339101643303E-3</v>
      </c>
      <c r="W247" s="11">
        <v>0</v>
      </c>
      <c r="AA247" s="7">
        <v>1.75</v>
      </c>
      <c r="AB247" s="7">
        <v>1.75</v>
      </c>
      <c r="AC247" s="11">
        <v>2.6860595307775029E-4</v>
      </c>
      <c r="AD247" s="11">
        <v>-2.3668076442489626E-3</v>
      </c>
      <c r="AE247" s="11">
        <v>8.1310400043387125E-3</v>
      </c>
      <c r="AF247" s="1">
        <v>1.5295025746371885E-2</v>
      </c>
      <c r="AG247" s="3">
        <f t="shared" si="461"/>
        <v>2.3715557373228252E-2</v>
      </c>
      <c r="AH247" s="11">
        <f t="shared" si="470"/>
        <v>0.96139064358285242</v>
      </c>
      <c r="AI247" s="3">
        <v>5.5089557428153078E-3</v>
      </c>
      <c r="AJ247" s="11">
        <v>0</v>
      </c>
      <c r="AK247" s="11"/>
      <c r="AN247" s="7">
        <v>1.75</v>
      </c>
      <c r="AO247" s="7">
        <v>1.75</v>
      </c>
      <c r="AP247" s="11">
        <v>2.8860595307774947E-4</v>
      </c>
      <c r="AQ247" s="11">
        <v>-2.5068076442489569E-3</v>
      </c>
      <c r="AR247" s="11">
        <v>8.4422900043387011E-3</v>
      </c>
      <c r="AS247" s="1">
        <v>1.5081900746371887E-2</v>
      </c>
      <c r="AT247" s="3">
        <f t="shared" si="462"/>
        <v>2.3725557373228248E-2</v>
      </c>
      <c r="AU247" s="11">
        <f t="shared" si="471"/>
        <v>0.96139579896847194</v>
      </c>
      <c r="AV247" s="3">
        <v>5.5104686878537732E-3</v>
      </c>
      <c r="AW247" s="11">
        <v>0</v>
      </c>
      <c r="AX247" s="11"/>
      <c r="BA247" s="7">
        <v>1.75</v>
      </c>
      <c r="BB247" s="7">
        <v>1.75</v>
      </c>
      <c r="BC247" s="11">
        <v>2.5860595307775069E-4</v>
      </c>
      <c r="BD247" s="11">
        <v>-2.3043076442489652E-3</v>
      </c>
      <c r="BE247" s="11">
        <v>8.0141650043387171E-3</v>
      </c>
      <c r="BF247" s="1">
        <v>1.5361744496371878E-2</v>
      </c>
      <c r="BG247" s="3">
        <f t="shared" si="463"/>
        <v>2.3715557373228249E-2</v>
      </c>
      <c r="BH247" s="11">
        <f t="shared" si="472"/>
        <v>0.96139975760680207</v>
      </c>
      <c r="BI247" s="3">
        <v>5.5082944290660747E-3</v>
      </c>
      <c r="BJ247" s="11">
        <v>0</v>
      </c>
      <c r="BK247" s="11"/>
      <c r="BN247" s="7">
        <v>1.75</v>
      </c>
      <c r="BO247" s="7">
        <v>1.75</v>
      </c>
      <c r="BP247" s="11">
        <v>2.7860595307774988E-4</v>
      </c>
      <c r="BQ247" s="11">
        <v>-2.4343076442489599E-3</v>
      </c>
      <c r="BR247" s="11">
        <v>8.2804150043387058E-3</v>
      </c>
      <c r="BS247" s="1">
        <v>1.5186744496371887E-2</v>
      </c>
      <c r="BT247" s="3">
        <f t="shared" si="464"/>
        <v>2.3715557373228245E-2</v>
      </c>
      <c r="BU247" s="11">
        <f t="shared" si="473"/>
        <v>0.96139938413660853</v>
      </c>
      <c r="BV247" s="3">
        <v>5.5084612852717612E-3</v>
      </c>
      <c r="BW247" s="11">
        <v>0</v>
      </c>
      <c r="BX247" s="11"/>
      <c r="CA247" s="7">
        <v>1.75</v>
      </c>
      <c r="CB247" s="7">
        <v>1.75</v>
      </c>
      <c r="CC247" s="11">
        <v>2.7360595307775008E-4</v>
      </c>
      <c r="CD247" s="11">
        <v>-2.4030576442489611E-3</v>
      </c>
      <c r="CE247" s="11">
        <v>8.21697750433871E-3</v>
      </c>
      <c r="CF247" s="1">
        <v>1.5228853871371885E-2</v>
      </c>
      <c r="CG247" s="3">
        <f t="shared" si="465"/>
        <v>2.3715557373228252E-2</v>
      </c>
      <c r="CH247" s="11">
        <f t="shared" si="474"/>
        <v>0.96139938413660853</v>
      </c>
      <c r="CI247" s="3">
        <v>5.5084612852717612E-3</v>
      </c>
      <c r="CJ247" s="11">
        <v>0</v>
      </c>
      <c r="CK247" s="11"/>
      <c r="CN247" s="7">
        <v>1.75</v>
      </c>
      <c r="CO247" s="7">
        <v>1.75</v>
      </c>
      <c r="CP247" s="11">
        <v>2.7360595307775008E-4</v>
      </c>
      <c r="CQ247" s="11">
        <v>-2.4030576442489611E-3</v>
      </c>
      <c r="CR247" s="11">
        <v>8.21697750433871E-3</v>
      </c>
      <c r="CS247" s="1">
        <v>1.5228853871371885E-2</v>
      </c>
      <c r="CT247" s="3">
        <f t="shared" si="466"/>
        <v>2.3715557373228252E-2</v>
      </c>
      <c r="CU247" s="11">
        <f t="shared" si="475"/>
        <v>0.96139938413660853</v>
      </c>
      <c r="CV247" s="3">
        <v>5.5084612852717612E-3</v>
      </c>
      <c r="CW247" s="11">
        <v>0</v>
      </c>
      <c r="CX247" s="11"/>
      <c r="DA247" s="7">
        <v>1.75</v>
      </c>
      <c r="DB247" s="7">
        <v>1.75</v>
      </c>
      <c r="DC247" s="11">
        <v>2.7360595307775008E-4</v>
      </c>
      <c r="DD247" s="11">
        <v>-2.4030576442489611E-3</v>
      </c>
      <c r="DE247" s="11">
        <v>8.21697750433871E-3</v>
      </c>
      <c r="DF247" s="1">
        <v>1.5228853871371885E-2</v>
      </c>
      <c r="DG247" s="3">
        <f t="shared" si="467"/>
        <v>2.3715557373228252E-2</v>
      </c>
      <c r="DH247" s="11">
        <f t="shared" si="476"/>
        <v>0.96139938413660853</v>
      </c>
      <c r="DI247" s="3">
        <v>5.5084612852717612E-3</v>
      </c>
      <c r="DJ247" s="11">
        <v>0</v>
      </c>
      <c r="DK247" s="11"/>
    </row>
    <row r="248" spans="1:115" x14ac:dyDescent="0.25">
      <c r="A248" s="7">
        <v>2</v>
      </c>
      <c r="B248" s="7">
        <v>1.75</v>
      </c>
      <c r="C248" s="11">
        <v>2.7360595307775008E-4</v>
      </c>
      <c r="D248" s="11">
        <v>-2.4030576442489611E-3</v>
      </c>
      <c r="E248" s="11">
        <v>8.21697750433871E-3</v>
      </c>
      <c r="F248" s="1">
        <v>1.5228853871371885E-2</v>
      </c>
      <c r="G248" s="3">
        <f t="shared" si="459"/>
        <v>2.4239425927675459E-2</v>
      </c>
      <c r="H248" s="11">
        <f t="shared" si="468"/>
        <v>0.95573294923881902</v>
      </c>
      <c r="I248" s="3">
        <v>5.666434897789464E-3</v>
      </c>
      <c r="J248" s="11">
        <v>0.95573294923881902</v>
      </c>
      <c r="N248" s="7">
        <v>2</v>
      </c>
      <c r="O248" s="7">
        <v>1.75</v>
      </c>
      <c r="P248" s="11">
        <v>2.7360595307775008E-4</v>
      </c>
      <c r="Q248" s="11">
        <v>-2.4030576442489611E-3</v>
      </c>
      <c r="R248" s="11">
        <v>8.21697750433871E-3</v>
      </c>
      <c r="S248" s="1">
        <v>1.5228853871371885E-2</v>
      </c>
      <c r="T248" s="3">
        <f t="shared" si="460"/>
        <v>2.4239425927675459E-2</v>
      </c>
      <c r="U248" s="11">
        <f t="shared" si="469"/>
        <v>0.95572819958355115</v>
      </c>
      <c r="V248" s="3">
        <v>5.6664067376089623E-3</v>
      </c>
      <c r="W248" s="11">
        <v>0.95572819958355115</v>
      </c>
      <c r="AA248" s="7">
        <v>2</v>
      </c>
      <c r="AB248" s="7">
        <v>1.75</v>
      </c>
      <c r="AC248" s="11">
        <v>2.6860595307775029E-4</v>
      </c>
      <c r="AD248" s="11">
        <v>-2.3668076442489626E-3</v>
      </c>
      <c r="AE248" s="11">
        <v>8.1310400043387125E-3</v>
      </c>
      <c r="AF248" s="1">
        <v>1.5295025746371885E-2</v>
      </c>
      <c r="AG248" s="3">
        <f t="shared" si="461"/>
        <v>2.4238722802675462E-2</v>
      </c>
      <c r="AH248" s="11">
        <f t="shared" si="470"/>
        <v>0.95572426020140422</v>
      </c>
      <c r="AI248" s="3">
        <v>5.6663833814481323E-3</v>
      </c>
      <c r="AJ248" s="11">
        <v>0.95572426020140422</v>
      </c>
      <c r="AK248" s="11"/>
      <c r="AN248" s="7">
        <v>2</v>
      </c>
      <c r="AO248" s="7">
        <v>1.75</v>
      </c>
      <c r="AP248" s="11">
        <v>2.8860595307774947E-4</v>
      </c>
      <c r="AQ248" s="11">
        <v>-2.5068076442489569E-3</v>
      </c>
      <c r="AR248" s="11">
        <v>8.4422900043387011E-3</v>
      </c>
      <c r="AS248" s="1">
        <v>1.5081900746371887E-2</v>
      </c>
      <c r="AT248" s="3">
        <f t="shared" si="462"/>
        <v>2.4248097802675457E-2</v>
      </c>
      <c r="AU248" s="11">
        <f t="shared" si="471"/>
        <v>0.95572700996644622</v>
      </c>
      <c r="AV248" s="3">
        <v>5.6687890020257013E-3</v>
      </c>
      <c r="AW248" s="11">
        <v>0.95572700996644622</v>
      </c>
      <c r="AX248" s="11"/>
      <c r="BA248" s="7">
        <v>2</v>
      </c>
      <c r="BB248" s="7">
        <v>1.75</v>
      </c>
      <c r="BC248" s="11">
        <v>2.5860595307775069E-4</v>
      </c>
      <c r="BD248" s="11">
        <v>-2.3043076442489652E-3</v>
      </c>
      <c r="BE248" s="11">
        <v>8.0141650043387171E-3</v>
      </c>
      <c r="BF248" s="1">
        <v>1.5361744496371878E-2</v>
      </c>
      <c r="BG248" s="3">
        <f t="shared" si="463"/>
        <v>2.4241691552675457E-2</v>
      </c>
      <c r="BH248" s="11">
        <f t="shared" si="472"/>
        <v>0.9557333205077998</v>
      </c>
      <c r="BI248" s="3">
        <v>5.6664370990021674E-3</v>
      </c>
      <c r="BJ248" s="11">
        <v>0.9557333205077998</v>
      </c>
      <c r="BK248" s="11"/>
      <c r="BN248" s="7">
        <v>2</v>
      </c>
      <c r="BO248" s="7">
        <v>1.75</v>
      </c>
      <c r="BP248" s="11">
        <v>2.7860595307774988E-4</v>
      </c>
      <c r="BQ248" s="11">
        <v>-2.4343076442489599E-3</v>
      </c>
      <c r="BR248" s="11">
        <v>8.2804150043387058E-3</v>
      </c>
      <c r="BS248" s="1">
        <v>1.5186744496371887E-2</v>
      </c>
      <c r="BT248" s="3">
        <f t="shared" si="464"/>
        <v>2.4239191552675458E-2</v>
      </c>
      <c r="BU248" s="11">
        <f t="shared" si="473"/>
        <v>0.95573294923881902</v>
      </c>
      <c r="BV248" s="3">
        <v>5.6664348977894623E-3</v>
      </c>
      <c r="BW248" s="11">
        <v>0.95573294923881902</v>
      </c>
      <c r="BX248" s="11"/>
      <c r="CA248" s="7">
        <v>2</v>
      </c>
      <c r="CB248" s="7">
        <v>1.75</v>
      </c>
      <c r="CC248" s="11">
        <v>2.7360595307775008E-4</v>
      </c>
      <c r="CD248" s="11">
        <v>-2.4030576442489611E-3</v>
      </c>
      <c r="CE248" s="11">
        <v>8.21697750433871E-3</v>
      </c>
      <c r="CF248" s="1">
        <v>1.5228853871371885E-2</v>
      </c>
      <c r="CG248" s="3">
        <f t="shared" si="465"/>
        <v>2.4239425927675459E-2</v>
      </c>
      <c r="CH248" s="11">
        <f t="shared" si="474"/>
        <v>0.95573294923881902</v>
      </c>
      <c r="CI248" s="3">
        <v>5.666434897789464E-3</v>
      </c>
      <c r="CJ248" s="11">
        <v>0.95573294923881902</v>
      </c>
      <c r="CK248" s="11"/>
      <c r="CN248" s="7">
        <v>2</v>
      </c>
      <c r="CO248" s="7">
        <v>1.75</v>
      </c>
      <c r="CP248" s="11">
        <v>2.7360595307775008E-4</v>
      </c>
      <c r="CQ248" s="11">
        <v>-2.4030576442489611E-3</v>
      </c>
      <c r="CR248" s="11">
        <v>8.21697750433871E-3</v>
      </c>
      <c r="CS248" s="1">
        <v>1.5228853871371885E-2</v>
      </c>
      <c r="CT248" s="3">
        <f t="shared" si="466"/>
        <v>2.4239425927675459E-2</v>
      </c>
      <c r="CU248" s="11">
        <f t="shared" si="475"/>
        <v>0.95573294923881902</v>
      </c>
      <c r="CV248" s="3">
        <v>5.666434897789464E-3</v>
      </c>
      <c r="CW248" s="11">
        <v>0.95573294923881902</v>
      </c>
      <c r="CX248" s="11"/>
      <c r="DA248" s="7">
        <v>2</v>
      </c>
      <c r="DB248" s="7">
        <v>1.75</v>
      </c>
      <c r="DC248" s="11">
        <v>2.7360595307775008E-4</v>
      </c>
      <c r="DD248" s="11">
        <v>-2.4030576442489611E-3</v>
      </c>
      <c r="DE248" s="11">
        <v>8.21697750433871E-3</v>
      </c>
      <c r="DF248" s="1">
        <v>1.5228853871371885E-2</v>
      </c>
      <c r="DG248" s="3">
        <f t="shared" si="467"/>
        <v>2.4239425927675459E-2</v>
      </c>
      <c r="DH248" s="11">
        <f t="shared" si="476"/>
        <v>0.95573294923881902</v>
      </c>
      <c r="DI248" s="3">
        <v>5.666434897789464E-3</v>
      </c>
      <c r="DJ248" s="11">
        <v>0.95573294923881902</v>
      </c>
      <c r="DK248" s="11"/>
    </row>
    <row r="249" spans="1:115" x14ac:dyDescent="0.25">
      <c r="A249" s="7">
        <v>2.25</v>
      </c>
      <c r="B249" s="7">
        <v>1.75</v>
      </c>
      <c r="C249" s="11">
        <v>2.7360595307775008E-4</v>
      </c>
      <c r="D249" s="11">
        <v>-2.4030576442489611E-3</v>
      </c>
      <c r="E249" s="11">
        <v>8.21697750433871E-3</v>
      </c>
      <c r="F249" s="1">
        <v>1.5228853871371885E-2</v>
      </c>
      <c r="G249" s="3">
        <f t="shared" si="459"/>
        <v>2.4668116741399862E-2</v>
      </c>
      <c r="H249" s="11">
        <f t="shared" si="468"/>
        <v>0.94997622962605088</v>
      </c>
      <c r="I249" s="3">
        <v>5.756719612768268E-3</v>
      </c>
      <c r="J249" s="11">
        <v>0</v>
      </c>
      <c r="N249" s="7">
        <v>2.25</v>
      </c>
      <c r="O249" s="7">
        <v>1.75</v>
      </c>
      <c r="P249" s="11">
        <v>2.7360595307775008E-4</v>
      </c>
      <c r="Q249" s="11">
        <v>-2.4030576442489611E-3</v>
      </c>
      <c r="R249" s="11">
        <v>8.21697750433871E-3</v>
      </c>
      <c r="S249" s="1">
        <v>1.5228853871371885E-2</v>
      </c>
      <c r="T249" s="3">
        <f t="shared" si="460"/>
        <v>2.4668116741399862E-2</v>
      </c>
      <c r="U249" s="11">
        <f t="shared" si="469"/>
        <v>0.94997150857964663</v>
      </c>
      <c r="V249" s="3">
        <v>5.756691003904614E-3</v>
      </c>
      <c r="W249" s="11">
        <v>0</v>
      </c>
      <c r="AA249" s="7">
        <v>2.25</v>
      </c>
      <c r="AB249" s="7">
        <v>1.75</v>
      </c>
      <c r="AC249" s="11">
        <v>2.6860595307775029E-4</v>
      </c>
      <c r="AD249" s="11">
        <v>-2.3668076442489626E-3</v>
      </c>
      <c r="AE249" s="11">
        <v>8.1310400043387125E-3</v>
      </c>
      <c r="AF249" s="1">
        <v>1.5295025746371885E-2</v>
      </c>
      <c r="AG249" s="3">
        <f t="shared" si="461"/>
        <v>2.4667491741399865E-2</v>
      </c>
      <c r="AH249" s="11">
        <f t="shared" si="470"/>
        <v>0.94996775890650098</v>
      </c>
      <c r="AI249" s="3">
        <v>5.7565012949033776E-3</v>
      </c>
      <c r="AJ249" s="11">
        <v>0</v>
      </c>
      <c r="AK249" s="11"/>
      <c r="AN249" s="7">
        <v>2.25</v>
      </c>
      <c r="AO249" s="7">
        <v>1.75</v>
      </c>
      <c r="AP249" s="11">
        <v>2.8860595307774947E-4</v>
      </c>
      <c r="AQ249" s="11">
        <v>-2.5068076442489569E-3</v>
      </c>
      <c r="AR249" s="11">
        <v>8.4422900043387011E-3</v>
      </c>
      <c r="AS249" s="1">
        <v>1.5081900746371887E-2</v>
      </c>
      <c r="AT249" s="3">
        <f t="shared" si="462"/>
        <v>2.4673741741399861E-2</v>
      </c>
      <c r="AU249" s="11">
        <f t="shared" si="471"/>
        <v>0.94996827903159686</v>
      </c>
      <c r="AV249" s="3">
        <v>5.7587309348493621E-3</v>
      </c>
      <c r="AW249" s="11">
        <v>0</v>
      </c>
      <c r="AX249" s="11"/>
      <c r="BA249" s="7">
        <v>2.25</v>
      </c>
      <c r="BB249" s="7">
        <v>1.75</v>
      </c>
      <c r="BC249" s="11">
        <v>2.5860595307775069E-4</v>
      </c>
      <c r="BD249" s="11">
        <v>-2.3043076442489652E-3</v>
      </c>
      <c r="BE249" s="11">
        <v>8.0141650043387171E-3</v>
      </c>
      <c r="BF249" s="1">
        <v>1.5361744496371878E-2</v>
      </c>
      <c r="BG249" s="3">
        <f t="shared" si="463"/>
        <v>2.4673741741399857E-2</v>
      </c>
      <c r="BH249" s="11">
        <f t="shared" si="472"/>
        <v>0.94997606382736788</v>
      </c>
      <c r="BI249" s="3">
        <v>5.7572566804319457E-3</v>
      </c>
      <c r="BJ249" s="11">
        <v>0</v>
      </c>
      <c r="BK249" s="11"/>
      <c r="BN249" s="7">
        <v>2.25</v>
      </c>
      <c r="BO249" s="7">
        <v>1.75</v>
      </c>
      <c r="BP249" s="11">
        <v>2.7860595307774988E-4</v>
      </c>
      <c r="BQ249" s="11">
        <v>-2.4343076442489599E-3</v>
      </c>
      <c r="BR249" s="11">
        <v>8.2804150043387058E-3</v>
      </c>
      <c r="BS249" s="1">
        <v>1.5186744496371887E-2</v>
      </c>
      <c r="BT249" s="3">
        <f t="shared" si="464"/>
        <v>2.4667491741399861E-2</v>
      </c>
      <c r="BU249" s="11">
        <f t="shared" si="473"/>
        <v>0.94997628495344755</v>
      </c>
      <c r="BV249" s="3">
        <v>5.7566642853714052E-3</v>
      </c>
      <c r="BW249" s="11">
        <v>0</v>
      </c>
      <c r="BX249" s="11"/>
      <c r="CA249" s="7">
        <v>2.25</v>
      </c>
      <c r="CB249" s="7">
        <v>1.75</v>
      </c>
      <c r="CC249" s="11">
        <v>2.7360595307775008E-4</v>
      </c>
      <c r="CD249" s="11">
        <v>-2.4030576442489611E-3</v>
      </c>
      <c r="CE249" s="11">
        <v>8.21697750433871E-3</v>
      </c>
      <c r="CF249" s="1">
        <v>1.5228853871371885E-2</v>
      </c>
      <c r="CG249" s="3">
        <f t="shared" si="465"/>
        <v>2.4668116741399862E-2</v>
      </c>
      <c r="CH249" s="11">
        <f t="shared" si="474"/>
        <v>0.94997622962605088</v>
      </c>
      <c r="CI249" s="3">
        <v>5.756719612768268E-3</v>
      </c>
      <c r="CJ249" s="11">
        <v>0</v>
      </c>
      <c r="CK249" s="11"/>
      <c r="CN249" s="7">
        <v>2.25</v>
      </c>
      <c r="CO249" s="7">
        <v>1.75</v>
      </c>
      <c r="CP249" s="11">
        <v>2.7360595307775008E-4</v>
      </c>
      <c r="CQ249" s="11">
        <v>-2.4030576442489611E-3</v>
      </c>
      <c r="CR249" s="11">
        <v>8.21697750433871E-3</v>
      </c>
      <c r="CS249" s="1">
        <v>1.5228853871371885E-2</v>
      </c>
      <c r="CT249" s="3">
        <f t="shared" si="466"/>
        <v>2.4668116741399862E-2</v>
      </c>
      <c r="CU249" s="11">
        <f t="shared" si="475"/>
        <v>0.94997622962605088</v>
      </c>
      <c r="CV249" s="3">
        <v>5.756719612768268E-3</v>
      </c>
      <c r="CW249" s="11">
        <v>0</v>
      </c>
      <c r="CX249" s="11"/>
      <c r="DA249" s="7">
        <v>2.25</v>
      </c>
      <c r="DB249" s="7">
        <v>1.75</v>
      </c>
      <c r="DC249" s="11">
        <v>2.7360595307775008E-4</v>
      </c>
      <c r="DD249" s="11">
        <v>-2.4030576442489611E-3</v>
      </c>
      <c r="DE249" s="11">
        <v>8.21697750433871E-3</v>
      </c>
      <c r="DF249" s="1">
        <v>1.5228853871371885E-2</v>
      </c>
      <c r="DG249" s="3">
        <f t="shared" si="467"/>
        <v>2.4668116741399862E-2</v>
      </c>
      <c r="DH249" s="11">
        <f t="shared" si="476"/>
        <v>0.94997622962605088</v>
      </c>
      <c r="DI249" s="3">
        <v>5.756719612768268E-3</v>
      </c>
      <c r="DJ249" s="11">
        <v>0</v>
      </c>
      <c r="DK249" s="11"/>
    </row>
    <row r="250" spans="1:115" x14ac:dyDescent="0.25">
      <c r="A250" s="7">
        <v>2.5</v>
      </c>
      <c r="B250" s="7">
        <v>1.75</v>
      </c>
      <c r="C250" s="11">
        <v>2.7360595307775008E-4</v>
      </c>
      <c r="D250" s="11">
        <v>-2.4030576442489611E-3</v>
      </c>
      <c r="E250" s="11">
        <v>8.21697750433871E-3</v>
      </c>
      <c r="F250" s="1">
        <v>1.5228853871371885E-2</v>
      </c>
      <c r="G250" s="3">
        <f t="shared" si="459"/>
        <v>2.5027280372502497E-2</v>
      </c>
      <c r="H250" s="11">
        <f t="shared" si="468"/>
        <v>0.94415360677759996</v>
      </c>
      <c r="I250" s="3">
        <v>5.8226228484508941E-3</v>
      </c>
      <c r="J250" s="11">
        <v>0</v>
      </c>
      <c r="N250" s="7">
        <v>2.5</v>
      </c>
      <c r="O250" s="7">
        <v>1.75</v>
      </c>
      <c r="P250" s="11">
        <v>2.7360595307775008E-4</v>
      </c>
      <c r="Q250" s="11">
        <v>-2.4030576442489611E-3</v>
      </c>
      <c r="R250" s="11">
        <v>8.21697750433871E-3</v>
      </c>
      <c r="S250" s="1">
        <v>1.5228853871371885E-2</v>
      </c>
      <c r="T250" s="3">
        <f t="shared" si="460"/>
        <v>2.5027280372502497E-2</v>
      </c>
      <c r="U250" s="11">
        <f t="shared" si="469"/>
        <v>0.94414891466757522</v>
      </c>
      <c r="V250" s="3">
        <v>5.8225939120714306E-3</v>
      </c>
      <c r="W250" s="11">
        <v>0</v>
      </c>
      <c r="AA250" s="7">
        <v>2.5</v>
      </c>
      <c r="AB250" s="7">
        <v>1.75</v>
      </c>
      <c r="AC250" s="11">
        <v>2.6860595307775029E-4</v>
      </c>
      <c r="AD250" s="11">
        <v>-2.3668076442489626E-3</v>
      </c>
      <c r="AE250" s="11">
        <v>8.1310400043387125E-3</v>
      </c>
      <c r="AF250" s="1">
        <v>1.5295025746371885E-2</v>
      </c>
      <c r="AG250" s="3">
        <f t="shared" si="461"/>
        <v>2.5027045997502499E-2</v>
      </c>
      <c r="AH250" s="11">
        <f t="shared" si="470"/>
        <v>0.94414533459554684</v>
      </c>
      <c r="AI250" s="3">
        <v>5.822424310954216E-3</v>
      </c>
      <c r="AJ250" s="11">
        <v>0</v>
      </c>
      <c r="AK250" s="11"/>
      <c r="AN250" s="7">
        <v>2.5</v>
      </c>
      <c r="AO250" s="7">
        <v>1.75</v>
      </c>
      <c r="AP250" s="11">
        <v>2.8860595307774947E-4</v>
      </c>
      <c r="AQ250" s="11">
        <v>-2.5068076442489569E-3</v>
      </c>
      <c r="AR250" s="11">
        <v>8.4422900043387011E-3</v>
      </c>
      <c r="AS250" s="1">
        <v>1.5081900746371887E-2</v>
      </c>
      <c r="AT250" s="3">
        <f t="shared" si="462"/>
        <v>2.5029545997502498E-2</v>
      </c>
      <c r="AU250" s="11">
        <f t="shared" si="471"/>
        <v>0.94414438534892386</v>
      </c>
      <c r="AV250" s="3">
        <v>5.8238936826730146E-3</v>
      </c>
      <c r="AW250" s="11">
        <v>0</v>
      </c>
      <c r="AX250" s="11"/>
      <c r="BA250" s="7">
        <v>2.5</v>
      </c>
      <c r="BB250" s="7">
        <v>1.75</v>
      </c>
      <c r="BC250" s="11">
        <v>2.5860595307775069E-4</v>
      </c>
      <c r="BD250" s="11">
        <v>-2.3043076442489652E-3</v>
      </c>
      <c r="BE250" s="11">
        <v>8.0141650043387171E-3</v>
      </c>
      <c r="BF250" s="1">
        <v>1.5361744496371878E-2</v>
      </c>
      <c r="BG250" s="3">
        <f t="shared" si="463"/>
        <v>2.5035952247502491E-2</v>
      </c>
      <c r="BH250" s="11">
        <f t="shared" si="472"/>
        <v>0.9441521224190772</v>
      </c>
      <c r="BI250" s="3">
        <v>5.8239414082907129E-3</v>
      </c>
      <c r="BJ250" s="11">
        <v>0</v>
      </c>
      <c r="BK250" s="11"/>
      <c r="BN250" s="7">
        <v>2.5</v>
      </c>
      <c r="BO250" s="7">
        <v>1.75</v>
      </c>
      <c r="BP250" s="11">
        <v>2.7860595307774988E-4</v>
      </c>
      <c r="BQ250" s="11">
        <v>-2.4343076442489599E-3</v>
      </c>
      <c r="BR250" s="11">
        <v>8.2804150043387058E-3</v>
      </c>
      <c r="BS250" s="1">
        <v>1.5186744496371887E-2</v>
      </c>
      <c r="BT250" s="3">
        <f t="shared" si="464"/>
        <v>2.5026577247502495E-2</v>
      </c>
      <c r="BU250" s="11">
        <f t="shared" si="473"/>
        <v>0.94415380838570617</v>
      </c>
      <c r="BV250" s="3">
        <v>5.8224765677414086E-3</v>
      </c>
      <c r="BW250" s="11">
        <v>0</v>
      </c>
      <c r="BX250" s="11"/>
      <c r="CA250" s="7">
        <v>2.5</v>
      </c>
      <c r="CB250" s="7">
        <v>1.75</v>
      </c>
      <c r="CC250" s="11">
        <v>2.7360595307775008E-4</v>
      </c>
      <c r="CD250" s="11">
        <v>-2.4030576442489611E-3</v>
      </c>
      <c r="CE250" s="11">
        <v>8.21697750433871E-3</v>
      </c>
      <c r="CF250" s="1">
        <v>1.5228853871371885E-2</v>
      </c>
      <c r="CG250" s="3">
        <f t="shared" si="465"/>
        <v>2.5027280372502497E-2</v>
      </c>
      <c r="CH250" s="11">
        <f t="shared" si="474"/>
        <v>0.94415360677759996</v>
      </c>
      <c r="CI250" s="3">
        <v>5.8226228484508941E-3</v>
      </c>
      <c r="CJ250" s="11">
        <v>0</v>
      </c>
      <c r="CK250" s="11"/>
      <c r="CN250" s="7">
        <v>2.5</v>
      </c>
      <c r="CO250" s="7">
        <v>1.75</v>
      </c>
      <c r="CP250" s="11">
        <v>2.7360595307775008E-4</v>
      </c>
      <c r="CQ250" s="11">
        <v>-2.4030576442489611E-3</v>
      </c>
      <c r="CR250" s="11">
        <v>8.21697750433871E-3</v>
      </c>
      <c r="CS250" s="1">
        <v>1.5228853871371885E-2</v>
      </c>
      <c r="CT250" s="3">
        <f t="shared" si="466"/>
        <v>2.5027280372502497E-2</v>
      </c>
      <c r="CU250" s="11">
        <f t="shared" si="475"/>
        <v>0.94415360677759996</v>
      </c>
      <c r="CV250" s="3">
        <v>5.8226228484508941E-3</v>
      </c>
      <c r="CW250" s="11">
        <v>0</v>
      </c>
      <c r="CX250" s="11"/>
      <c r="DA250" s="7">
        <v>2.5</v>
      </c>
      <c r="DB250" s="7">
        <v>1.75</v>
      </c>
      <c r="DC250" s="11">
        <v>2.7360595307775008E-4</v>
      </c>
      <c r="DD250" s="11">
        <v>-2.4030576442489611E-3</v>
      </c>
      <c r="DE250" s="11">
        <v>8.21697750433871E-3</v>
      </c>
      <c r="DF250" s="1">
        <v>1.5228853871371885E-2</v>
      </c>
      <c r="DG250" s="3">
        <f t="shared" si="467"/>
        <v>2.5027280372502497E-2</v>
      </c>
      <c r="DH250" s="11">
        <f t="shared" si="476"/>
        <v>0.94415360677759996</v>
      </c>
      <c r="DI250" s="3">
        <v>5.8226228484508941E-3</v>
      </c>
      <c r="DJ250" s="11">
        <v>0</v>
      </c>
      <c r="DK250" s="11"/>
    </row>
    <row r="251" spans="1:115" x14ac:dyDescent="0.25">
      <c r="A251" s="7">
        <v>2.75</v>
      </c>
      <c r="B251" s="7">
        <v>2.75</v>
      </c>
      <c r="C251" s="11">
        <v>7.6954098051829241E-4</v>
      </c>
      <c r="D251" s="11">
        <v>-7.5376685542294774E-3</v>
      </c>
      <c r="E251" s="11">
        <v>2.5205811574174248E-2</v>
      </c>
      <c r="F251" s="1">
        <v>-2.9738435877507269E-3</v>
      </c>
      <c r="G251" s="3">
        <f t="shared" si="459"/>
        <v>2.5342567379084392E-2</v>
      </c>
      <c r="H251" s="11">
        <f t="shared" si="468"/>
        <v>0.9382829392303863</v>
      </c>
      <c r="I251" s="3">
        <v>5.8706675472136498E-3</v>
      </c>
      <c r="J251" s="11">
        <v>0</v>
      </c>
      <c r="N251" s="7">
        <v>2.75</v>
      </c>
      <c r="O251" s="7">
        <v>2.75</v>
      </c>
      <c r="P251" s="11">
        <v>7.6954098051829241E-4</v>
      </c>
      <c r="Q251" s="11">
        <v>-7.5376685542294774E-3</v>
      </c>
      <c r="R251" s="11">
        <v>2.5205811574174248E-2</v>
      </c>
      <c r="S251" s="1">
        <v>-2.9738435877507269E-3</v>
      </c>
      <c r="T251" s="3">
        <f t="shared" si="460"/>
        <v>2.5342567379084392E-2</v>
      </c>
      <c r="U251" s="11">
        <f t="shared" si="469"/>
        <v>0.9382782762955062</v>
      </c>
      <c r="V251" s="3">
        <v>5.8706383720689989E-3</v>
      </c>
      <c r="W251" s="11">
        <v>0</v>
      </c>
      <c r="AA251" s="7">
        <v>2.75</v>
      </c>
      <c r="AB251" s="7">
        <v>2.75</v>
      </c>
      <c r="AC251" s="11">
        <v>7.6954098051829241E-4</v>
      </c>
      <c r="AD251" s="11">
        <v>-7.5376685542294774E-3</v>
      </c>
      <c r="AE251" s="11">
        <v>2.5205811574174248E-2</v>
      </c>
      <c r="AF251" s="1">
        <v>-2.9738435877507269E-3</v>
      </c>
      <c r="AG251" s="3">
        <f t="shared" si="461"/>
        <v>2.5342567379084392E-2</v>
      </c>
      <c r="AH251" s="11">
        <f t="shared" si="470"/>
        <v>0.93827477311925889</v>
      </c>
      <c r="AI251" s="3">
        <v>5.8705614762879785E-3</v>
      </c>
      <c r="AJ251" s="11">
        <v>0</v>
      </c>
      <c r="AK251" s="11"/>
      <c r="AN251" s="7">
        <v>2.75</v>
      </c>
      <c r="AO251" s="7">
        <v>2.75</v>
      </c>
      <c r="AP251" s="11">
        <v>7.6454098051829261E-4</v>
      </c>
      <c r="AQ251" s="11">
        <v>-7.4864185542294799E-3</v>
      </c>
      <c r="AR251" s="11">
        <v>2.5032374074174257E-2</v>
      </c>
      <c r="AS251" s="1">
        <v>-2.7804842127507334E-3</v>
      </c>
      <c r="AT251" s="3">
        <f t="shared" si="462"/>
        <v>2.5342567379084392E-2</v>
      </c>
      <c r="AU251" s="11">
        <f t="shared" si="471"/>
        <v>0.93827324700041814</v>
      </c>
      <c r="AV251" s="3">
        <v>5.8711383485057474E-3</v>
      </c>
      <c r="AW251" s="11">
        <v>0</v>
      </c>
      <c r="AX251" s="11"/>
      <c r="BA251" s="7">
        <v>2.75</v>
      </c>
      <c r="BB251" s="7">
        <v>2.75</v>
      </c>
      <c r="BC251" s="11">
        <v>7.845409805182918E-4</v>
      </c>
      <c r="BD251" s="11">
        <v>-7.6864185542294718E-3</v>
      </c>
      <c r="BE251" s="11">
        <v>2.5683624074174228E-2</v>
      </c>
      <c r="BF251" s="1">
        <v>-3.4648592127506928E-3</v>
      </c>
      <c r="BG251" s="3">
        <f t="shared" si="463"/>
        <v>2.5352567379084402E-2</v>
      </c>
      <c r="BH251" s="11">
        <f t="shared" si="472"/>
        <v>0.93827944258920815</v>
      </c>
      <c r="BI251" s="3">
        <v>5.8726798298691677E-3</v>
      </c>
      <c r="BJ251" s="11">
        <v>0</v>
      </c>
      <c r="BK251" s="11"/>
      <c r="BN251" s="7">
        <v>2.75</v>
      </c>
      <c r="BO251" s="7">
        <v>2.75</v>
      </c>
      <c r="BP251" s="11">
        <v>7.5454098051829302E-4</v>
      </c>
      <c r="BQ251" s="11">
        <v>-7.3939185542294837E-3</v>
      </c>
      <c r="BR251" s="11">
        <v>2.4760499074174262E-2</v>
      </c>
      <c r="BS251" s="1">
        <v>-2.5243904627507419E-3</v>
      </c>
      <c r="BT251" s="3">
        <f t="shared" si="464"/>
        <v>2.5342567379084392E-2</v>
      </c>
      <c r="BU251" s="11">
        <f t="shared" si="473"/>
        <v>0.93828330349198508</v>
      </c>
      <c r="BV251" s="3">
        <v>5.8705048937209977E-3</v>
      </c>
      <c r="BW251" s="11">
        <v>0</v>
      </c>
      <c r="BX251" s="11"/>
      <c r="CA251" s="7">
        <v>2.75</v>
      </c>
      <c r="CB251" s="7">
        <v>2.75</v>
      </c>
      <c r="CC251" s="11">
        <v>7.745409805182922E-4</v>
      </c>
      <c r="CD251" s="11">
        <v>-7.5839185542294759E-3</v>
      </c>
      <c r="CE251" s="11">
        <v>2.5346749074174238E-2</v>
      </c>
      <c r="CF251" s="1">
        <v>-3.1156404627507017E-3</v>
      </c>
      <c r="CG251" s="3">
        <f t="shared" si="465"/>
        <v>2.5342567379084399E-2</v>
      </c>
      <c r="CH251" s="11">
        <f t="shared" si="474"/>
        <v>0.9382829392303863</v>
      </c>
      <c r="CI251" s="3">
        <v>5.8706675472136498E-3</v>
      </c>
      <c r="CJ251" s="11">
        <v>0</v>
      </c>
      <c r="CK251" s="11"/>
      <c r="CN251" s="7">
        <v>2.75</v>
      </c>
      <c r="CO251" s="7">
        <v>2.75</v>
      </c>
      <c r="CP251" s="11">
        <v>7.6954098051829241E-4</v>
      </c>
      <c r="CQ251" s="11">
        <v>-7.5376685542294774E-3</v>
      </c>
      <c r="CR251" s="11">
        <v>2.5205811574174248E-2</v>
      </c>
      <c r="CS251" s="1">
        <v>-2.9738435877507269E-3</v>
      </c>
      <c r="CT251" s="3">
        <f t="shared" si="466"/>
        <v>2.5342567379084392E-2</v>
      </c>
      <c r="CU251" s="11">
        <f t="shared" si="475"/>
        <v>0.9382829392303863</v>
      </c>
      <c r="CV251" s="3">
        <v>5.8706675472136498E-3</v>
      </c>
      <c r="CW251" s="11">
        <v>0</v>
      </c>
      <c r="CX251" s="11"/>
      <c r="DA251" s="7">
        <v>2.75</v>
      </c>
      <c r="DB251" s="7">
        <v>2.75</v>
      </c>
      <c r="DC251" s="11">
        <v>7.6954098051829241E-4</v>
      </c>
      <c r="DD251" s="11">
        <v>-7.5376685542294774E-3</v>
      </c>
      <c r="DE251" s="11">
        <v>2.5205811574174248E-2</v>
      </c>
      <c r="DF251" s="1">
        <v>-2.9738435877507269E-3</v>
      </c>
      <c r="DG251" s="3">
        <f t="shared" si="467"/>
        <v>2.5342567379084392E-2</v>
      </c>
      <c r="DH251" s="11">
        <f t="shared" si="476"/>
        <v>0.9382829392303863</v>
      </c>
      <c r="DI251" s="3">
        <v>5.8706675472136498E-3</v>
      </c>
      <c r="DJ251" s="11">
        <v>0</v>
      </c>
      <c r="DK251" s="11"/>
    </row>
    <row r="252" spans="1:115" x14ac:dyDescent="0.25">
      <c r="A252" s="7">
        <v>3</v>
      </c>
      <c r="B252" s="7">
        <v>2.75</v>
      </c>
      <c r="C252" s="11">
        <v>7.6954098051829241E-4</v>
      </c>
      <c r="D252" s="11">
        <v>-7.5376685542294774E-3</v>
      </c>
      <c r="E252" s="11">
        <v>2.5205811574174248E-2</v>
      </c>
      <c r="F252" s="1">
        <v>-2.9738435877507269E-3</v>
      </c>
      <c r="G252" s="3">
        <f t="shared" si="459"/>
        <v>2.5582180620700619E-2</v>
      </c>
      <c r="H252" s="11">
        <f t="shared" si="468"/>
        <v>0.93237574047398986</v>
      </c>
      <c r="I252" s="3">
        <v>5.9071987563964479E-3</v>
      </c>
      <c r="J252" s="11">
        <v>0.93237574047398986</v>
      </c>
      <c r="N252" s="7">
        <v>3</v>
      </c>
      <c r="O252" s="7">
        <v>2.75</v>
      </c>
      <c r="P252" s="11">
        <v>7.6954098051829241E-4</v>
      </c>
      <c r="Q252" s="11">
        <v>-7.5376685542294774E-3</v>
      </c>
      <c r="R252" s="11">
        <v>2.5205811574174248E-2</v>
      </c>
      <c r="S252" s="1">
        <v>-2.9738435877507269E-3</v>
      </c>
      <c r="T252" s="3">
        <f t="shared" si="460"/>
        <v>2.5582180620700619E-2</v>
      </c>
      <c r="U252" s="11">
        <f t="shared" si="469"/>
        <v>0.9323711068958016</v>
      </c>
      <c r="V252" s="3">
        <v>5.9071693997045874E-3</v>
      </c>
      <c r="W252" s="11">
        <v>0.9323711068958016</v>
      </c>
      <c r="AA252" s="7">
        <v>3</v>
      </c>
      <c r="AB252" s="7">
        <v>2.75</v>
      </c>
      <c r="AC252" s="11">
        <v>7.6954098051829241E-4</v>
      </c>
      <c r="AD252" s="11">
        <v>-7.5376685542294774E-3</v>
      </c>
      <c r="AE252" s="11">
        <v>2.5205811574174248E-2</v>
      </c>
      <c r="AF252" s="1">
        <v>-2.9738435877507269E-3</v>
      </c>
      <c r="AG252" s="3">
        <f t="shared" si="461"/>
        <v>2.5582180620700619E-2</v>
      </c>
      <c r="AH252" s="11">
        <f t="shared" si="470"/>
        <v>0.9323676257746909</v>
      </c>
      <c r="AI252" s="3">
        <v>5.907147344568011E-3</v>
      </c>
      <c r="AJ252" s="11">
        <v>0.9323676257746909</v>
      </c>
      <c r="AK252" s="11"/>
      <c r="AN252" s="7">
        <v>3</v>
      </c>
      <c r="AO252" s="7">
        <v>2.75</v>
      </c>
      <c r="AP252" s="11">
        <v>7.6454098051829261E-4</v>
      </c>
      <c r="AQ252" s="11">
        <v>-7.4864185542294799E-3</v>
      </c>
      <c r="AR252" s="11">
        <v>2.5032374074174257E-2</v>
      </c>
      <c r="AS252" s="1">
        <v>-2.7804842127507334E-3</v>
      </c>
      <c r="AT252" s="3">
        <f t="shared" si="462"/>
        <v>2.5581477495700618E-2</v>
      </c>
      <c r="AU252" s="11">
        <f t="shared" si="471"/>
        <v>0.93236610926391927</v>
      </c>
      <c r="AV252" s="3">
        <v>5.9071377364989085E-3</v>
      </c>
      <c r="AW252" s="11">
        <v>0.93236610926391927</v>
      </c>
      <c r="AX252" s="11"/>
      <c r="BA252" s="7">
        <v>3</v>
      </c>
      <c r="BB252" s="7">
        <v>2.75</v>
      </c>
      <c r="BC252" s="11">
        <v>7.845409805182918E-4</v>
      </c>
      <c r="BD252" s="11">
        <v>-7.6864185542294718E-3</v>
      </c>
      <c r="BE252" s="11">
        <v>2.5683624074174228E-2</v>
      </c>
      <c r="BF252" s="1">
        <v>-3.4648592127506928E-3</v>
      </c>
      <c r="BG252" s="3">
        <f t="shared" si="463"/>
        <v>2.5590852495700631E-2</v>
      </c>
      <c r="BH252" s="11">
        <f t="shared" si="472"/>
        <v>0.93236994959686126</v>
      </c>
      <c r="BI252" s="3">
        <v>5.9094929923469881E-3</v>
      </c>
      <c r="BJ252" s="11">
        <v>0.93236994959686126</v>
      </c>
      <c r="BK252" s="11"/>
      <c r="BN252" s="7">
        <v>3</v>
      </c>
      <c r="BO252" s="7">
        <v>2.75</v>
      </c>
      <c r="BP252" s="11">
        <v>7.5454098051829302E-4</v>
      </c>
      <c r="BQ252" s="11">
        <v>-7.3939185542294837E-3</v>
      </c>
      <c r="BR252" s="11">
        <v>2.4760499074174262E-2</v>
      </c>
      <c r="BS252" s="1">
        <v>-2.5243904627507419E-3</v>
      </c>
      <c r="BT252" s="3">
        <f t="shared" si="464"/>
        <v>2.5584446245700596E-2</v>
      </c>
      <c r="BU252" s="11">
        <f t="shared" si="473"/>
        <v>0.93237610244228719</v>
      </c>
      <c r="BV252" s="3">
        <v>5.9072010496979384E-3</v>
      </c>
      <c r="BW252" s="11">
        <v>0.93237610244228719</v>
      </c>
      <c r="BX252" s="11"/>
      <c r="CA252" s="7">
        <v>3</v>
      </c>
      <c r="CB252" s="7">
        <v>2.75</v>
      </c>
      <c r="CC252" s="11">
        <v>7.745409805182922E-4</v>
      </c>
      <c r="CD252" s="11">
        <v>-7.5839185542294759E-3</v>
      </c>
      <c r="CE252" s="11">
        <v>2.5346749074174238E-2</v>
      </c>
      <c r="CF252" s="1">
        <v>-3.1156404627507017E-3</v>
      </c>
      <c r="CG252" s="3">
        <f t="shared" si="465"/>
        <v>2.5581946245700621E-2</v>
      </c>
      <c r="CH252" s="11">
        <f t="shared" si="474"/>
        <v>0.93237574047398986</v>
      </c>
      <c r="CI252" s="3">
        <v>5.9071987563964496E-3</v>
      </c>
      <c r="CJ252" s="11">
        <v>0.93237574047398986</v>
      </c>
      <c r="CK252" s="11"/>
      <c r="CN252" s="7">
        <v>3</v>
      </c>
      <c r="CO252" s="7">
        <v>2.75</v>
      </c>
      <c r="CP252" s="11">
        <v>7.6954098051829241E-4</v>
      </c>
      <c r="CQ252" s="11">
        <v>-7.5376685542294774E-3</v>
      </c>
      <c r="CR252" s="11">
        <v>2.5205811574174248E-2</v>
      </c>
      <c r="CS252" s="1">
        <v>-2.9738435877507269E-3</v>
      </c>
      <c r="CT252" s="3">
        <f t="shared" si="466"/>
        <v>2.5582180620700619E-2</v>
      </c>
      <c r="CU252" s="11">
        <f t="shared" si="475"/>
        <v>0.93237574047398986</v>
      </c>
      <c r="CV252" s="3">
        <v>5.9071987563964479E-3</v>
      </c>
      <c r="CW252" s="11">
        <v>0.93237574047398986</v>
      </c>
      <c r="CX252" s="11"/>
      <c r="DA252" s="7">
        <v>3</v>
      </c>
      <c r="DB252" s="7">
        <v>2.75</v>
      </c>
      <c r="DC252" s="11">
        <v>7.6954098051829241E-4</v>
      </c>
      <c r="DD252" s="11">
        <v>-7.5376685542294774E-3</v>
      </c>
      <c r="DE252" s="11">
        <v>2.5205811574174248E-2</v>
      </c>
      <c r="DF252" s="1">
        <v>-2.9738435877507269E-3</v>
      </c>
      <c r="DG252" s="3">
        <f t="shared" si="467"/>
        <v>2.5582180620700619E-2</v>
      </c>
      <c r="DH252" s="11">
        <f t="shared" si="476"/>
        <v>0.93237574047398986</v>
      </c>
      <c r="DI252" s="3">
        <v>5.9071987563964479E-3</v>
      </c>
      <c r="DJ252" s="11">
        <v>0.93237574047398986</v>
      </c>
      <c r="DK252" s="11"/>
    </row>
    <row r="253" spans="1:115" x14ac:dyDescent="0.25">
      <c r="A253" s="7">
        <v>3.25</v>
      </c>
      <c r="B253" s="7">
        <v>2.75</v>
      </c>
      <c r="C253" s="11">
        <v>7.6954098051829241E-4</v>
      </c>
      <c r="D253" s="11">
        <v>-7.5376685542294774E-3</v>
      </c>
      <c r="E253" s="11">
        <v>2.5205811574174248E-2</v>
      </c>
      <c r="F253" s="1">
        <v>-2.9738435877507269E-3</v>
      </c>
      <c r="G253" s="3">
        <f t="shared" si="459"/>
        <v>2.5745318896121236E-2</v>
      </c>
      <c r="H253" s="11">
        <f t="shared" si="468"/>
        <v>0.92645058393042445</v>
      </c>
      <c r="I253" s="3">
        <v>5.9251565435654192E-3</v>
      </c>
      <c r="J253" s="11">
        <v>0</v>
      </c>
      <c r="N253" s="7">
        <v>3.25</v>
      </c>
      <c r="O253" s="7">
        <v>2.75</v>
      </c>
      <c r="P253" s="11">
        <v>7.6954098051829241E-4</v>
      </c>
      <c r="Q253" s="11">
        <v>-7.5376685542294774E-3</v>
      </c>
      <c r="R253" s="11">
        <v>2.5205811574174248E-2</v>
      </c>
      <c r="S253" s="1">
        <v>-2.9738435877507269E-3</v>
      </c>
      <c r="T253" s="3">
        <f t="shared" si="460"/>
        <v>2.5745318896121236E-2</v>
      </c>
      <c r="U253" s="11">
        <f t="shared" si="469"/>
        <v>0.92644597979817189</v>
      </c>
      <c r="V253" s="3">
        <v>5.9251270976296974E-3</v>
      </c>
      <c r="W253" s="11">
        <v>0</v>
      </c>
      <c r="AA253" s="7">
        <v>3.25</v>
      </c>
      <c r="AB253" s="7">
        <v>2.75</v>
      </c>
      <c r="AC253" s="11">
        <v>7.6954098051829241E-4</v>
      </c>
      <c r="AD253" s="11">
        <v>-7.5376685542294774E-3</v>
      </c>
      <c r="AE253" s="11">
        <v>2.5205811574174248E-2</v>
      </c>
      <c r="AF253" s="1">
        <v>-2.9738435877507269E-3</v>
      </c>
      <c r="AG253" s="3">
        <f t="shared" si="461"/>
        <v>2.5745318896121236E-2</v>
      </c>
      <c r="AH253" s="11">
        <f t="shared" si="470"/>
        <v>0.92644252079924505</v>
      </c>
      <c r="AI253" s="3">
        <v>5.9251049754458695E-3</v>
      </c>
      <c r="AJ253" s="11">
        <v>0</v>
      </c>
      <c r="AK253" s="11"/>
      <c r="AN253" s="7">
        <v>3.25</v>
      </c>
      <c r="AO253" s="7">
        <v>2.75</v>
      </c>
      <c r="AP253" s="11">
        <v>7.6454098051829261E-4</v>
      </c>
      <c r="AQ253" s="11">
        <v>-7.4864185542294799E-3</v>
      </c>
      <c r="AR253" s="11">
        <v>2.5032374074174257E-2</v>
      </c>
      <c r="AS253" s="1">
        <v>-2.7804842127507334E-3</v>
      </c>
      <c r="AT253" s="3">
        <f t="shared" si="462"/>
        <v>2.5744693896121218E-2</v>
      </c>
      <c r="AU253" s="11">
        <f t="shared" si="471"/>
        <v>0.92644117574183671</v>
      </c>
      <c r="AV253" s="3">
        <v>5.9249335220825546E-3</v>
      </c>
      <c r="AW253" s="11">
        <v>0</v>
      </c>
      <c r="AX253" s="11"/>
      <c r="BA253" s="7">
        <v>3.25</v>
      </c>
      <c r="BB253" s="7">
        <v>2.75</v>
      </c>
      <c r="BC253" s="11">
        <v>7.845409805182918E-4</v>
      </c>
      <c r="BD253" s="11">
        <v>-7.6864185542294718E-3</v>
      </c>
      <c r="BE253" s="11">
        <v>2.5683624074174228E-2</v>
      </c>
      <c r="BF253" s="1">
        <v>-3.4648592127506928E-3</v>
      </c>
      <c r="BG253" s="3">
        <f t="shared" si="463"/>
        <v>2.5750943896121245E-2</v>
      </c>
      <c r="BH253" s="11">
        <f t="shared" si="472"/>
        <v>0.92644283411845518</v>
      </c>
      <c r="BI253" s="3">
        <v>5.9271154784060589E-3</v>
      </c>
      <c r="BJ253" s="11">
        <v>0</v>
      </c>
      <c r="BK253" s="11"/>
      <c r="BN253" s="7">
        <v>3.25</v>
      </c>
      <c r="BO253" s="7">
        <v>2.75</v>
      </c>
      <c r="BP253" s="11">
        <v>7.5454098051829302E-4</v>
      </c>
      <c r="BQ253" s="11">
        <v>-7.3939185542294837E-3</v>
      </c>
      <c r="BR253" s="11">
        <v>2.4760499074174262E-2</v>
      </c>
      <c r="BS253" s="1">
        <v>-2.5243904627507419E-3</v>
      </c>
      <c r="BT253" s="3">
        <f t="shared" si="464"/>
        <v>2.5750943896121217E-2</v>
      </c>
      <c r="BU253" s="11">
        <f t="shared" si="473"/>
        <v>0.92645042218585716</v>
      </c>
      <c r="BV253" s="3">
        <v>5.9256802564301714E-3</v>
      </c>
      <c r="BW253" s="11">
        <v>0</v>
      </c>
      <c r="BX253" s="11"/>
      <c r="CA253" s="7">
        <v>3.25</v>
      </c>
      <c r="CB253" s="7">
        <v>2.75</v>
      </c>
      <c r="CC253" s="11">
        <v>7.745409805182922E-4</v>
      </c>
      <c r="CD253" s="11">
        <v>-7.5839185542294759E-3</v>
      </c>
      <c r="CE253" s="11">
        <v>2.5346749074174238E-2</v>
      </c>
      <c r="CF253" s="1">
        <v>-3.1156404627507017E-3</v>
      </c>
      <c r="CG253" s="3">
        <f t="shared" si="465"/>
        <v>2.5744693896121232E-2</v>
      </c>
      <c r="CH253" s="11">
        <f t="shared" si="474"/>
        <v>0.92645063786967063</v>
      </c>
      <c r="CI253" s="3">
        <v>5.9251026043192411E-3</v>
      </c>
      <c r="CJ253" s="11">
        <v>0</v>
      </c>
      <c r="CK253" s="11"/>
      <c r="CN253" s="7">
        <v>3.25</v>
      </c>
      <c r="CO253" s="7">
        <v>2.75</v>
      </c>
      <c r="CP253" s="11">
        <v>7.6954098051829241E-4</v>
      </c>
      <c r="CQ253" s="11">
        <v>-7.5376685542294774E-3</v>
      </c>
      <c r="CR253" s="11">
        <v>2.5205811574174248E-2</v>
      </c>
      <c r="CS253" s="1">
        <v>-2.9738435877507269E-3</v>
      </c>
      <c r="CT253" s="3">
        <f t="shared" si="466"/>
        <v>2.5745318896121236E-2</v>
      </c>
      <c r="CU253" s="11">
        <f t="shared" si="475"/>
        <v>0.92645058393042445</v>
      </c>
      <c r="CV253" s="3">
        <v>5.9251565435654192E-3</v>
      </c>
      <c r="CW253" s="11">
        <v>0</v>
      </c>
      <c r="CX253" s="11"/>
      <c r="DA253" s="7">
        <v>3.25</v>
      </c>
      <c r="DB253" s="7">
        <v>2.75</v>
      </c>
      <c r="DC253" s="11">
        <v>7.6954098051829241E-4</v>
      </c>
      <c r="DD253" s="11">
        <v>-7.5376685542294774E-3</v>
      </c>
      <c r="DE253" s="11">
        <v>2.5205811574174248E-2</v>
      </c>
      <c r="DF253" s="1">
        <v>-2.9738435877507269E-3</v>
      </c>
      <c r="DG253" s="3">
        <f t="shared" si="467"/>
        <v>2.5745318896121236E-2</v>
      </c>
      <c r="DH253" s="11">
        <f t="shared" si="476"/>
        <v>0.92645058393042445</v>
      </c>
      <c r="DI253" s="3">
        <v>5.9251565435654192E-3</v>
      </c>
      <c r="DJ253" s="11">
        <v>0</v>
      </c>
      <c r="DK253" s="11"/>
    </row>
    <row r="254" spans="1:115" x14ac:dyDescent="0.25">
      <c r="A254" s="7">
        <v>3.5</v>
      </c>
      <c r="B254" s="7">
        <v>2.75</v>
      </c>
      <c r="C254" s="11">
        <v>7.6954098051829241E-4</v>
      </c>
      <c r="D254" s="11">
        <v>-7.5376685542294774E-3</v>
      </c>
      <c r="E254" s="11">
        <v>2.5205811574174248E-2</v>
      </c>
      <c r="F254" s="1">
        <v>-2.9738435877507269E-3</v>
      </c>
      <c r="G254" s="3">
        <f t="shared" si="459"/>
        <v>2.590412667226983E-2</v>
      </c>
      <c r="H254" s="11">
        <f t="shared" si="468"/>
        <v>0.92052577651331557</v>
      </c>
      <c r="I254" s="3">
        <v>5.9248074171087345E-3</v>
      </c>
      <c r="J254" s="11">
        <v>0</v>
      </c>
      <c r="N254" s="7">
        <v>3.5</v>
      </c>
      <c r="O254" s="7">
        <v>2.75</v>
      </c>
      <c r="P254" s="11">
        <v>7.6954098051829241E-4</v>
      </c>
      <c r="Q254" s="11">
        <v>-7.5376685542294774E-3</v>
      </c>
      <c r="R254" s="11">
        <v>2.5205811574174248E-2</v>
      </c>
      <c r="S254" s="1">
        <v>-2.9738435877507269E-3</v>
      </c>
      <c r="T254" s="3">
        <f t="shared" si="460"/>
        <v>2.590412667226983E-2</v>
      </c>
      <c r="U254" s="11">
        <f t="shared" si="469"/>
        <v>0.92052120182526376</v>
      </c>
      <c r="V254" s="3">
        <v>5.9247779729080484E-3</v>
      </c>
      <c r="W254" s="11">
        <v>0</v>
      </c>
      <c r="AA254" s="7">
        <v>3.5</v>
      </c>
      <c r="AB254" s="7">
        <v>2.75</v>
      </c>
      <c r="AC254" s="11">
        <v>7.6954098051829241E-4</v>
      </c>
      <c r="AD254" s="11">
        <v>-7.5376685542294774E-3</v>
      </c>
      <c r="AE254" s="11">
        <v>2.5205811574174248E-2</v>
      </c>
      <c r="AF254" s="1">
        <v>-2.9738435877507269E-3</v>
      </c>
      <c r="AG254" s="3">
        <f t="shared" si="461"/>
        <v>2.590412667226983E-2</v>
      </c>
      <c r="AH254" s="11">
        <f t="shared" si="470"/>
        <v>0.92051776494721727</v>
      </c>
      <c r="AI254" s="3">
        <v>5.9247558520277195E-3</v>
      </c>
      <c r="AJ254" s="11">
        <v>0</v>
      </c>
      <c r="AK254" s="11"/>
      <c r="AN254" s="7">
        <v>3.5</v>
      </c>
      <c r="AO254" s="7">
        <v>2.75</v>
      </c>
      <c r="AP254" s="11">
        <v>7.6454098051829261E-4</v>
      </c>
      <c r="AQ254" s="11">
        <v>-7.4864185542294799E-3</v>
      </c>
      <c r="AR254" s="11">
        <v>2.5032374074174257E-2</v>
      </c>
      <c r="AS254" s="1">
        <v>-2.7804842127507334E-3</v>
      </c>
      <c r="AT254" s="3">
        <f t="shared" si="462"/>
        <v>2.5903892297269832E-2</v>
      </c>
      <c r="AU254" s="11">
        <f t="shared" si="471"/>
        <v>0.92051657140257015</v>
      </c>
      <c r="AV254" s="3">
        <v>5.9246043392665445E-3</v>
      </c>
      <c r="AW254" s="11">
        <v>0</v>
      </c>
      <c r="AX254" s="11"/>
      <c r="BA254" s="7">
        <v>3.5</v>
      </c>
      <c r="BB254" s="7">
        <v>2.75</v>
      </c>
      <c r="BC254" s="11">
        <v>7.845409805182918E-4</v>
      </c>
      <c r="BD254" s="11">
        <v>-7.6864185542294718E-3</v>
      </c>
      <c r="BE254" s="11">
        <v>2.5683624074174228E-2</v>
      </c>
      <c r="BF254" s="1">
        <v>-3.4648592127506928E-3</v>
      </c>
      <c r="BG254" s="3">
        <f t="shared" si="463"/>
        <v>2.5906392297269834E-2</v>
      </c>
      <c r="BH254" s="11">
        <f t="shared" si="472"/>
        <v>0.92051679006435883</v>
      </c>
      <c r="BI254" s="3">
        <v>5.9260440540962302E-3</v>
      </c>
      <c r="BJ254" s="11">
        <v>0</v>
      </c>
      <c r="BK254" s="11"/>
      <c r="BN254" s="7">
        <v>3.5</v>
      </c>
      <c r="BO254" s="7">
        <v>2.75</v>
      </c>
      <c r="BP254" s="11">
        <v>7.5454098051829302E-4</v>
      </c>
      <c r="BQ254" s="11">
        <v>-7.3939185542294837E-3</v>
      </c>
      <c r="BR254" s="11">
        <v>2.4760499074174262E-2</v>
      </c>
      <c r="BS254" s="1">
        <v>-2.5243904627507419E-3</v>
      </c>
      <c r="BT254" s="3">
        <f t="shared" si="464"/>
        <v>2.5912798547269814E-2</v>
      </c>
      <c r="BU254" s="11">
        <f t="shared" si="473"/>
        <v>0.92052432959425801</v>
      </c>
      <c r="BV254" s="3">
        <v>5.9260925915990831E-3</v>
      </c>
      <c r="BW254" s="11">
        <v>0</v>
      </c>
      <c r="BX254" s="11"/>
      <c r="CA254" s="7">
        <v>3.5</v>
      </c>
      <c r="CB254" s="7">
        <v>2.75</v>
      </c>
      <c r="CC254" s="11">
        <v>7.745409805182922E-4</v>
      </c>
      <c r="CD254" s="11">
        <v>-7.5839185542294759E-3</v>
      </c>
      <c r="CE254" s="11">
        <v>2.5346749074174238E-2</v>
      </c>
      <c r="CF254" s="1">
        <v>-3.1156404627507017E-3</v>
      </c>
      <c r="CG254" s="3">
        <f t="shared" si="465"/>
        <v>2.5903423547269842E-2</v>
      </c>
      <c r="CH254" s="11">
        <f t="shared" si="474"/>
        <v>0.92052597301996353</v>
      </c>
      <c r="CI254" s="3">
        <v>5.9246648497070283E-3</v>
      </c>
      <c r="CJ254" s="11">
        <v>0</v>
      </c>
      <c r="CK254" s="11"/>
      <c r="CN254" s="7">
        <v>3.5</v>
      </c>
      <c r="CO254" s="7">
        <v>2.75</v>
      </c>
      <c r="CP254" s="11">
        <v>7.6954098051829241E-4</v>
      </c>
      <c r="CQ254" s="11">
        <v>-7.5376685542294774E-3</v>
      </c>
      <c r="CR254" s="11">
        <v>2.5205811574174248E-2</v>
      </c>
      <c r="CS254" s="1">
        <v>-2.9738435877507269E-3</v>
      </c>
      <c r="CT254" s="3">
        <f t="shared" si="466"/>
        <v>2.590412667226983E-2</v>
      </c>
      <c r="CU254" s="11">
        <f t="shared" si="475"/>
        <v>0.92052577651331557</v>
      </c>
      <c r="CV254" s="3">
        <v>5.9248074171087345E-3</v>
      </c>
      <c r="CW254" s="11">
        <v>0</v>
      </c>
      <c r="CX254" s="11"/>
      <c r="DA254" s="7">
        <v>3.5</v>
      </c>
      <c r="DB254" s="7">
        <v>2.75</v>
      </c>
      <c r="DC254" s="11">
        <v>7.6954098051829241E-4</v>
      </c>
      <c r="DD254" s="11">
        <v>-7.5376685542294774E-3</v>
      </c>
      <c r="DE254" s="11">
        <v>2.5205811574174248E-2</v>
      </c>
      <c r="DF254" s="1">
        <v>-2.9738435877507269E-3</v>
      </c>
      <c r="DG254" s="3">
        <f t="shared" si="467"/>
        <v>2.590412667226983E-2</v>
      </c>
      <c r="DH254" s="11">
        <f t="shared" si="476"/>
        <v>0.92052577651331557</v>
      </c>
      <c r="DI254" s="3">
        <v>5.9248074171087345E-3</v>
      </c>
      <c r="DJ254" s="11">
        <v>0</v>
      </c>
      <c r="DK254" s="11"/>
    </row>
    <row r="255" spans="1:115" x14ac:dyDescent="0.25">
      <c r="A255" s="7">
        <v>3.75</v>
      </c>
      <c r="B255" s="7">
        <v>3.75</v>
      </c>
      <c r="C255" s="11">
        <v>-9.9382572676857007E-4</v>
      </c>
      <c r="D255" s="11">
        <v>1.2524491648998003E-2</v>
      </c>
      <c r="E255" s="11">
        <v>-5.0868356986367359E-2</v>
      </c>
      <c r="F255" s="1">
        <v>9.3170201860974494E-2</v>
      </c>
      <c r="G255" s="3">
        <f t="shared" si="459"/>
        <v>2.6130748416069993E-2</v>
      </c>
      <c r="H255" s="11">
        <f t="shared" si="468"/>
        <v>0.91460277994667838</v>
      </c>
      <c r="I255" s="3">
        <v>5.9229965666372213E-3</v>
      </c>
      <c r="J255" s="11">
        <v>0</v>
      </c>
      <c r="N255" s="7">
        <v>3.75</v>
      </c>
      <c r="O255" s="7">
        <v>3.75</v>
      </c>
      <c r="P255" s="11">
        <v>-9.9382572676857007E-4</v>
      </c>
      <c r="Q255" s="11">
        <v>1.2524491648998003E-2</v>
      </c>
      <c r="R255" s="11">
        <v>-5.0868356986367359E-2</v>
      </c>
      <c r="S255" s="1">
        <v>9.3170201860974494E-2</v>
      </c>
      <c r="T255" s="3">
        <f t="shared" si="460"/>
        <v>2.6130748416069993E-2</v>
      </c>
      <c r="U255" s="11">
        <f t="shared" si="469"/>
        <v>0.91459823469382795</v>
      </c>
      <c r="V255" s="3">
        <v>5.9229671314358226E-3</v>
      </c>
      <c r="W255" s="11">
        <v>0</v>
      </c>
      <c r="AA255" s="7">
        <v>3.75</v>
      </c>
      <c r="AB255" s="7">
        <v>3.75</v>
      </c>
      <c r="AC255" s="11">
        <v>-9.9382572676857007E-4</v>
      </c>
      <c r="AD255" s="11">
        <v>1.2524491648998003E-2</v>
      </c>
      <c r="AE255" s="11">
        <v>-5.0868356986367359E-2</v>
      </c>
      <c r="AF255" s="1">
        <v>9.3170201860974494E-2</v>
      </c>
      <c r="AG255" s="3">
        <f t="shared" si="461"/>
        <v>2.6130748416069993E-2</v>
      </c>
      <c r="AH255" s="11">
        <f t="shared" si="470"/>
        <v>0.91459481992990077</v>
      </c>
      <c r="AI255" s="3">
        <v>5.9229450173164909E-3</v>
      </c>
      <c r="AJ255" s="11">
        <v>0</v>
      </c>
      <c r="AK255" s="11"/>
      <c r="AN255" s="7">
        <v>3.75</v>
      </c>
      <c r="AO255" s="7">
        <v>3.75</v>
      </c>
      <c r="AP255" s="11">
        <v>-9.9382572676857007E-4</v>
      </c>
      <c r="AQ255" s="11">
        <v>1.2524491648998003E-2</v>
      </c>
      <c r="AR255" s="11">
        <v>-5.0868356986367359E-2</v>
      </c>
      <c r="AS255" s="1">
        <v>9.3170201860974494E-2</v>
      </c>
      <c r="AT255" s="3">
        <f t="shared" si="462"/>
        <v>2.6130748416069993E-2</v>
      </c>
      <c r="AU255" s="11">
        <f t="shared" si="471"/>
        <v>0.91459368730961244</v>
      </c>
      <c r="AV255" s="3">
        <v>5.9228840929577706E-3</v>
      </c>
      <c r="AW255" s="11">
        <v>0</v>
      </c>
      <c r="AX255" s="11"/>
      <c r="BA255" s="7">
        <v>3.75</v>
      </c>
      <c r="BB255" s="7">
        <v>3.75</v>
      </c>
      <c r="BC255" s="11">
        <v>-9.9882572676856986E-4</v>
      </c>
      <c r="BD255" s="11">
        <v>1.2590741648998E-2</v>
      </c>
      <c r="BE255" s="11">
        <v>-5.1159294486367322E-2</v>
      </c>
      <c r="BF255" s="1">
        <v>9.3593248735974369E-2</v>
      </c>
      <c r="BG255" s="3">
        <f t="shared" si="463"/>
        <v>2.6130748416070007E-2</v>
      </c>
      <c r="BH255" s="11">
        <f t="shared" si="472"/>
        <v>0.91459333662161169</v>
      </c>
      <c r="BI255" s="3">
        <v>5.9234534427471093E-3</v>
      </c>
      <c r="BJ255" s="11">
        <v>0</v>
      </c>
      <c r="BK255" s="11"/>
      <c r="BN255" s="7">
        <v>3.75</v>
      </c>
      <c r="BO255" s="7">
        <v>3.75</v>
      </c>
      <c r="BP255" s="11">
        <v>-9.7882572676857068E-4</v>
      </c>
      <c r="BQ255" s="11">
        <v>1.2330741648998011E-2</v>
      </c>
      <c r="BR255" s="11">
        <v>-5.0048044486367391E-2</v>
      </c>
      <c r="BS255" s="1">
        <v>9.2037623735974544E-2</v>
      </c>
      <c r="BT255" s="3">
        <f t="shared" si="464"/>
        <v>2.6140748416070003E-2</v>
      </c>
      <c r="BU255" s="11">
        <f t="shared" si="473"/>
        <v>0.91459937227296573</v>
      </c>
      <c r="BV255" s="3">
        <v>5.9249573212921975E-3</v>
      </c>
      <c r="BW255" s="11">
        <v>0</v>
      </c>
      <c r="BX255" s="11"/>
      <c r="CA255" s="7">
        <v>3.75</v>
      </c>
      <c r="CB255" s="7">
        <v>3.75</v>
      </c>
      <c r="CC255" s="11">
        <v>-1.0063257267685696E-3</v>
      </c>
      <c r="CD255" s="11">
        <v>1.2682616648997997E-2</v>
      </c>
      <c r="CE255" s="11">
        <v>-5.1521950736367318E-2</v>
      </c>
      <c r="CF255" s="1">
        <v>9.4056725298474406E-2</v>
      </c>
      <c r="CG255" s="3">
        <f t="shared" si="465"/>
        <v>2.6130748416070007E-2</v>
      </c>
      <c r="CH255" s="11">
        <f t="shared" si="474"/>
        <v>0.91460313492456069</v>
      </c>
      <c r="CI255" s="3">
        <v>5.9228380954029205E-3</v>
      </c>
      <c r="CJ255" s="11">
        <v>0</v>
      </c>
      <c r="CK255" s="11"/>
      <c r="CN255" s="7">
        <v>3.75</v>
      </c>
      <c r="CO255" s="7">
        <v>3.75</v>
      </c>
      <c r="CP255" s="11">
        <v>-9.9132572676857017E-4</v>
      </c>
      <c r="CQ255" s="11">
        <v>1.2493866648998004E-2</v>
      </c>
      <c r="CR255" s="11">
        <v>-5.074413823636735E-2</v>
      </c>
      <c r="CS255" s="1">
        <v>9.3003209673474446E-2</v>
      </c>
      <c r="CT255" s="3">
        <f t="shared" si="466"/>
        <v>2.6130748416070007E-2</v>
      </c>
      <c r="CU255" s="11">
        <f t="shared" si="475"/>
        <v>0.91460277994667838</v>
      </c>
      <c r="CV255" s="3">
        <v>5.9229965666372213E-3</v>
      </c>
      <c r="CW255" s="11">
        <v>0</v>
      </c>
      <c r="CX255" s="11"/>
      <c r="DA255" s="7">
        <v>3.75</v>
      </c>
      <c r="DB255" s="7">
        <v>3.75</v>
      </c>
      <c r="DC255" s="11">
        <v>-9.9382572676857007E-4</v>
      </c>
      <c r="DD255" s="11">
        <v>1.2524491648998003E-2</v>
      </c>
      <c r="DE255" s="11">
        <v>-5.0868356986367359E-2</v>
      </c>
      <c r="DF255" s="1">
        <v>9.3170201860974494E-2</v>
      </c>
      <c r="DG255" s="3">
        <f t="shared" si="467"/>
        <v>2.6130748416069993E-2</v>
      </c>
      <c r="DH255" s="11">
        <f t="shared" si="476"/>
        <v>0.91460277994667838</v>
      </c>
      <c r="DI255" s="3">
        <v>5.9229965666372213E-3</v>
      </c>
      <c r="DJ255" s="11">
        <v>0</v>
      </c>
      <c r="DK255" s="11"/>
    </row>
    <row r="256" spans="1:115" x14ac:dyDescent="0.25">
      <c r="A256" s="7">
        <v>4</v>
      </c>
      <c r="B256" s="7">
        <v>3.75</v>
      </c>
      <c r="C256" s="11">
        <v>-9.9382572676857007E-4</v>
      </c>
      <c r="D256" s="11">
        <v>1.2524491648998003E-2</v>
      </c>
      <c r="E256" s="11">
        <v>-5.0868356986367359E-2</v>
      </c>
      <c r="F256" s="1">
        <v>9.3170201860974494E-2</v>
      </c>
      <c r="G256" s="3">
        <f t="shared" si="459"/>
        <v>2.6483793786284626E-2</v>
      </c>
      <c r="H256" s="11">
        <f t="shared" si="468"/>
        <v>0.90866674442353323</v>
      </c>
      <c r="I256" s="3">
        <v>5.9360355231451792E-3</v>
      </c>
      <c r="J256" s="11">
        <v>0.90866674442353323</v>
      </c>
      <c r="N256" s="7">
        <v>4</v>
      </c>
      <c r="O256" s="7">
        <v>3.75</v>
      </c>
      <c r="P256" s="11">
        <v>-9.9382572676857007E-4</v>
      </c>
      <c r="Q256" s="11">
        <v>1.2524491648998003E-2</v>
      </c>
      <c r="R256" s="11">
        <v>-5.0868356986367359E-2</v>
      </c>
      <c r="S256" s="1">
        <v>9.3170201860974494E-2</v>
      </c>
      <c r="T256" s="3">
        <f t="shared" si="460"/>
        <v>2.6483793786284626E-2</v>
      </c>
      <c r="U256" s="11">
        <f t="shared" si="469"/>
        <v>0.90866222867068325</v>
      </c>
      <c r="V256" s="3">
        <v>5.9360060231447714E-3</v>
      </c>
      <c r="W256" s="11">
        <v>0.90866222867068325</v>
      </c>
      <c r="AA256" s="7">
        <v>4</v>
      </c>
      <c r="AB256" s="7">
        <v>3.75</v>
      </c>
      <c r="AC256" s="11">
        <v>-9.9382572676857007E-4</v>
      </c>
      <c r="AD256" s="11">
        <v>1.2524491648998003E-2</v>
      </c>
      <c r="AE256" s="11">
        <v>-5.0868356986367359E-2</v>
      </c>
      <c r="AF256" s="1">
        <v>9.3170201860974494E-2</v>
      </c>
      <c r="AG256" s="3">
        <f t="shared" si="461"/>
        <v>2.6483793786284626E-2</v>
      </c>
      <c r="AH256" s="11">
        <f t="shared" si="470"/>
        <v>0.90865883606955766</v>
      </c>
      <c r="AI256" s="3">
        <v>5.9359838603431497E-3</v>
      </c>
      <c r="AJ256" s="11">
        <v>0.90865883606955766</v>
      </c>
      <c r="AK256" s="11"/>
      <c r="AN256" s="7">
        <v>4</v>
      </c>
      <c r="AO256" s="7">
        <v>3.75</v>
      </c>
      <c r="AP256" s="11">
        <v>-9.9382572676857007E-4</v>
      </c>
      <c r="AQ256" s="11">
        <v>1.2524491648998003E-2</v>
      </c>
      <c r="AR256" s="11">
        <v>-5.0868356986367359E-2</v>
      </c>
      <c r="AS256" s="1">
        <v>9.3170201860974494E-2</v>
      </c>
      <c r="AT256" s="3">
        <f t="shared" si="462"/>
        <v>2.6483793786284626E-2</v>
      </c>
      <c r="AU256" s="11">
        <f t="shared" si="471"/>
        <v>0.90865771080030133</v>
      </c>
      <c r="AV256" s="3">
        <v>5.9359765093111904E-3</v>
      </c>
      <c r="AW256" s="11">
        <v>0.90865771080030133</v>
      </c>
      <c r="AX256" s="11"/>
      <c r="BA256" s="7">
        <v>4</v>
      </c>
      <c r="BB256" s="7">
        <v>3.75</v>
      </c>
      <c r="BC256" s="11">
        <v>-9.9882572676856986E-4</v>
      </c>
      <c r="BD256" s="11">
        <v>1.2590741648998E-2</v>
      </c>
      <c r="BE256" s="11">
        <v>-5.1159294486367322E-2</v>
      </c>
      <c r="BF256" s="1">
        <v>9.3593248735974369E-2</v>
      </c>
      <c r="BG256" s="3">
        <f t="shared" si="463"/>
        <v>2.6483090661284611E-2</v>
      </c>
      <c r="BH256" s="11">
        <f t="shared" si="472"/>
        <v>0.9086573623883667</v>
      </c>
      <c r="BI256" s="3">
        <v>5.9359742332450406E-3</v>
      </c>
      <c r="BJ256" s="11">
        <v>0.9086573623883667</v>
      </c>
      <c r="BK256" s="11"/>
      <c r="BN256" s="7">
        <v>4</v>
      </c>
      <c r="BO256" s="7">
        <v>3.75</v>
      </c>
      <c r="BP256" s="11">
        <v>-9.7882572676857068E-4</v>
      </c>
      <c r="BQ256" s="11">
        <v>1.2330741648998011E-2</v>
      </c>
      <c r="BR256" s="11">
        <v>-5.0048044486367391E-2</v>
      </c>
      <c r="BS256" s="1">
        <v>9.2037623735974544E-2</v>
      </c>
      <c r="BT256" s="3">
        <f t="shared" si="464"/>
        <v>2.6492465661284631E-2</v>
      </c>
      <c r="BU256" s="11">
        <f t="shared" si="473"/>
        <v>0.90866110195753047</v>
      </c>
      <c r="BV256" s="3">
        <v>5.9382703154351847E-3</v>
      </c>
      <c r="BW256" s="11">
        <v>0.90866110195753047</v>
      </c>
      <c r="BX256" s="11"/>
      <c r="CA256" s="7">
        <v>4</v>
      </c>
      <c r="CB256" s="7">
        <v>3.75</v>
      </c>
      <c r="CC256" s="11">
        <v>-1.0063257267685696E-3</v>
      </c>
      <c r="CD256" s="11">
        <v>1.2682616648997997E-2</v>
      </c>
      <c r="CE256" s="11">
        <v>-5.1521950736367318E-2</v>
      </c>
      <c r="CF256" s="1">
        <v>9.4056725298474406E-2</v>
      </c>
      <c r="CG256" s="3">
        <f t="shared" si="465"/>
        <v>2.6485942223784628E-2</v>
      </c>
      <c r="CH256" s="11">
        <f t="shared" si="474"/>
        <v>0.90866709709750682</v>
      </c>
      <c r="CI256" s="3">
        <v>5.9360378270539018E-3</v>
      </c>
      <c r="CJ256" s="11">
        <v>0.90866709709750682</v>
      </c>
      <c r="CK256" s="11"/>
      <c r="CN256" s="7">
        <v>4</v>
      </c>
      <c r="CO256" s="7">
        <v>3.75</v>
      </c>
      <c r="CP256" s="11">
        <v>-9.9132572676857017E-4</v>
      </c>
      <c r="CQ256" s="11">
        <v>1.2493866648998004E-2</v>
      </c>
      <c r="CR256" s="11">
        <v>-5.074413823636735E-2</v>
      </c>
      <c r="CS256" s="1">
        <v>9.3003209673474446E-2</v>
      </c>
      <c r="CT256" s="3">
        <f t="shared" si="466"/>
        <v>2.6483676598784617E-2</v>
      </c>
      <c r="CU256" s="11">
        <f t="shared" si="475"/>
        <v>0.90866674442353323</v>
      </c>
      <c r="CV256" s="3">
        <v>5.9360355231451827E-3</v>
      </c>
      <c r="CW256" s="11">
        <v>0.90866674442353323</v>
      </c>
      <c r="CX256" s="11"/>
      <c r="DA256" s="7">
        <v>4</v>
      </c>
      <c r="DB256" s="7">
        <v>3.75</v>
      </c>
      <c r="DC256" s="11">
        <v>-9.9382572676857007E-4</v>
      </c>
      <c r="DD256" s="11">
        <v>1.2524491648998003E-2</v>
      </c>
      <c r="DE256" s="11">
        <v>-5.0868356986367359E-2</v>
      </c>
      <c r="DF256" s="1">
        <v>9.3170201860974494E-2</v>
      </c>
      <c r="DG256" s="3">
        <f t="shared" si="467"/>
        <v>2.6483793786284626E-2</v>
      </c>
      <c r="DH256" s="11">
        <f t="shared" si="476"/>
        <v>0.90866674442353323</v>
      </c>
      <c r="DI256" s="3">
        <v>5.9360355231451792E-3</v>
      </c>
      <c r="DJ256" s="11">
        <v>0.90866674442353323</v>
      </c>
      <c r="DK256" s="11"/>
    </row>
    <row r="257" spans="1:115" x14ac:dyDescent="0.25">
      <c r="A257" s="7">
        <v>4.25</v>
      </c>
      <c r="B257" s="7">
        <v>3.75</v>
      </c>
      <c r="C257" s="11">
        <v>-9.9382572676857007E-4</v>
      </c>
      <c r="D257" s="11">
        <v>1.2524491648998003E-2</v>
      </c>
      <c r="E257" s="11">
        <v>-5.0868356986367359E-2</v>
      </c>
      <c r="F257" s="1">
        <v>9.3170201860974494E-2</v>
      </c>
      <c r="G257" s="3">
        <f t="shared" si="459"/>
        <v>2.6911662022471139E-2</v>
      </c>
      <c r="H257" s="11">
        <f t="shared" si="468"/>
        <v>0.90269007994101258</v>
      </c>
      <c r="I257" s="3">
        <v>5.9766644825206402E-3</v>
      </c>
      <c r="J257" s="11">
        <v>0</v>
      </c>
      <c r="N257" s="7">
        <v>4.25</v>
      </c>
      <c r="O257" s="7">
        <v>3.75</v>
      </c>
      <c r="P257" s="11">
        <v>-9.9382572676857007E-4</v>
      </c>
      <c r="Q257" s="11">
        <v>1.2524491648998003E-2</v>
      </c>
      <c r="R257" s="11">
        <v>-5.0868356986367359E-2</v>
      </c>
      <c r="S257" s="1">
        <v>9.3170201860974494E-2</v>
      </c>
      <c r="T257" s="3">
        <f t="shared" si="460"/>
        <v>2.6911662022471139E-2</v>
      </c>
      <c r="U257" s="11">
        <f t="shared" si="469"/>
        <v>0.90268559389007463</v>
      </c>
      <c r="V257" s="3">
        <v>5.9766347806086513E-3</v>
      </c>
      <c r="W257" s="11">
        <v>0</v>
      </c>
      <c r="AA257" s="7">
        <v>4.25</v>
      </c>
      <c r="AB257" s="7">
        <v>3.75</v>
      </c>
      <c r="AC257" s="11">
        <v>-9.9382572676857007E-4</v>
      </c>
      <c r="AD257" s="11">
        <v>1.2524491648998003E-2</v>
      </c>
      <c r="AE257" s="11">
        <v>-5.0868356986367359E-2</v>
      </c>
      <c r="AF257" s="1">
        <v>9.3170201860974494E-2</v>
      </c>
      <c r="AG257" s="3">
        <f t="shared" si="461"/>
        <v>2.6911662022471139E-2</v>
      </c>
      <c r="AH257" s="11">
        <f t="shared" si="470"/>
        <v>0.90268222360344308</v>
      </c>
      <c r="AI257" s="3">
        <v>5.976612466114614E-3</v>
      </c>
      <c r="AJ257" s="11">
        <v>0</v>
      </c>
      <c r="AK257" s="11"/>
      <c r="AN257" s="7">
        <v>4.25</v>
      </c>
      <c r="AO257" s="7">
        <v>3.75</v>
      </c>
      <c r="AP257" s="11">
        <v>-9.9382572676857007E-4</v>
      </c>
      <c r="AQ257" s="11">
        <v>1.2524491648998003E-2</v>
      </c>
      <c r="AR257" s="11">
        <v>-5.0868356986367359E-2</v>
      </c>
      <c r="AS257" s="1">
        <v>9.3170201860974494E-2</v>
      </c>
      <c r="AT257" s="3">
        <f t="shared" si="462"/>
        <v>2.6911662022471139E-2</v>
      </c>
      <c r="AU257" s="11">
        <f t="shared" si="471"/>
        <v>0.90268110573553251</v>
      </c>
      <c r="AV257" s="3">
        <v>5.9766050647688078E-3</v>
      </c>
      <c r="AW257" s="11">
        <v>0</v>
      </c>
      <c r="AX257" s="11"/>
      <c r="BA257" s="7">
        <v>4.25</v>
      </c>
      <c r="BB257" s="7">
        <v>3.75</v>
      </c>
      <c r="BC257" s="11">
        <v>-9.9882572676856986E-4</v>
      </c>
      <c r="BD257" s="11">
        <v>1.2590741648998E-2</v>
      </c>
      <c r="BE257" s="11">
        <v>-5.1159294486367322E-2</v>
      </c>
      <c r="BF257" s="1">
        <v>9.3593248735974369E-2</v>
      </c>
      <c r="BG257" s="3">
        <f t="shared" si="463"/>
        <v>2.6911037022471121E-2</v>
      </c>
      <c r="BH257" s="11">
        <f t="shared" si="472"/>
        <v>0.90268091724595767</v>
      </c>
      <c r="BI257" s="3">
        <v>5.9764451424090623E-3</v>
      </c>
      <c r="BJ257" s="11">
        <v>0</v>
      </c>
      <c r="BK257" s="11"/>
      <c r="BN257" s="7">
        <v>4.25</v>
      </c>
      <c r="BO257" s="7">
        <v>3.75</v>
      </c>
      <c r="BP257" s="11">
        <v>-9.7882572676857068E-4</v>
      </c>
      <c r="BQ257" s="11">
        <v>1.2330741648998011E-2</v>
      </c>
      <c r="BR257" s="11">
        <v>-5.0048044486367391E-2</v>
      </c>
      <c r="BS257" s="1">
        <v>9.2037623735974544E-2</v>
      </c>
      <c r="BT257" s="3">
        <f t="shared" si="464"/>
        <v>2.6917287022471148E-2</v>
      </c>
      <c r="BU257" s="11">
        <f t="shared" si="473"/>
        <v>0.90268253047213676</v>
      </c>
      <c r="BV257" s="3">
        <v>5.97857148539365E-3</v>
      </c>
      <c r="BW257" s="11">
        <v>0</v>
      </c>
      <c r="BX257" s="11"/>
      <c r="CA257" s="7">
        <v>4.25</v>
      </c>
      <c r="CB257" s="7">
        <v>3.75</v>
      </c>
      <c r="CC257" s="11">
        <v>-1.0063257267685696E-3</v>
      </c>
      <c r="CD257" s="11">
        <v>1.2682616648997997E-2</v>
      </c>
      <c r="CE257" s="11">
        <v>-5.1521950736367318E-2</v>
      </c>
      <c r="CF257" s="1">
        <v>9.4056725298474406E-2</v>
      </c>
      <c r="CG257" s="3">
        <f t="shared" si="465"/>
        <v>2.6916974522471146E-2</v>
      </c>
      <c r="CH257" s="11">
        <f t="shared" si="474"/>
        <v>0.90268994864108221</v>
      </c>
      <c r="CI257" s="3">
        <v>5.9771484564247043E-3</v>
      </c>
      <c r="CJ257" s="11">
        <v>0</v>
      </c>
      <c r="CK257" s="11"/>
      <c r="CN257" s="7">
        <v>4.25</v>
      </c>
      <c r="CO257" s="7">
        <v>3.75</v>
      </c>
      <c r="CP257" s="11">
        <v>-9.9132572676857017E-4</v>
      </c>
      <c r="CQ257" s="11">
        <v>1.2493866648998004E-2</v>
      </c>
      <c r="CR257" s="11">
        <v>-5.074413823636735E-2</v>
      </c>
      <c r="CS257" s="1">
        <v>9.3003209673474446E-2</v>
      </c>
      <c r="CT257" s="3">
        <f t="shared" si="466"/>
        <v>2.6911349522471123E-2</v>
      </c>
      <c r="CU257" s="11">
        <f t="shared" si="475"/>
        <v>0.90269010621306589</v>
      </c>
      <c r="CV257" s="3">
        <v>5.9766382104673435E-3</v>
      </c>
      <c r="CW257" s="11">
        <v>0</v>
      </c>
      <c r="CX257" s="11"/>
      <c r="DA257" s="7">
        <v>4.25</v>
      </c>
      <c r="DB257" s="7">
        <v>3.75</v>
      </c>
      <c r="DC257" s="11">
        <v>-9.9382572676857007E-4</v>
      </c>
      <c r="DD257" s="11">
        <v>1.2524491648998003E-2</v>
      </c>
      <c r="DE257" s="11">
        <v>-5.0868356986367359E-2</v>
      </c>
      <c r="DF257" s="1">
        <v>9.3170201860974494E-2</v>
      </c>
      <c r="DG257" s="3">
        <f t="shared" si="467"/>
        <v>2.6911662022471139E-2</v>
      </c>
      <c r="DH257" s="11">
        <f t="shared" si="476"/>
        <v>0.90269007994101258</v>
      </c>
      <c r="DI257" s="3">
        <v>5.9766644825206402E-3</v>
      </c>
      <c r="DJ257" s="11">
        <v>0</v>
      </c>
      <c r="DK257" s="11"/>
    </row>
    <row r="258" spans="1:115" x14ac:dyDescent="0.25">
      <c r="A258" s="7">
        <v>4.5</v>
      </c>
      <c r="B258" s="7">
        <v>3.75</v>
      </c>
      <c r="C258" s="11">
        <v>-9.9382572676857007E-4</v>
      </c>
      <c r="D258" s="11">
        <v>1.2524491648998003E-2</v>
      </c>
      <c r="E258" s="11">
        <v>-5.0868356986367359E-2</v>
      </c>
      <c r="F258" s="1">
        <v>9.3170201860974494E-2</v>
      </c>
      <c r="G258" s="3">
        <f t="shared" si="459"/>
        <v>2.7321181962744967E-2</v>
      </c>
      <c r="H258" s="11">
        <f t="shared" si="468"/>
        <v>0.89665744441748862</v>
      </c>
      <c r="I258" s="3">
        <v>6.032635523524039E-3</v>
      </c>
      <c r="J258" s="11">
        <v>0</v>
      </c>
      <c r="N258" s="7">
        <v>4.5</v>
      </c>
      <c r="O258" s="7">
        <v>3.75</v>
      </c>
      <c r="P258" s="11">
        <v>-9.9382572676857007E-4</v>
      </c>
      <c r="Q258" s="11">
        <v>1.2524491648998003E-2</v>
      </c>
      <c r="R258" s="11">
        <v>-5.0868356986367359E-2</v>
      </c>
      <c r="S258" s="1">
        <v>9.3170201860974494E-2</v>
      </c>
      <c r="T258" s="3">
        <f t="shared" si="460"/>
        <v>2.7321181962744967E-2</v>
      </c>
      <c r="U258" s="11">
        <f t="shared" si="469"/>
        <v>0.896652988346619</v>
      </c>
      <c r="V258" s="3">
        <v>6.0326055434557404E-3</v>
      </c>
      <c r="W258" s="11">
        <v>0</v>
      </c>
      <c r="AA258" s="7">
        <v>4.5</v>
      </c>
      <c r="AB258" s="7">
        <v>3.75</v>
      </c>
      <c r="AC258" s="11">
        <v>-9.9382572676857007E-4</v>
      </c>
      <c r="AD258" s="11">
        <v>1.2524491648998003E-2</v>
      </c>
      <c r="AE258" s="11">
        <v>-5.0868356986367359E-2</v>
      </c>
      <c r="AF258" s="1">
        <v>9.3170201860974494E-2</v>
      </c>
      <c r="AG258" s="3">
        <f t="shared" si="461"/>
        <v>2.7321181962744967E-2</v>
      </c>
      <c r="AH258" s="11">
        <f t="shared" si="470"/>
        <v>0.89664964058345509</v>
      </c>
      <c r="AI258" s="3">
        <v>6.032583019988041E-3</v>
      </c>
      <c r="AJ258" s="11">
        <v>0</v>
      </c>
      <c r="AK258" s="11"/>
      <c r="AN258" s="7">
        <v>4.5</v>
      </c>
      <c r="AO258" s="7">
        <v>3.75</v>
      </c>
      <c r="AP258" s="11">
        <v>-9.9382572676857007E-4</v>
      </c>
      <c r="AQ258" s="11">
        <v>1.2524491648998003E-2</v>
      </c>
      <c r="AR258" s="11">
        <v>-5.0868356986367359E-2</v>
      </c>
      <c r="AS258" s="1">
        <v>9.3170201860974494E-2</v>
      </c>
      <c r="AT258" s="3">
        <f t="shared" si="462"/>
        <v>2.7321181962744967E-2</v>
      </c>
      <c r="AU258" s="11">
        <f t="shared" si="471"/>
        <v>0.89664853018620339</v>
      </c>
      <c r="AV258" s="3">
        <v>6.0325755493291543E-3</v>
      </c>
      <c r="AW258" s="11">
        <v>0</v>
      </c>
      <c r="AX258" s="11"/>
      <c r="BA258" s="7">
        <v>4.5</v>
      </c>
      <c r="BB258" s="7">
        <v>3.75</v>
      </c>
      <c r="BC258" s="11">
        <v>-9.9882572676856986E-4</v>
      </c>
      <c r="BD258" s="11">
        <v>1.2590741648998E-2</v>
      </c>
      <c r="BE258" s="11">
        <v>-5.1159294486367322E-2</v>
      </c>
      <c r="BF258" s="1">
        <v>9.3593248735974369E-2</v>
      </c>
      <c r="BG258" s="3">
        <f t="shared" si="463"/>
        <v>2.7320947587745018E-2</v>
      </c>
      <c r="BH258" s="11">
        <f t="shared" si="472"/>
        <v>0.89664848212133019</v>
      </c>
      <c r="BI258" s="3">
        <v>6.0324351246274126E-3</v>
      </c>
      <c r="BJ258" s="11">
        <v>0</v>
      </c>
      <c r="BK258" s="11"/>
      <c r="BN258" s="7">
        <v>4.5</v>
      </c>
      <c r="BO258" s="7">
        <v>3.75</v>
      </c>
      <c r="BP258" s="11">
        <v>-9.7882572676857068E-4</v>
      </c>
      <c r="BQ258" s="11">
        <v>1.2330741648998011E-2</v>
      </c>
      <c r="BR258" s="11">
        <v>-5.0048044486367391E-2</v>
      </c>
      <c r="BS258" s="1">
        <v>9.2037623735974544E-2</v>
      </c>
      <c r="BT258" s="3">
        <f t="shared" si="464"/>
        <v>2.7323447587744992E-2</v>
      </c>
      <c r="BU258" s="11">
        <f t="shared" si="473"/>
        <v>0.89664869291575267</v>
      </c>
      <c r="BV258" s="3">
        <v>6.0338375563842271E-3</v>
      </c>
      <c r="BW258" s="11">
        <v>0</v>
      </c>
      <c r="BX258" s="11"/>
      <c r="CA258" s="7">
        <v>4.5</v>
      </c>
      <c r="CB258" s="7">
        <v>3.75</v>
      </c>
      <c r="CC258" s="11">
        <v>-1.0063257267685696E-3</v>
      </c>
      <c r="CD258" s="11">
        <v>1.2682616648997997E-2</v>
      </c>
      <c r="CE258" s="11">
        <v>-5.1521950736367318E-2</v>
      </c>
      <c r="CF258" s="1">
        <v>9.4056725298474406E-2</v>
      </c>
      <c r="CG258" s="3">
        <f t="shared" si="465"/>
        <v>2.7329502275244957E-2</v>
      </c>
      <c r="CH258" s="11">
        <f t="shared" si="474"/>
        <v>0.89665613108214326</v>
      </c>
      <c r="CI258" s="3">
        <v>6.0338175589388999E-3</v>
      </c>
      <c r="CJ258" s="11">
        <v>0</v>
      </c>
      <c r="CK258" s="11"/>
      <c r="CN258" s="7">
        <v>4.5</v>
      </c>
      <c r="CO258" s="7">
        <v>3.75</v>
      </c>
      <c r="CP258" s="11">
        <v>-9.9132572676857017E-4</v>
      </c>
      <c r="CQ258" s="11">
        <v>1.2493866648998004E-2</v>
      </c>
      <c r="CR258" s="11">
        <v>-5.074413823636735E-2</v>
      </c>
      <c r="CS258" s="1">
        <v>9.3003209673474446E-2</v>
      </c>
      <c r="CT258" s="3">
        <f t="shared" si="466"/>
        <v>2.7320830400244966E-2</v>
      </c>
      <c r="CU258" s="11">
        <f t="shared" si="475"/>
        <v>0.89665754009718712</v>
      </c>
      <c r="CV258" s="3">
        <v>6.0325661158786422E-3</v>
      </c>
      <c r="CW258" s="11">
        <v>0</v>
      </c>
      <c r="CX258" s="11"/>
      <c r="DA258" s="7">
        <v>4.5</v>
      </c>
      <c r="DB258" s="7">
        <v>3.75</v>
      </c>
      <c r="DC258" s="11">
        <v>-9.9382572676857007E-4</v>
      </c>
      <c r="DD258" s="11">
        <v>1.2524491648998003E-2</v>
      </c>
      <c r="DE258" s="11">
        <v>-5.0868356986367359E-2</v>
      </c>
      <c r="DF258" s="1">
        <v>9.3170201860974494E-2</v>
      </c>
      <c r="DG258" s="3">
        <f t="shared" si="467"/>
        <v>2.7321181962744967E-2</v>
      </c>
      <c r="DH258" s="11">
        <f t="shared" si="476"/>
        <v>0.89665744441748862</v>
      </c>
      <c r="DI258" s="3">
        <v>6.032635523524039E-3</v>
      </c>
      <c r="DJ258" s="11">
        <v>0</v>
      </c>
      <c r="DK258" s="11"/>
    </row>
    <row r="259" spans="1:115" x14ac:dyDescent="0.25">
      <c r="A259" s="7">
        <v>4.75</v>
      </c>
      <c r="B259" s="7">
        <v>4.75</v>
      </c>
      <c r="C259" s="11">
        <v>2.714864453332304E-4</v>
      </c>
      <c r="D259" s="11">
        <v>-4.7335043520077696E-3</v>
      </c>
      <c r="E259" s="11">
        <v>2.7436787374046871E-2</v>
      </c>
      <c r="F259" s="1">
        <v>-2.5001577022773003E-2</v>
      </c>
      <c r="G259" s="3">
        <f t="shared" si="459"/>
        <v>2.7619182445221643E-2</v>
      </c>
      <c r="H259" s="11">
        <f t="shared" si="468"/>
        <v>0.89057455703644273</v>
      </c>
      <c r="I259" s="3">
        <v>6.0828873810459122E-3</v>
      </c>
      <c r="J259" s="11">
        <v>0</v>
      </c>
      <c r="N259" s="7">
        <v>4.75</v>
      </c>
      <c r="O259" s="7">
        <v>4.75</v>
      </c>
      <c r="P259" s="11">
        <v>2.714864453332304E-4</v>
      </c>
      <c r="Q259" s="11">
        <v>-4.7335043520077696E-3</v>
      </c>
      <c r="R259" s="11">
        <v>2.7436787374046871E-2</v>
      </c>
      <c r="S259" s="1">
        <v>-2.5001577022773003E-2</v>
      </c>
      <c r="T259" s="3">
        <f t="shared" si="460"/>
        <v>2.7619182445221643E-2</v>
      </c>
      <c r="U259" s="11">
        <f t="shared" si="469"/>
        <v>0.89057013119537531</v>
      </c>
      <c r="V259" s="3">
        <v>6.0828571512436267E-3</v>
      </c>
      <c r="W259" s="11">
        <v>0</v>
      </c>
      <c r="AA259" s="7">
        <v>4.75</v>
      </c>
      <c r="AB259" s="7">
        <v>4.75</v>
      </c>
      <c r="AC259" s="11">
        <v>2.714864453332304E-4</v>
      </c>
      <c r="AD259" s="11">
        <v>-4.7335043520077696E-3</v>
      </c>
      <c r="AE259" s="11">
        <v>2.7436787374046871E-2</v>
      </c>
      <c r="AF259" s="1">
        <v>-2.5001577022773003E-2</v>
      </c>
      <c r="AG259" s="3">
        <f t="shared" si="461"/>
        <v>2.7619182445221643E-2</v>
      </c>
      <c r="AH259" s="11">
        <f t="shared" si="470"/>
        <v>0.89056680614329964</v>
      </c>
      <c r="AI259" s="3">
        <v>6.0828344401554282E-3</v>
      </c>
      <c r="AJ259" s="11">
        <v>0</v>
      </c>
      <c r="AK259" s="11"/>
      <c r="AN259" s="7">
        <v>4.75</v>
      </c>
      <c r="AO259" s="7">
        <v>4.75</v>
      </c>
      <c r="AP259" s="11">
        <v>2.714864453332304E-4</v>
      </c>
      <c r="AQ259" s="11">
        <v>-4.7335043520077696E-3</v>
      </c>
      <c r="AR259" s="11">
        <v>2.7436787374046871E-2</v>
      </c>
      <c r="AS259" s="1">
        <v>-2.5001577022773003E-2</v>
      </c>
      <c r="AT259" s="3">
        <f t="shared" si="462"/>
        <v>2.7619182445221643E-2</v>
      </c>
      <c r="AU259" s="11">
        <f t="shared" si="471"/>
        <v>0.89056570327893747</v>
      </c>
      <c r="AV259" s="3">
        <v>6.0828269072659485E-3</v>
      </c>
      <c r="AW259" s="11">
        <v>0</v>
      </c>
      <c r="AX259" s="11"/>
      <c r="BA259" s="7">
        <v>4.75</v>
      </c>
      <c r="BB259" s="7">
        <v>4.75</v>
      </c>
      <c r="BC259" s="11">
        <v>2.714864453332304E-4</v>
      </c>
      <c r="BD259" s="11">
        <v>-4.7335043520077696E-3</v>
      </c>
      <c r="BE259" s="11">
        <v>2.7436787374046871E-2</v>
      </c>
      <c r="BF259" s="1">
        <v>-2.5001577022773003E-2</v>
      </c>
      <c r="BG259" s="3">
        <f t="shared" si="463"/>
        <v>2.7619182445221643E-2</v>
      </c>
      <c r="BH259" s="11">
        <f t="shared" si="472"/>
        <v>0.89056570736772112</v>
      </c>
      <c r="BI259" s="3">
        <v>6.0827747536091438E-3</v>
      </c>
      <c r="BJ259" s="11">
        <v>0</v>
      </c>
      <c r="BK259" s="11"/>
      <c r="BN259" s="7">
        <v>4.75</v>
      </c>
      <c r="BO259" s="7">
        <v>4.75</v>
      </c>
      <c r="BP259" s="11">
        <v>2.7023644533323045E-4</v>
      </c>
      <c r="BQ259" s="11">
        <v>-4.7106918520077694E-3</v>
      </c>
      <c r="BR259" s="11">
        <v>2.7299677999046864E-2</v>
      </c>
      <c r="BS259" s="1">
        <v>-2.4731049679022954E-2</v>
      </c>
      <c r="BT259" s="3">
        <f t="shared" si="464"/>
        <v>2.7619182445221657E-2</v>
      </c>
      <c r="BU259" s="11">
        <f t="shared" si="473"/>
        <v>0.89056536390472485</v>
      </c>
      <c r="BV259" s="3">
        <v>6.0833290110279487E-3</v>
      </c>
      <c r="BW259" s="11">
        <v>0</v>
      </c>
      <c r="BX259" s="11"/>
      <c r="CA259" s="7">
        <v>4.75</v>
      </c>
      <c r="CB259" s="7">
        <v>4.75</v>
      </c>
      <c r="CC259" s="11">
        <v>2.739864453332303E-4</v>
      </c>
      <c r="CD259" s="11">
        <v>-4.7778793520077672E-3</v>
      </c>
      <c r="CE259" s="11">
        <v>2.7691631124046861E-2</v>
      </c>
      <c r="CF259" s="1">
        <v>-2.5468803585272995E-2</v>
      </c>
      <c r="CG259" s="3">
        <f t="shared" si="465"/>
        <v>2.7629182445221639E-2</v>
      </c>
      <c r="CH259" s="11">
        <f t="shared" si="474"/>
        <v>0.89057141271959606</v>
      </c>
      <c r="CI259" s="3">
        <v>6.0847183625470794E-3</v>
      </c>
      <c r="CJ259" s="11">
        <v>0</v>
      </c>
      <c r="CK259" s="11"/>
      <c r="CN259" s="7">
        <v>4.75</v>
      </c>
      <c r="CO259" s="7">
        <v>4.75</v>
      </c>
      <c r="CP259" s="11">
        <v>2.6981977866656376E-4</v>
      </c>
      <c r="CQ259" s="11">
        <v>-4.7051710186744363E-3</v>
      </c>
      <c r="CR259" s="11">
        <v>2.7282933207380202E-2</v>
      </c>
      <c r="CS259" s="1">
        <v>-2.4731420772772975E-2</v>
      </c>
      <c r="CT259" s="3">
        <f t="shared" si="466"/>
        <v>2.7619182445221643E-2</v>
      </c>
      <c r="CU259" s="11">
        <f t="shared" si="475"/>
        <v>0.8905747298092217</v>
      </c>
      <c r="CV259" s="3">
        <v>6.0828102879654329E-3</v>
      </c>
      <c r="CW259" s="11">
        <v>0</v>
      </c>
      <c r="CX259" s="11"/>
      <c r="DA259" s="7">
        <v>4.75</v>
      </c>
      <c r="DB259" s="7">
        <v>4.75</v>
      </c>
      <c r="DC259" s="11">
        <v>2.7190311199989719E-4</v>
      </c>
      <c r="DD259" s="11">
        <v>-4.740275185341104E-3</v>
      </c>
      <c r="DE259" s="11">
        <v>2.7472907165713541E-2</v>
      </c>
      <c r="DF259" s="1">
        <v>-2.5065034054023008E-2</v>
      </c>
      <c r="DG259" s="3">
        <f t="shared" si="467"/>
        <v>2.7619182445221643E-2</v>
      </c>
      <c r="DH259" s="11">
        <f t="shared" si="476"/>
        <v>0.89057455703644273</v>
      </c>
      <c r="DI259" s="3">
        <v>6.0828873810459122E-3</v>
      </c>
      <c r="DJ259" s="11">
        <v>0</v>
      </c>
      <c r="DK259" s="11"/>
    </row>
    <row r="260" spans="1:115" x14ac:dyDescent="0.25">
      <c r="A260" s="7">
        <v>5</v>
      </c>
      <c r="B260" s="7">
        <v>4.75</v>
      </c>
      <c r="C260" s="11">
        <v>2.714864453332304E-4</v>
      </c>
      <c r="D260" s="11">
        <v>-4.7335043520077696E-3</v>
      </c>
      <c r="E260" s="11">
        <v>2.7436787374046871E-2</v>
      </c>
      <c r="F260" s="1">
        <v>-2.5001577022773003E-2</v>
      </c>
      <c r="G260" s="3">
        <f t="shared" si="459"/>
        <v>2.778055671392092E-2</v>
      </c>
      <c r="H260" s="11">
        <f t="shared" si="468"/>
        <v>0.88446748979456702</v>
      </c>
      <c r="I260" s="3">
        <v>6.1070672418758395E-3</v>
      </c>
      <c r="J260" s="11">
        <v>0.88446748979456702</v>
      </c>
      <c r="N260" s="7">
        <v>5</v>
      </c>
      <c r="O260" s="7">
        <v>4.75</v>
      </c>
      <c r="P260" s="11">
        <v>2.714864453332304E-4</v>
      </c>
      <c r="Q260" s="11">
        <v>-4.7335043520077696E-3</v>
      </c>
      <c r="R260" s="11">
        <v>2.7436787374046871E-2</v>
      </c>
      <c r="S260" s="1">
        <v>-2.5001577022773003E-2</v>
      </c>
      <c r="T260" s="3">
        <f t="shared" si="460"/>
        <v>2.778055671392092E-2</v>
      </c>
      <c r="U260" s="11">
        <f t="shared" si="469"/>
        <v>0.88446309430346726</v>
      </c>
      <c r="V260" s="3">
        <v>6.1070368919081842E-3</v>
      </c>
      <c r="W260" s="11">
        <v>0.88446309430346726</v>
      </c>
      <c r="AA260" s="7">
        <v>5</v>
      </c>
      <c r="AB260" s="7">
        <v>4.75</v>
      </c>
      <c r="AC260" s="11">
        <v>2.714864453332304E-4</v>
      </c>
      <c r="AD260" s="11">
        <v>-4.7335043520077696E-3</v>
      </c>
      <c r="AE260" s="11">
        <v>2.7436787374046871E-2</v>
      </c>
      <c r="AF260" s="1">
        <v>-2.5001577022773003E-2</v>
      </c>
      <c r="AG260" s="3">
        <f t="shared" si="461"/>
        <v>2.778055671392092E-2</v>
      </c>
      <c r="AH260" s="11">
        <f t="shared" si="470"/>
        <v>0.88445979205275771</v>
      </c>
      <c r="AI260" s="3">
        <v>6.1070140905419776E-3</v>
      </c>
      <c r="AJ260" s="11">
        <v>0.88445979205275771</v>
      </c>
      <c r="AK260" s="11"/>
      <c r="AN260" s="7">
        <v>5</v>
      </c>
      <c r="AO260" s="7">
        <v>4.75</v>
      </c>
      <c r="AP260" s="11">
        <v>2.714864453332304E-4</v>
      </c>
      <c r="AQ260" s="11">
        <v>-4.7335043520077696E-3</v>
      </c>
      <c r="AR260" s="11">
        <v>2.7436787374046871E-2</v>
      </c>
      <c r="AS260" s="1">
        <v>-2.5001577022773003E-2</v>
      </c>
      <c r="AT260" s="3">
        <f t="shared" si="462"/>
        <v>2.778055671392092E-2</v>
      </c>
      <c r="AU260" s="11">
        <f t="shared" si="471"/>
        <v>0.88445869675122879</v>
      </c>
      <c r="AV260" s="3">
        <v>6.107006527708788E-3</v>
      </c>
      <c r="AW260" s="11">
        <v>0.88445869675122879</v>
      </c>
      <c r="AX260" s="11"/>
      <c r="BA260" s="7">
        <v>5</v>
      </c>
      <c r="BB260" s="7">
        <v>4.75</v>
      </c>
      <c r="BC260" s="11">
        <v>2.714864453332304E-4</v>
      </c>
      <c r="BD260" s="11">
        <v>-4.7335043520077696E-3</v>
      </c>
      <c r="BE260" s="11">
        <v>2.7436787374046871E-2</v>
      </c>
      <c r="BF260" s="1">
        <v>-2.5001577022773003E-2</v>
      </c>
      <c r="BG260" s="3">
        <f t="shared" si="463"/>
        <v>2.778055671392092E-2</v>
      </c>
      <c r="BH260" s="11">
        <f t="shared" si="472"/>
        <v>0.88445870081197386</v>
      </c>
      <c r="BI260" s="3">
        <v>6.1070065557474029E-3</v>
      </c>
      <c r="BJ260" s="11">
        <v>0.88445870081197386</v>
      </c>
      <c r="BK260" s="11"/>
      <c r="BN260" s="7">
        <v>5</v>
      </c>
      <c r="BO260" s="7">
        <v>4.75</v>
      </c>
      <c r="BP260" s="11">
        <v>2.7023644533323045E-4</v>
      </c>
      <c r="BQ260" s="11">
        <v>-4.7106918520077694E-3</v>
      </c>
      <c r="BR260" s="11">
        <v>2.7299677999046864E-2</v>
      </c>
      <c r="BS260" s="1">
        <v>-2.4731049679022954E-2</v>
      </c>
      <c r="BT260" s="3">
        <f t="shared" si="464"/>
        <v>2.7779599682670922E-2</v>
      </c>
      <c r="BU260" s="11">
        <f t="shared" si="473"/>
        <v>0.88445835970425657</v>
      </c>
      <c r="BV260" s="3">
        <v>6.1070042004683365E-3</v>
      </c>
      <c r="BW260" s="11">
        <v>0.88445835970425657</v>
      </c>
      <c r="BX260" s="11"/>
      <c r="CA260" s="7">
        <v>5</v>
      </c>
      <c r="CB260" s="7">
        <v>4.75</v>
      </c>
      <c r="CC260" s="11">
        <v>2.739864453332303E-4</v>
      </c>
      <c r="CD260" s="11">
        <v>-4.7778793520077672E-3</v>
      </c>
      <c r="CE260" s="11">
        <v>2.7691631124046861E-2</v>
      </c>
      <c r="CF260" s="1">
        <v>-2.5468803585272995E-2</v>
      </c>
      <c r="CG260" s="3">
        <f t="shared" si="465"/>
        <v>2.7790673901420912E-2</v>
      </c>
      <c r="CH260" s="11">
        <f t="shared" si="474"/>
        <v>0.88446217104715641</v>
      </c>
      <c r="CI260" s="3">
        <v>6.1092416724396782E-3</v>
      </c>
      <c r="CJ260" s="11">
        <v>0.88446217104715641</v>
      </c>
      <c r="CK260" s="11"/>
      <c r="CN260" s="7">
        <v>5</v>
      </c>
      <c r="CO260" s="7">
        <v>4.75</v>
      </c>
      <c r="CP260" s="11">
        <v>2.6981977866656376E-4</v>
      </c>
      <c r="CQ260" s="11">
        <v>-4.7051710186744363E-3</v>
      </c>
      <c r="CR260" s="11">
        <v>2.7282933207380202E-2</v>
      </c>
      <c r="CS260" s="1">
        <v>-2.4731420772772975E-2</v>
      </c>
      <c r="CT260" s="3">
        <f t="shared" si="466"/>
        <v>2.77814421305876E-2</v>
      </c>
      <c r="CU260" s="11">
        <f t="shared" si="475"/>
        <v>0.88446766138256594</v>
      </c>
      <c r="CV260" s="3">
        <v>6.1070684266559018E-3</v>
      </c>
      <c r="CW260" s="11">
        <v>0.88446766138256594</v>
      </c>
      <c r="CX260" s="11"/>
      <c r="DA260" s="7">
        <v>5</v>
      </c>
      <c r="DB260" s="7">
        <v>4.75</v>
      </c>
      <c r="DC260" s="11">
        <v>2.7190311199989719E-4</v>
      </c>
      <c r="DD260" s="11">
        <v>-4.740275185341104E-3</v>
      </c>
      <c r="DE260" s="11">
        <v>2.7472907165713541E-2</v>
      </c>
      <c r="DF260" s="1">
        <v>-2.5065034054023008E-2</v>
      </c>
      <c r="DG260" s="3">
        <f t="shared" si="467"/>
        <v>2.778051114100423E-2</v>
      </c>
      <c r="DH260" s="11">
        <f t="shared" si="476"/>
        <v>0.88446748979456702</v>
      </c>
      <c r="DI260" s="3">
        <v>6.1070672418758395E-3</v>
      </c>
      <c r="DJ260" s="11">
        <v>0.88446748979456702</v>
      </c>
      <c r="DK260" s="11"/>
    </row>
    <row r="261" spans="1:115" x14ac:dyDescent="0.25">
      <c r="A261" s="7">
        <v>5.25</v>
      </c>
      <c r="B261" s="7">
        <v>4.75</v>
      </c>
      <c r="C261" s="11">
        <v>2.714864453332304E-4</v>
      </c>
      <c r="D261" s="11">
        <v>-4.7335043520077696E-3</v>
      </c>
      <c r="E261" s="11">
        <v>2.7436787374046871E-2</v>
      </c>
      <c r="F261" s="1">
        <v>-2.5001577022773003E-2</v>
      </c>
      <c r="G261" s="3">
        <f t="shared" si="459"/>
        <v>2.7859280023619037E-2</v>
      </c>
      <c r="H261" s="11">
        <f t="shared" si="468"/>
        <v>0.87836710797984774</v>
      </c>
      <c r="I261" s="3">
        <v>6.100381814719215E-3</v>
      </c>
      <c r="J261" s="11">
        <v>0</v>
      </c>
      <c r="N261" s="7">
        <v>5.25</v>
      </c>
      <c r="O261" s="7">
        <v>4.75</v>
      </c>
      <c r="P261" s="11">
        <v>2.714864453332304E-4</v>
      </c>
      <c r="Q261" s="11">
        <v>-4.7335043520077696E-3</v>
      </c>
      <c r="R261" s="11">
        <v>2.7436787374046871E-2</v>
      </c>
      <c r="S261" s="1">
        <v>-2.5001577022773003E-2</v>
      </c>
      <c r="T261" s="3">
        <f t="shared" si="460"/>
        <v>2.7859280023619037E-2</v>
      </c>
      <c r="U261" s="11">
        <f t="shared" si="469"/>
        <v>0.87836274280549143</v>
      </c>
      <c r="V261" s="3">
        <v>6.1003514979757721E-3</v>
      </c>
      <c r="W261" s="11">
        <v>0</v>
      </c>
      <c r="AA261" s="7">
        <v>5.25</v>
      </c>
      <c r="AB261" s="7">
        <v>4.75</v>
      </c>
      <c r="AC261" s="11">
        <v>2.714864453332304E-4</v>
      </c>
      <c r="AD261" s="11">
        <v>-4.7335043520077696E-3</v>
      </c>
      <c r="AE261" s="11">
        <v>2.7436787374046871E-2</v>
      </c>
      <c r="AF261" s="1">
        <v>-2.5001577022773003E-2</v>
      </c>
      <c r="AG261" s="3">
        <f t="shared" si="461"/>
        <v>2.7859280023619037E-2</v>
      </c>
      <c r="AH261" s="11">
        <f t="shared" si="470"/>
        <v>0.87835946333118742</v>
      </c>
      <c r="AI261" s="3">
        <v>6.1003287215702987E-3</v>
      </c>
      <c r="AJ261" s="11">
        <v>0</v>
      </c>
      <c r="AK261" s="11"/>
      <c r="AN261" s="7">
        <v>5.25</v>
      </c>
      <c r="AO261" s="7">
        <v>4.75</v>
      </c>
      <c r="AP261" s="11">
        <v>2.714864453332304E-4</v>
      </c>
      <c r="AQ261" s="11">
        <v>-4.7335043520077696E-3</v>
      </c>
      <c r="AR261" s="11">
        <v>2.7436787374046871E-2</v>
      </c>
      <c r="AS261" s="1">
        <v>-2.5001577022773003E-2</v>
      </c>
      <c r="AT261" s="3">
        <f t="shared" si="462"/>
        <v>2.7859280023619037E-2</v>
      </c>
      <c r="AU261" s="11">
        <f t="shared" si="471"/>
        <v>0.87835837558421259</v>
      </c>
      <c r="AV261" s="3">
        <v>6.100321167016168E-3</v>
      </c>
      <c r="AW261" s="11">
        <v>0</v>
      </c>
      <c r="AX261" s="11"/>
      <c r="BA261" s="7">
        <v>5.25</v>
      </c>
      <c r="BB261" s="7">
        <v>4.75</v>
      </c>
      <c r="BC261" s="11">
        <v>2.714864453332304E-4</v>
      </c>
      <c r="BD261" s="11">
        <v>-4.7335043520077696E-3</v>
      </c>
      <c r="BE261" s="11">
        <v>2.7436787374046871E-2</v>
      </c>
      <c r="BF261" s="1">
        <v>-2.5001577022773003E-2</v>
      </c>
      <c r="BG261" s="3">
        <f t="shared" si="463"/>
        <v>2.7859280023619037E-2</v>
      </c>
      <c r="BH261" s="11">
        <f t="shared" si="472"/>
        <v>0.87835837961694974</v>
      </c>
      <c r="BI261" s="3">
        <v>6.1003211950240886E-3</v>
      </c>
      <c r="BJ261" s="11">
        <v>0</v>
      </c>
      <c r="BK261" s="11"/>
      <c r="BN261" s="7">
        <v>5.25</v>
      </c>
      <c r="BO261" s="7">
        <v>4.75</v>
      </c>
      <c r="BP261" s="11">
        <v>2.7023644533323045E-4</v>
      </c>
      <c r="BQ261" s="11">
        <v>-4.7106918520077694E-3</v>
      </c>
      <c r="BR261" s="11">
        <v>2.7299677999046864E-2</v>
      </c>
      <c r="BS261" s="1">
        <v>-2.4731049679022954E-2</v>
      </c>
      <c r="BT261" s="3">
        <f t="shared" si="464"/>
        <v>2.7857873773619035E-2</v>
      </c>
      <c r="BU261" s="11">
        <f t="shared" si="473"/>
        <v>0.87835824956652409</v>
      </c>
      <c r="BV261" s="3">
        <v>6.1001101377323999E-3</v>
      </c>
      <c r="BW261" s="11">
        <v>0</v>
      </c>
      <c r="BX261" s="11"/>
      <c r="CA261" s="7">
        <v>5.25</v>
      </c>
      <c r="CB261" s="7">
        <v>4.75</v>
      </c>
      <c r="CC261" s="11">
        <v>2.739864453332303E-4</v>
      </c>
      <c r="CD261" s="11">
        <v>-4.7778793520077672E-3</v>
      </c>
      <c r="CE261" s="11">
        <v>2.7691631124046861E-2</v>
      </c>
      <c r="CF261" s="1">
        <v>-2.5468803585272995E-2</v>
      </c>
      <c r="CG261" s="3">
        <f t="shared" si="465"/>
        <v>2.7868655023619029E-2</v>
      </c>
      <c r="CH261" s="11">
        <f t="shared" si="474"/>
        <v>0.87835961960798092</v>
      </c>
      <c r="CI261" s="3">
        <v>6.1025514391753787E-3</v>
      </c>
      <c r="CJ261" s="11">
        <v>0</v>
      </c>
      <c r="CK261" s="11"/>
      <c r="CN261" s="7">
        <v>5.25</v>
      </c>
      <c r="CO261" s="7">
        <v>4.75</v>
      </c>
      <c r="CP261" s="11">
        <v>2.6981977866656376E-4</v>
      </c>
      <c r="CQ261" s="11">
        <v>-4.7051710186744363E-3</v>
      </c>
      <c r="CR261" s="11">
        <v>2.7282933207380202E-2</v>
      </c>
      <c r="CS261" s="1">
        <v>-2.4731420772772975E-2</v>
      </c>
      <c r="CT261" s="3">
        <f t="shared" si="466"/>
        <v>2.7861467523619052E-2</v>
      </c>
      <c r="CU261" s="11">
        <f t="shared" si="475"/>
        <v>0.87836708529518082</v>
      </c>
      <c r="CV261" s="3">
        <v>6.1005760873852422E-3</v>
      </c>
      <c r="CW261" s="11">
        <v>0</v>
      </c>
      <c r="CX261" s="11"/>
      <c r="DA261" s="7">
        <v>5.25</v>
      </c>
      <c r="DB261" s="7">
        <v>4.75</v>
      </c>
      <c r="DC261" s="11">
        <v>2.7190311199989719E-4</v>
      </c>
      <c r="DD261" s="11">
        <v>-4.740275185341104E-3</v>
      </c>
      <c r="DE261" s="11">
        <v>2.7472907165713541E-2</v>
      </c>
      <c r="DF261" s="1">
        <v>-2.5065034054023008E-2</v>
      </c>
      <c r="DG261" s="3">
        <f t="shared" si="467"/>
        <v>2.7859123773619029E-2</v>
      </c>
      <c r="DH261" s="11">
        <f t="shared" si="476"/>
        <v>0.87836711791826205</v>
      </c>
      <c r="DI261" s="3">
        <v>6.1003718763050141E-3</v>
      </c>
      <c r="DJ261" s="11">
        <v>0</v>
      </c>
      <c r="DK261" s="11"/>
    </row>
    <row r="262" spans="1:115" x14ac:dyDescent="0.25">
      <c r="A262" s="7">
        <v>5.5</v>
      </c>
      <c r="B262" s="7">
        <v>4.75</v>
      </c>
      <c r="C262" s="11">
        <v>2.714864453332304E-4</v>
      </c>
      <c r="D262" s="11">
        <v>-4.7335043520077696E-3</v>
      </c>
      <c r="E262" s="11">
        <v>2.7436787374046871E-2</v>
      </c>
      <c r="F262" s="1">
        <v>-2.5001577022773003E-2</v>
      </c>
      <c r="G262" s="3">
        <f t="shared" si="459"/>
        <v>2.7880804228565953E-2</v>
      </c>
      <c r="H262" s="11">
        <f t="shared" si="468"/>
        <v>0.8722917529280686</v>
      </c>
      <c r="I262" s="3">
        <v>6.0753550517791436E-3</v>
      </c>
      <c r="J262" s="11">
        <v>0</v>
      </c>
      <c r="N262" s="7">
        <v>5.5</v>
      </c>
      <c r="O262" s="7">
        <v>4.75</v>
      </c>
      <c r="P262" s="11">
        <v>2.714864453332304E-4</v>
      </c>
      <c r="Q262" s="11">
        <v>-4.7335043520077696E-3</v>
      </c>
      <c r="R262" s="11">
        <v>2.7436787374046871E-2</v>
      </c>
      <c r="S262" s="1">
        <v>-2.5001577022773003E-2</v>
      </c>
      <c r="T262" s="3">
        <f t="shared" si="460"/>
        <v>2.7880804228565953E-2</v>
      </c>
      <c r="U262" s="11">
        <f t="shared" si="469"/>
        <v>0.87228741794608156</v>
      </c>
      <c r="V262" s="3">
        <v>6.0753248594098749E-3</v>
      </c>
      <c r="W262" s="11">
        <v>0</v>
      </c>
      <c r="AA262" s="7">
        <v>5.5</v>
      </c>
      <c r="AB262" s="7">
        <v>4.75</v>
      </c>
      <c r="AC262" s="11">
        <v>2.714864453332304E-4</v>
      </c>
      <c r="AD262" s="11">
        <v>-4.7335043520077696E-3</v>
      </c>
      <c r="AE262" s="11">
        <v>2.7436787374046871E-2</v>
      </c>
      <c r="AF262" s="1">
        <v>-2.5001577022773003E-2</v>
      </c>
      <c r="AG262" s="3">
        <f t="shared" si="461"/>
        <v>2.7880804228565953E-2</v>
      </c>
      <c r="AH262" s="11">
        <f t="shared" si="470"/>
        <v>0.87228416115474305</v>
      </c>
      <c r="AI262" s="3">
        <v>6.0753021764444054E-3</v>
      </c>
      <c r="AJ262" s="11">
        <v>0</v>
      </c>
      <c r="AK262" s="11"/>
      <c r="AN262" s="7">
        <v>5.5</v>
      </c>
      <c r="AO262" s="7">
        <v>4.75</v>
      </c>
      <c r="AP262" s="11">
        <v>2.714864453332304E-4</v>
      </c>
      <c r="AQ262" s="11">
        <v>-4.7335043520077696E-3</v>
      </c>
      <c r="AR262" s="11">
        <v>2.7436787374046871E-2</v>
      </c>
      <c r="AS262" s="1">
        <v>-2.5001577022773003E-2</v>
      </c>
      <c r="AT262" s="3">
        <f t="shared" si="462"/>
        <v>2.7880804228565953E-2</v>
      </c>
      <c r="AU262" s="11">
        <f t="shared" si="471"/>
        <v>0.87228308093132989</v>
      </c>
      <c r="AV262" s="3">
        <v>6.0752946528827671E-3</v>
      </c>
      <c r="AW262" s="11">
        <v>0</v>
      </c>
      <c r="AX262" s="11"/>
      <c r="BA262" s="7">
        <v>5.5</v>
      </c>
      <c r="BB262" s="7">
        <v>4.75</v>
      </c>
      <c r="BC262" s="11">
        <v>2.714864453332304E-4</v>
      </c>
      <c r="BD262" s="11">
        <v>-4.7335043520077696E-3</v>
      </c>
      <c r="BE262" s="11">
        <v>2.7436787374046871E-2</v>
      </c>
      <c r="BF262" s="1">
        <v>-2.5001577022773003E-2</v>
      </c>
      <c r="BG262" s="3">
        <f t="shared" si="463"/>
        <v>2.7880804228565953E-2</v>
      </c>
      <c r="BH262" s="11">
        <f t="shared" si="472"/>
        <v>0.87228308493617401</v>
      </c>
      <c r="BI262" s="3">
        <v>6.0752946807757849E-3</v>
      </c>
      <c r="BJ262" s="11">
        <v>0</v>
      </c>
      <c r="BK262" s="11"/>
      <c r="BN262" s="7">
        <v>5.5</v>
      </c>
      <c r="BO262" s="7">
        <v>4.75</v>
      </c>
      <c r="BP262" s="11">
        <v>2.7023644533323045E-4</v>
      </c>
      <c r="BQ262" s="11">
        <v>-4.7106918520077694E-3</v>
      </c>
      <c r="BR262" s="11">
        <v>2.7299677999046864E-2</v>
      </c>
      <c r="BS262" s="1">
        <v>-2.4731049679022954E-2</v>
      </c>
      <c r="BT262" s="3">
        <f t="shared" si="464"/>
        <v>2.7879339384815988E-2</v>
      </c>
      <c r="BU262" s="11">
        <f t="shared" si="473"/>
        <v>0.87228326032627157</v>
      </c>
      <c r="BV262" s="3">
        <v>6.0749892402525369E-3</v>
      </c>
      <c r="BW262" s="11">
        <v>0</v>
      </c>
      <c r="BX262" s="11"/>
      <c r="CA262" s="7">
        <v>5.5</v>
      </c>
      <c r="CB262" s="7">
        <v>4.75</v>
      </c>
      <c r="CC262" s="11">
        <v>2.739864453332303E-4</v>
      </c>
      <c r="CD262" s="11">
        <v>-4.7778793520077672E-3</v>
      </c>
      <c r="CE262" s="11">
        <v>2.7691631124046861E-2</v>
      </c>
      <c r="CF262" s="1">
        <v>-2.5468803585272995E-2</v>
      </c>
      <c r="CG262" s="3">
        <f t="shared" si="465"/>
        <v>2.7888812041065983E-2</v>
      </c>
      <c r="CH262" s="11">
        <f t="shared" si="474"/>
        <v>0.8722822860794901</v>
      </c>
      <c r="CI262" s="3">
        <v>6.0773335284907684E-3</v>
      </c>
      <c r="CJ262" s="11">
        <v>0</v>
      </c>
      <c r="CK262" s="11"/>
      <c r="CN262" s="7">
        <v>5.5</v>
      </c>
      <c r="CO262" s="7">
        <v>4.75</v>
      </c>
      <c r="CP262" s="11">
        <v>2.6981977866656376E-4</v>
      </c>
      <c r="CQ262" s="11">
        <v>-4.7051710186744363E-3</v>
      </c>
      <c r="CR262" s="11">
        <v>2.7282933207380202E-2</v>
      </c>
      <c r="CS262" s="1">
        <v>-2.4731420772772975E-2</v>
      </c>
      <c r="CT262" s="3">
        <f t="shared" si="466"/>
        <v>2.7884554228565991E-2</v>
      </c>
      <c r="CU262" s="11">
        <f t="shared" si="475"/>
        <v>0.87229125666550023</v>
      </c>
      <c r="CV262" s="3">
        <v>6.0758286296806715E-3</v>
      </c>
      <c r="CW262" s="11">
        <v>0</v>
      </c>
      <c r="CX262" s="11"/>
      <c r="DA262" s="7">
        <v>5.5</v>
      </c>
      <c r="DB262" s="7">
        <v>4.75</v>
      </c>
      <c r="DC262" s="11">
        <v>2.7190311199989719E-4</v>
      </c>
      <c r="DD262" s="11">
        <v>-4.740275185341104E-3</v>
      </c>
      <c r="DE262" s="11">
        <v>2.7472907165713541E-2</v>
      </c>
      <c r="DF262" s="1">
        <v>-2.5065034054023008E-2</v>
      </c>
      <c r="DG262" s="3">
        <f t="shared" si="467"/>
        <v>2.7880511259815957E-2</v>
      </c>
      <c r="DH262" s="11">
        <f t="shared" si="476"/>
        <v>0.87229179663596357</v>
      </c>
      <c r="DI262" s="3">
        <v>6.075321282298457E-3</v>
      </c>
      <c r="DJ262" s="11">
        <v>0</v>
      </c>
      <c r="DK262" s="11"/>
    </row>
    <row r="263" spans="1:115" x14ac:dyDescent="0.25">
      <c r="A263" s="7">
        <v>5.75</v>
      </c>
      <c r="B263" s="7">
        <v>4.75</v>
      </c>
      <c r="C263" s="11">
        <v>2.714864453332304E-4</v>
      </c>
      <c r="D263" s="11">
        <v>-4.7335043520077696E-3</v>
      </c>
      <c r="E263" s="11">
        <v>2.7436787374046871E-2</v>
      </c>
      <c r="F263" s="1">
        <v>-2.5001577022773003E-2</v>
      </c>
      <c r="G263" s="3">
        <f t="shared" si="459"/>
        <v>2.7870581183011722E-2</v>
      </c>
      <c r="H263" s="11">
        <f t="shared" si="468"/>
        <v>0.86625378984632884</v>
      </c>
      <c r="I263" s="3">
        <v>6.0379630817397022E-3</v>
      </c>
      <c r="J263" s="11">
        <v>0</v>
      </c>
      <c r="N263" s="7">
        <v>5.75</v>
      </c>
      <c r="O263" s="7">
        <v>4.75</v>
      </c>
      <c r="P263" s="11">
        <v>2.714864453332304E-4</v>
      </c>
      <c r="Q263" s="11">
        <v>-4.7335043520077696E-3</v>
      </c>
      <c r="R263" s="11">
        <v>2.7436787374046871E-2</v>
      </c>
      <c r="S263" s="1">
        <v>-2.5001577022773003E-2</v>
      </c>
      <c r="T263" s="3">
        <f t="shared" si="460"/>
        <v>2.7870581183011722E-2</v>
      </c>
      <c r="U263" s="11">
        <f t="shared" si="469"/>
        <v>0.86624948487088616</v>
      </c>
      <c r="V263" s="3">
        <v>6.0379330751953201E-3</v>
      </c>
      <c r="W263" s="11">
        <v>0</v>
      </c>
      <c r="AA263" s="7">
        <v>5.75</v>
      </c>
      <c r="AB263" s="7">
        <v>4.75</v>
      </c>
      <c r="AC263" s="11">
        <v>2.714864453332304E-4</v>
      </c>
      <c r="AD263" s="11">
        <v>-4.7335043520077696E-3</v>
      </c>
      <c r="AE263" s="11">
        <v>2.7436787374046871E-2</v>
      </c>
      <c r="AF263" s="1">
        <v>-2.5001577022773003E-2</v>
      </c>
      <c r="AG263" s="3">
        <f t="shared" si="461"/>
        <v>2.7870581183011722E-2</v>
      </c>
      <c r="AH263" s="11">
        <f t="shared" si="470"/>
        <v>0.86624625062290639</v>
      </c>
      <c r="AI263" s="3">
        <v>6.0379105318366325E-3</v>
      </c>
      <c r="AJ263" s="11">
        <v>0</v>
      </c>
      <c r="AK263" s="11"/>
      <c r="AN263" s="7">
        <v>5.75</v>
      </c>
      <c r="AO263" s="7">
        <v>4.75</v>
      </c>
      <c r="AP263" s="11">
        <v>2.714864453332304E-4</v>
      </c>
      <c r="AQ263" s="11">
        <v>-4.7335043520077696E-3</v>
      </c>
      <c r="AR263" s="11">
        <v>2.7436787374046871E-2</v>
      </c>
      <c r="AS263" s="1">
        <v>-2.5001577022773003E-2</v>
      </c>
      <c r="AT263" s="3">
        <f t="shared" si="462"/>
        <v>2.7870581183011722E-2</v>
      </c>
      <c r="AU263" s="11">
        <f t="shared" si="471"/>
        <v>0.86624517787674959</v>
      </c>
      <c r="AV263" s="3">
        <v>6.0379030545802369E-3</v>
      </c>
      <c r="AW263" s="11">
        <v>0</v>
      </c>
      <c r="AX263" s="11"/>
      <c r="BA263" s="7">
        <v>5.75</v>
      </c>
      <c r="BB263" s="7">
        <v>4.75</v>
      </c>
      <c r="BC263" s="11">
        <v>2.714864453332304E-4</v>
      </c>
      <c r="BD263" s="11">
        <v>-4.7335043520077696E-3</v>
      </c>
      <c r="BE263" s="11">
        <v>2.7436787374046871E-2</v>
      </c>
      <c r="BF263" s="1">
        <v>-2.5001577022773003E-2</v>
      </c>
      <c r="BG263" s="3">
        <f t="shared" si="463"/>
        <v>2.7870581183011722E-2</v>
      </c>
      <c r="BH263" s="11">
        <f t="shared" si="472"/>
        <v>0.86624518185387245</v>
      </c>
      <c r="BI263" s="3">
        <v>6.0379030823015821E-3</v>
      </c>
      <c r="BJ263" s="11">
        <v>0</v>
      </c>
      <c r="BK263" s="11"/>
      <c r="BN263" s="7">
        <v>5.75</v>
      </c>
      <c r="BO263" s="7">
        <v>4.75</v>
      </c>
      <c r="BP263" s="11">
        <v>2.7023644533323045E-4</v>
      </c>
      <c r="BQ263" s="11">
        <v>-4.7106918520077694E-3</v>
      </c>
      <c r="BR263" s="11">
        <v>2.7299677999046864E-2</v>
      </c>
      <c r="BS263" s="1">
        <v>-2.4731049679022954E-2</v>
      </c>
      <c r="BT263" s="3">
        <f t="shared" si="464"/>
        <v>2.7869331183011742E-2</v>
      </c>
      <c r="BU263" s="11">
        <f t="shared" si="473"/>
        <v>0.86624567106272532</v>
      </c>
      <c r="BV263" s="3">
        <v>6.0375892635463483E-3</v>
      </c>
      <c r="BW263" s="11">
        <v>0</v>
      </c>
      <c r="BX263" s="11"/>
      <c r="CA263" s="7">
        <v>5.75</v>
      </c>
      <c r="CB263" s="7">
        <v>4.75</v>
      </c>
      <c r="CC263" s="11">
        <v>2.739864453332303E-4</v>
      </c>
      <c r="CD263" s="11">
        <v>-4.7778793520077672E-3</v>
      </c>
      <c r="CE263" s="11">
        <v>2.7691631124046861E-2</v>
      </c>
      <c r="CF263" s="1">
        <v>-2.5468803585272995E-2</v>
      </c>
      <c r="CG263" s="3">
        <f t="shared" si="465"/>
        <v>2.7876831183011722E-2</v>
      </c>
      <c r="CH263" s="11">
        <f t="shared" si="474"/>
        <v>0.86624266635351876</v>
      </c>
      <c r="CI263" s="3">
        <v>6.0396197259712792E-3</v>
      </c>
      <c r="CJ263" s="11">
        <v>0</v>
      </c>
      <c r="CK263" s="11"/>
      <c r="CN263" s="7">
        <v>5.75</v>
      </c>
      <c r="CO263" s="7">
        <v>4.75</v>
      </c>
      <c r="CP263" s="11">
        <v>2.6981977866656376E-4</v>
      </c>
      <c r="CQ263" s="11">
        <v>-4.7051710186744363E-3</v>
      </c>
      <c r="CR263" s="11">
        <v>2.7282933207380202E-2</v>
      </c>
      <c r="CS263" s="1">
        <v>-2.4731420772772975E-2</v>
      </c>
      <c r="CT263" s="3">
        <f t="shared" si="466"/>
        <v>2.7875997849678383E-2</v>
      </c>
      <c r="CU263" s="11">
        <f t="shared" si="475"/>
        <v>0.86625249052855668</v>
      </c>
      <c r="CV263" s="3">
        <v>6.0387661369434714E-3</v>
      </c>
      <c r="CW263" s="11">
        <v>0</v>
      </c>
      <c r="CX263" s="11"/>
      <c r="DA263" s="7">
        <v>5.75</v>
      </c>
      <c r="DB263" s="7">
        <v>4.75</v>
      </c>
      <c r="DC263" s="11">
        <v>2.7190311199989719E-4</v>
      </c>
      <c r="DD263" s="11">
        <v>-4.740275185341104E-3</v>
      </c>
      <c r="DE263" s="11">
        <v>2.7472907165713541E-2</v>
      </c>
      <c r="DF263" s="1">
        <v>-2.5065034054023008E-2</v>
      </c>
      <c r="DG263" s="3">
        <f t="shared" si="467"/>
        <v>2.7870164516345067E-2</v>
      </c>
      <c r="DH263" s="11">
        <f t="shared" si="476"/>
        <v>0.86625389625883753</v>
      </c>
      <c r="DI263" s="3">
        <v>6.0379003771259907E-3</v>
      </c>
      <c r="DJ263" s="11">
        <v>0</v>
      </c>
      <c r="DK263" s="11"/>
    </row>
    <row r="264" spans="1:115" x14ac:dyDescent="0.25">
      <c r="A264" s="7">
        <v>6</v>
      </c>
      <c r="B264" s="7">
        <v>4.75</v>
      </c>
      <c r="C264" s="11">
        <v>2.714864453332304E-4</v>
      </c>
      <c r="D264" s="11">
        <v>-4.7335043520077696E-3</v>
      </c>
      <c r="E264" s="11">
        <v>2.7436787374046871E-2</v>
      </c>
      <c r="F264" s="1">
        <v>-2.5001577022773003E-2</v>
      </c>
      <c r="G264" s="3">
        <f t="shared" si="459"/>
        <v>2.785406274120629E-2</v>
      </c>
      <c r="H264" s="11">
        <f t="shared" si="468"/>
        <v>0.86025980466522778</v>
      </c>
      <c r="I264" s="3">
        <v>5.9939851811010095E-3</v>
      </c>
      <c r="J264" s="11">
        <v>0.86025980466522778</v>
      </c>
      <c r="N264" s="7">
        <v>6</v>
      </c>
      <c r="O264" s="7">
        <v>4.75</v>
      </c>
      <c r="P264" s="11">
        <v>2.714864453332304E-4</v>
      </c>
      <c r="Q264" s="11">
        <v>-4.7335043520077696E-3</v>
      </c>
      <c r="R264" s="11">
        <v>2.7436787374046871E-2</v>
      </c>
      <c r="S264" s="1">
        <v>-2.5001577022773003E-2</v>
      </c>
      <c r="T264" s="3">
        <f t="shared" si="460"/>
        <v>2.785406274120629E-2</v>
      </c>
      <c r="U264" s="11">
        <f t="shared" si="469"/>
        <v>0.86025552947777484</v>
      </c>
      <c r="V264" s="3">
        <v>5.9939553931112645E-3</v>
      </c>
      <c r="W264" s="11">
        <v>0.86025552947777484</v>
      </c>
      <c r="AA264" s="7">
        <v>6</v>
      </c>
      <c r="AB264" s="7">
        <v>4.75</v>
      </c>
      <c r="AC264" s="11">
        <v>2.714864453332304E-4</v>
      </c>
      <c r="AD264" s="11">
        <v>-4.7335043520077696E-3</v>
      </c>
      <c r="AE264" s="11">
        <v>2.7436787374046871E-2</v>
      </c>
      <c r="AF264" s="1">
        <v>-2.5001577022773003E-2</v>
      </c>
      <c r="AG264" s="3">
        <f t="shared" si="461"/>
        <v>2.785406274120629E-2</v>
      </c>
      <c r="AH264" s="11">
        <f t="shared" si="470"/>
        <v>0.86025231760895771</v>
      </c>
      <c r="AI264" s="3">
        <v>5.9939330139486104E-3</v>
      </c>
      <c r="AJ264" s="11">
        <v>0.86025231760895771</v>
      </c>
      <c r="AK264" s="11"/>
      <c r="AN264" s="7">
        <v>6</v>
      </c>
      <c r="AO264" s="7">
        <v>4.75</v>
      </c>
      <c r="AP264" s="11">
        <v>2.714864453332304E-4</v>
      </c>
      <c r="AQ264" s="11">
        <v>-4.7335043520077696E-3</v>
      </c>
      <c r="AR264" s="11">
        <v>2.7436787374046871E-2</v>
      </c>
      <c r="AS264" s="1">
        <v>-2.5001577022773003E-2</v>
      </c>
      <c r="AT264" s="3">
        <f t="shared" si="462"/>
        <v>2.785406274120629E-2</v>
      </c>
      <c r="AU264" s="11">
        <f t="shared" si="471"/>
        <v>0.86025125228559618</v>
      </c>
      <c r="AV264" s="3">
        <v>5.9939255911533014E-3</v>
      </c>
      <c r="AW264" s="11">
        <v>0.86025125228559618</v>
      </c>
      <c r="AX264" s="11"/>
      <c r="BA264" s="7">
        <v>6</v>
      </c>
      <c r="BB264" s="7">
        <v>4.75</v>
      </c>
      <c r="BC264" s="11">
        <v>2.714864453332304E-4</v>
      </c>
      <c r="BD264" s="11">
        <v>-4.7335043520077696E-3</v>
      </c>
      <c r="BE264" s="11">
        <v>2.7436787374046871E-2</v>
      </c>
      <c r="BF264" s="1">
        <v>-2.5001577022773003E-2</v>
      </c>
      <c r="BG264" s="3">
        <f t="shared" si="463"/>
        <v>2.785406274120629E-2</v>
      </c>
      <c r="BH264" s="11">
        <f t="shared" si="472"/>
        <v>0.8602512562351996</v>
      </c>
      <c r="BI264" s="3">
        <v>5.9939256186727378E-3</v>
      </c>
      <c r="BJ264" s="11">
        <v>0.8602512562351996</v>
      </c>
      <c r="BK264" s="11"/>
      <c r="BN264" s="7">
        <v>6</v>
      </c>
      <c r="BO264" s="7">
        <v>4.75</v>
      </c>
      <c r="BP264" s="11">
        <v>2.7023644533323045E-4</v>
      </c>
      <c r="BQ264" s="11">
        <v>-4.7106918520077694E-3</v>
      </c>
      <c r="BR264" s="11">
        <v>2.7299677999046864E-2</v>
      </c>
      <c r="BS264" s="1">
        <v>-2.4731049679022954E-2</v>
      </c>
      <c r="BT264" s="3">
        <f t="shared" si="464"/>
        <v>2.7853183834956288E-2</v>
      </c>
      <c r="BU264" s="11">
        <f t="shared" si="473"/>
        <v>0.86025200902761489</v>
      </c>
      <c r="BV264" s="3">
        <v>5.9936620351104513E-3</v>
      </c>
      <c r="BW264" s="11">
        <v>0.86025200902761489</v>
      </c>
      <c r="BX264" s="11"/>
      <c r="CA264" s="7">
        <v>6</v>
      </c>
      <c r="CB264" s="7">
        <v>4.75</v>
      </c>
      <c r="CC264" s="11">
        <v>2.739864453332303E-4</v>
      </c>
      <c r="CD264" s="11">
        <v>-4.7778793520077672E-3</v>
      </c>
      <c r="CE264" s="11">
        <v>2.7691631124046861E-2</v>
      </c>
      <c r="CF264" s="1">
        <v>-2.5468803585272995E-2</v>
      </c>
      <c r="CG264" s="3">
        <f t="shared" si="465"/>
        <v>2.7858398678706278E-2</v>
      </c>
      <c r="CH264" s="11">
        <f t="shared" si="474"/>
        <v>0.86024742330474702</v>
      </c>
      <c r="CI264" s="3">
        <v>5.9952430487718138E-3</v>
      </c>
      <c r="CJ264" s="11">
        <v>0.86024742330474702</v>
      </c>
      <c r="CK264" s="11"/>
      <c r="CN264" s="7">
        <v>6</v>
      </c>
      <c r="CO264" s="7">
        <v>4.75</v>
      </c>
      <c r="CP264" s="11">
        <v>2.6981977866656376E-4</v>
      </c>
      <c r="CQ264" s="11">
        <v>-4.7051710186744363E-3</v>
      </c>
      <c r="CR264" s="11">
        <v>2.7282933207380202E-2</v>
      </c>
      <c r="CS264" s="1">
        <v>-2.4731420772772975E-2</v>
      </c>
      <c r="CT264" s="3">
        <f t="shared" si="466"/>
        <v>2.7861093991206287E-2</v>
      </c>
      <c r="CU264" s="11">
        <f t="shared" si="475"/>
        <v>0.86025735746682785</v>
      </c>
      <c r="CV264" s="3">
        <v>5.9951330617288249E-3</v>
      </c>
      <c r="CW264" s="11">
        <v>0.86025735746682785</v>
      </c>
      <c r="CX264" s="11"/>
      <c r="DA264" s="7">
        <v>6</v>
      </c>
      <c r="DB264" s="7">
        <v>4.75</v>
      </c>
      <c r="DC264" s="11">
        <v>2.7190311199989719E-4</v>
      </c>
      <c r="DD264" s="11">
        <v>-4.740275185341104E-3</v>
      </c>
      <c r="DE264" s="11">
        <v>2.7472907165713541E-2</v>
      </c>
      <c r="DF264" s="1">
        <v>-2.5065034054023008E-2</v>
      </c>
      <c r="DG264" s="3">
        <f t="shared" si="467"/>
        <v>2.7853574459956273E-2</v>
      </c>
      <c r="DH264" s="11">
        <f t="shared" si="476"/>
        <v>0.86025999933178554</v>
      </c>
      <c r="DI264" s="3">
        <v>5.9938969270519398E-3</v>
      </c>
      <c r="DJ264" s="11">
        <v>0.86025999933178554</v>
      </c>
      <c r="DK264" s="11"/>
    </row>
    <row r="265" spans="1:115" x14ac:dyDescent="0.25">
      <c r="A265" s="7">
        <v>6.25</v>
      </c>
      <c r="B265" s="7">
        <v>4.75</v>
      </c>
      <c r="C265" s="11">
        <v>2.714864453332304E-4</v>
      </c>
      <c r="D265" s="11">
        <v>-4.7335043520077696E-3</v>
      </c>
      <c r="E265" s="11">
        <v>2.7436787374046871E-2</v>
      </c>
      <c r="F265" s="1">
        <v>-2.5001577022773003E-2</v>
      </c>
      <c r="G265" s="3">
        <f t="shared" si="459"/>
        <v>2.7856700757399641E-2</v>
      </c>
      <c r="H265" s="11">
        <f t="shared" si="468"/>
        <v>0.85431079802307153</v>
      </c>
      <c r="I265" s="3">
        <v>5.9490066421561622E-3</v>
      </c>
      <c r="J265" s="11">
        <v>0</v>
      </c>
      <c r="N265" s="7">
        <v>6.25</v>
      </c>
      <c r="O265" s="7">
        <v>4.75</v>
      </c>
      <c r="P265" s="11">
        <v>2.714864453332304E-4</v>
      </c>
      <c r="Q265" s="11">
        <v>-4.7335043520077696E-3</v>
      </c>
      <c r="R265" s="11">
        <v>2.7436787374046871E-2</v>
      </c>
      <c r="S265" s="1">
        <v>-2.5001577022773003E-2</v>
      </c>
      <c r="T265" s="3">
        <f t="shared" si="460"/>
        <v>2.7856700757399641E-2</v>
      </c>
      <c r="U265" s="11">
        <f t="shared" si="469"/>
        <v>0.85430655240008091</v>
      </c>
      <c r="V265" s="3">
        <v>5.9489770776938733E-3</v>
      </c>
      <c r="W265" s="11">
        <v>0</v>
      </c>
      <c r="AA265" s="7">
        <v>6.25</v>
      </c>
      <c r="AB265" s="7">
        <v>4.75</v>
      </c>
      <c r="AC265" s="11">
        <v>2.714864453332304E-4</v>
      </c>
      <c r="AD265" s="11">
        <v>-4.7335043520077696E-3</v>
      </c>
      <c r="AE265" s="11">
        <v>2.7436787374046871E-2</v>
      </c>
      <c r="AF265" s="1">
        <v>-2.5001577022773003E-2</v>
      </c>
      <c r="AG265" s="3">
        <f t="shared" si="461"/>
        <v>2.7856700757399641E-2</v>
      </c>
      <c r="AH265" s="11">
        <f t="shared" si="470"/>
        <v>0.85430336274249441</v>
      </c>
      <c r="AI265" s="3">
        <v>5.9489548664632391E-3</v>
      </c>
      <c r="AJ265" s="11">
        <v>0</v>
      </c>
      <c r="AK265" s="11"/>
      <c r="AN265" s="7">
        <v>6.25</v>
      </c>
      <c r="AO265" s="7">
        <v>4.75</v>
      </c>
      <c r="AP265" s="11">
        <v>2.714864453332304E-4</v>
      </c>
      <c r="AQ265" s="11">
        <v>-4.7335043520077696E-3</v>
      </c>
      <c r="AR265" s="11">
        <v>2.7436787374046871E-2</v>
      </c>
      <c r="AS265" s="1">
        <v>-2.5001577022773003E-2</v>
      </c>
      <c r="AT265" s="3">
        <f t="shared" si="462"/>
        <v>2.7856700757399641E-2</v>
      </c>
      <c r="AU265" s="11">
        <f t="shared" si="471"/>
        <v>0.85430230478622793</v>
      </c>
      <c r="AV265" s="3">
        <v>5.9489474993681827E-3</v>
      </c>
      <c r="AW265" s="11">
        <v>0</v>
      </c>
      <c r="AX265" s="11"/>
      <c r="BA265" s="7">
        <v>6.25</v>
      </c>
      <c r="BB265" s="7">
        <v>4.75</v>
      </c>
      <c r="BC265" s="11">
        <v>2.714864453332304E-4</v>
      </c>
      <c r="BD265" s="11">
        <v>-4.7335043520077696E-3</v>
      </c>
      <c r="BE265" s="11">
        <v>2.7436787374046871E-2</v>
      </c>
      <c r="BF265" s="1">
        <v>-2.5001577022773003E-2</v>
      </c>
      <c r="BG265" s="3">
        <f t="shared" si="463"/>
        <v>2.7856700757399641E-2</v>
      </c>
      <c r="BH265" s="11">
        <f t="shared" si="472"/>
        <v>0.85430230870851842</v>
      </c>
      <c r="BI265" s="3">
        <v>5.9489475266811141E-3</v>
      </c>
      <c r="BJ265" s="11">
        <v>0</v>
      </c>
      <c r="BK265" s="11"/>
      <c r="BN265" s="7">
        <v>6.25</v>
      </c>
      <c r="BO265" s="7">
        <v>4.75</v>
      </c>
      <c r="BP265" s="11">
        <v>2.7023644533323045E-4</v>
      </c>
      <c r="BQ265" s="11">
        <v>-4.7106918520077694E-3</v>
      </c>
      <c r="BR265" s="11">
        <v>2.7299677999046864E-2</v>
      </c>
      <c r="BS265" s="1">
        <v>-2.4731049679022954E-2</v>
      </c>
      <c r="BT265" s="3">
        <f t="shared" si="464"/>
        <v>2.7856232007399673E-2</v>
      </c>
      <c r="BU265" s="11">
        <f t="shared" si="473"/>
        <v>0.85430324271011382</v>
      </c>
      <c r="BV265" s="3">
        <v>5.9487663175010206E-3</v>
      </c>
      <c r="BW265" s="11">
        <v>0</v>
      </c>
      <c r="BX265" s="11"/>
      <c r="CA265" s="7">
        <v>6.25</v>
      </c>
      <c r="CB265" s="7">
        <v>4.75</v>
      </c>
      <c r="CC265" s="11">
        <v>2.739864453332303E-4</v>
      </c>
      <c r="CD265" s="11">
        <v>-4.7778793520077672E-3</v>
      </c>
      <c r="CE265" s="11">
        <v>2.7691631124046861E-2</v>
      </c>
      <c r="CF265" s="1">
        <v>-2.5468803585272995E-2</v>
      </c>
      <c r="CG265" s="3">
        <f t="shared" si="465"/>
        <v>2.7859200757399671E-2</v>
      </c>
      <c r="CH265" s="11">
        <f t="shared" si="474"/>
        <v>0.85429758264286704</v>
      </c>
      <c r="CI265" s="3">
        <v>5.9498406618800036E-3</v>
      </c>
      <c r="CJ265" s="11">
        <v>0</v>
      </c>
      <c r="CK265" s="11"/>
      <c r="CN265" s="7">
        <v>6.25</v>
      </c>
      <c r="CO265" s="7">
        <v>4.75</v>
      </c>
      <c r="CP265" s="11">
        <v>2.6981977866656376E-4</v>
      </c>
      <c r="CQ265" s="11">
        <v>-4.7051710186744363E-3</v>
      </c>
      <c r="CR265" s="11">
        <v>2.7282933207380202E-2</v>
      </c>
      <c r="CS265" s="1">
        <v>-2.4731420772772975E-2</v>
      </c>
      <c r="CT265" s="3">
        <f t="shared" si="466"/>
        <v>2.7865138257399641E-2</v>
      </c>
      <c r="CU265" s="11">
        <f t="shared" si="475"/>
        <v>0.85430687642149949</v>
      </c>
      <c r="CV265" s="3">
        <v>5.9504810453283128E-3</v>
      </c>
      <c r="CW265" s="11">
        <v>0</v>
      </c>
      <c r="CX265" s="11"/>
      <c r="DA265" s="7">
        <v>6.25</v>
      </c>
      <c r="DB265" s="7">
        <v>4.75</v>
      </c>
      <c r="DC265" s="11">
        <v>2.7190311199989719E-4</v>
      </c>
      <c r="DD265" s="11">
        <v>-4.740275185341104E-3</v>
      </c>
      <c r="DE265" s="11">
        <v>2.7472907165713541E-2</v>
      </c>
      <c r="DF265" s="1">
        <v>-2.5065034054023008E-2</v>
      </c>
      <c r="DG265" s="3">
        <f t="shared" si="467"/>
        <v>2.7856232007399659E-2</v>
      </c>
      <c r="DH265" s="11">
        <f t="shared" si="476"/>
        <v>0.85431109490828683</v>
      </c>
      <c r="DI265" s="3">
        <v>5.9489044234986846E-3</v>
      </c>
      <c r="DJ265" s="11">
        <v>0</v>
      </c>
      <c r="DK265" s="11"/>
    </row>
    <row r="266" spans="1:115" x14ac:dyDescent="0.25">
      <c r="A266" s="7">
        <v>6.5</v>
      </c>
      <c r="B266" s="7">
        <v>4.75</v>
      </c>
      <c r="C266" s="11">
        <v>2.714864453332304E-4</v>
      </c>
      <c r="D266" s="11">
        <v>-4.7335043520077696E-3</v>
      </c>
      <c r="E266" s="11">
        <v>2.7436787374046871E-2</v>
      </c>
      <c r="F266" s="1">
        <v>-2.5001577022773003E-2</v>
      </c>
      <c r="G266" s="3">
        <f t="shared" si="459"/>
        <v>2.790394708584179E-2</v>
      </c>
      <c r="H266" s="11">
        <f t="shared" si="468"/>
        <v>0.84840237525076467</v>
      </c>
      <c r="I266" s="3">
        <v>5.9084227723069076E-3</v>
      </c>
      <c r="J266" s="11">
        <v>0</v>
      </c>
      <c r="N266" s="7">
        <v>6.5</v>
      </c>
      <c r="O266" s="7">
        <v>4.75</v>
      </c>
      <c r="P266" s="11">
        <v>2.714864453332304E-4</v>
      </c>
      <c r="Q266" s="11">
        <v>-4.7335043520077696E-3</v>
      </c>
      <c r="R266" s="11">
        <v>2.7436787374046871E-2</v>
      </c>
      <c r="S266" s="1">
        <v>-2.5001577022773003E-2</v>
      </c>
      <c r="T266" s="3">
        <f t="shared" si="460"/>
        <v>2.790394708584179E-2</v>
      </c>
      <c r="U266" s="11">
        <f t="shared" si="469"/>
        <v>0.84839815899054882</v>
      </c>
      <c r="V266" s="3">
        <v>5.9083934095321205E-3</v>
      </c>
      <c r="W266" s="11">
        <v>0</v>
      </c>
      <c r="AA266" s="7">
        <v>6.5</v>
      </c>
      <c r="AB266" s="7">
        <v>4.75</v>
      </c>
      <c r="AC266" s="11">
        <v>2.714864453332304E-4</v>
      </c>
      <c r="AD266" s="11">
        <v>-4.7335043520077696E-3</v>
      </c>
      <c r="AE266" s="11">
        <v>2.7436787374046871E-2</v>
      </c>
      <c r="AF266" s="1">
        <v>-2.5001577022773003E-2</v>
      </c>
      <c r="AG266" s="3">
        <f t="shared" si="461"/>
        <v>2.790394708584179E-2</v>
      </c>
      <c r="AH266" s="11">
        <f t="shared" si="470"/>
        <v>0.84839499139266883</v>
      </c>
      <c r="AI266" s="3">
        <v>5.9083713498255547E-3</v>
      </c>
      <c r="AJ266" s="11">
        <v>0</v>
      </c>
      <c r="AK266" s="11"/>
      <c r="AN266" s="7">
        <v>6.5</v>
      </c>
      <c r="AO266" s="7">
        <v>4.75</v>
      </c>
      <c r="AP266" s="11">
        <v>2.714864453332304E-4</v>
      </c>
      <c r="AQ266" s="11">
        <v>-4.7335043520077696E-3</v>
      </c>
      <c r="AR266" s="11">
        <v>2.7436787374046871E-2</v>
      </c>
      <c r="AS266" s="1">
        <v>-2.5001577022773003E-2</v>
      </c>
      <c r="AT266" s="3">
        <f t="shared" si="462"/>
        <v>2.790394708584179E-2</v>
      </c>
      <c r="AU266" s="11">
        <f t="shared" si="471"/>
        <v>0.84839394075323948</v>
      </c>
      <c r="AV266" s="3">
        <v>5.9083640329885079E-3</v>
      </c>
      <c r="AW266" s="11">
        <v>0</v>
      </c>
      <c r="AX266" s="11"/>
      <c r="BA266" s="7">
        <v>6.5</v>
      </c>
      <c r="BB266" s="7">
        <v>4.75</v>
      </c>
      <c r="BC266" s="11">
        <v>2.714864453332304E-4</v>
      </c>
      <c r="BD266" s="11">
        <v>-4.7335043520077696E-3</v>
      </c>
      <c r="BE266" s="11">
        <v>2.7436787374046871E-2</v>
      </c>
      <c r="BF266" s="1">
        <v>-2.5001577022773003E-2</v>
      </c>
      <c r="BG266" s="3">
        <f t="shared" si="463"/>
        <v>2.790394708584179E-2</v>
      </c>
      <c r="BH266" s="11">
        <f t="shared" si="472"/>
        <v>0.84839394464840334</v>
      </c>
      <c r="BI266" s="3">
        <v>5.9083640601151118E-3</v>
      </c>
      <c r="BJ266" s="11">
        <v>0</v>
      </c>
      <c r="BK266" s="11"/>
      <c r="BN266" s="7">
        <v>6.5</v>
      </c>
      <c r="BO266" s="7">
        <v>4.75</v>
      </c>
      <c r="BP266" s="11">
        <v>2.7023644533323045E-4</v>
      </c>
      <c r="BQ266" s="11">
        <v>-4.7106918520077694E-3</v>
      </c>
      <c r="BR266" s="11">
        <v>2.7299677999046864E-2</v>
      </c>
      <c r="BS266" s="1">
        <v>-2.4731049679022954E-2</v>
      </c>
      <c r="BT266" s="3">
        <f t="shared" si="464"/>
        <v>2.7903810367091803E-2</v>
      </c>
      <c r="BU266" s="11">
        <f t="shared" si="473"/>
        <v>0.84839497092412042</v>
      </c>
      <c r="BV266" s="3">
        <v>5.9082717859933491E-3</v>
      </c>
      <c r="BW266" s="11">
        <v>0</v>
      </c>
      <c r="BX266" s="11"/>
      <c r="CA266" s="7">
        <v>6.5</v>
      </c>
      <c r="CB266" s="7">
        <v>4.75</v>
      </c>
      <c r="CC266" s="11">
        <v>2.739864453332303E-4</v>
      </c>
      <c r="CD266" s="11">
        <v>-4.7778793520077672E-3</v>
      </c>
      <c r="CE266" s="11">
        <v>2.7691631124046861E-2</v>
      </c>
      <c r="CF266" s="1">
        <v>-2.5468803585272995E-2</v>
      </c>
      <c r="CG266" s="3">
        <f t="shared" si="465"/>
        <v>2.7904923648341809E-2</v>
      </c>
      <c r="CH266" s="11">
        <f t="shared" si="474"/>
        <v>0.8483887246924865</v>
      </c>
      <c r="CI266" s="3">
        <v>5.908857950380565E-3</v>
      </c>
      <c r="CJ266" s="11">
        <v>0</v>
      </c>
      <c r="CK266" s="11"/>
      <c r="CN266" s="7">
        <v>6.5</v>
      </c>
      <c r="CO266" s="7">
        <v>4.75</v>
      </c>
      <c r="CP266" s="11">
        <v>2.6981977866656376E-4</v>
      </c>
      <c r="CQ266" s="11">
        <v>-4.7051710186744363E-3</v>
      </c>
      <c r="CR266" s="11">
        <v>2.7282933207380202E-2</v>
      </c>
      <c r="CS266" s="1">
        <v>-2.4731420772772975E-2</v>
      </c>
      <c r="CT266" s="3">
        <f t="shared" si="466"/>
        <v>2.7913426252508491E-2</v>
      </c>
      <c r="CU266" s="11">
        <f t="shared" si="475"/>
        <v>0.84839670356103691</v>
      </c>
      <c r="CV266" s="3">
        <v>5.9101728604625979E-3</v>
      </c>
      <c r="CW266" s="11">
        <v>0</v>
      </c>
      <c r="CX266" s="11"/>
      <c r="DA266" s="7">
        <v>6.5</v>
      </c>
      <c r="DB266" s="7">
        <v>4.75</v>
      </c>
      <c r="DC266" s="11">
        <v>2.7190311199989719E-4</v>
      </c>
      <c r="DD266" s="11">
        <v>-4.740275185341104E-3</v>
      </c>
      <c r="DE266" s="11">
        <v>2.7472907165713541E-2</v>
      </c>
      <c r="DF266" s="1">
        <v>-2.5065034054023008E-2</v>
      </c>
      <c r="DG266" s="3">
        <f t="shared" si="467"/>
        <v>2.790362807542511E-2</v>
      </c>
      <c r="DH266" s="11">
        <f t="shared" si="476"/>
        <v>0.84840276881731291</v>
      </c>
      <c r="DI266" s="3">
        <v>5.9083260909738311E-3</v>
      </c>
      <c r="DJ266" s="11">
        <v>0</v>
      </c>
      <c r="DK266" s="11"/>
    </row>
    <row r="267" spans="1:115" x14ac:dyDescent="0.25">
      <c r="A267" s="7">
        <v>6.75</v>
      </c>
      <c r="B267" s="7">
        <v>6.75</v>
      </c>
      <c r="C267" s="11">
        <v>-1.0944565390944586E-4</v>
      </c>
      <c r="D267" s="11">
        <v>2.6920269702770728E-3</v>
      </c>
      <c r="E267" s="11">
        <v>-2.0739229161565186E-2</v>
      </c>
      <c r="F267" s="1">
        <v>7.9015240430280215E-2</v>
      </c>
      <c r="G267" s="3">
        <f t="shared" si="459"/>
        <v>2.8021253580782737E-2</v>
      </c>
      <c r="H267" s="11">
        <f t="shared" si="468"/>
        <v>0.84252493246724747</v>
      </c>
      <c r="I267" s="3">
        <v>5.8774427835171254E-3</v>
      </c>
      <c r="J267" s="11">
        <v>0</v>
      </c>
      <c r="N267" s="7">
        <v>6.75</v>
      </c>
      <c r="O267" s="7">
        <v>6.75</v>
      </c>
      <c r="P267" s="11">
        <v>-1.0944565390944586E-4</v>
      </c>
      <c r="Q267" s="11">
        <v>2.6920269702770728E-3</v>
      </c>
      <c r="R267" s="11">
        <v>-2.0739229161565186E-2</v>
      </c>
      <c r="S267" s="1">
        <v>7.9015240430280215E-2</v>
      </c>
      <c r="T267" s="3">
        <f t="shared" si="460"/>
        <v>2.8021253580782737E-2</v>
      </c>
      <c r="U267" s="11">
        <f t="shared" si="469"/>
        <v>0.84252074541584687</v>
      </c>
      <c r="V267" s="3">
        <v>5.8774135747019438E-3</v>
      </c>
      <c r="W267" s="11">
        <v>0</v>
      </c>
      <c r="AA267" s="7">
        <v>6.75</v>
      </c>
      <c r="AB267" s="7">
        <v>6.75</v>
      </c>
      <c r="AC267" s="11">
        <v>-1.0944565390944586E-4</v>
      </c>
      <c r="AD267" s="11">
        <v>2.6920269702770728E-3</v>
      </c>
      <c r="AE267" s="11">
        <v>-2.0739229161565186E-2</v>
      </c>
      <c r="AF267" s="1">
        <v>7.9015240430280215E-2</v>
      </c>
      <c r="AG267" s="3">
        <f t="shared" si="461"/>
        <v>2.8021253580782737E-2</v>
      </c>
      <c r="AH267" s="11">
        <f t="shared" si="470"/>
        <v>0.84251759976200646</v>
      </c>
      <c r="AI267" s="3">
        <v>5.8773916306623653E-3</v>
      </c>
      <c r="AJ267" s="11">
        <v>0</v>
      </c>
      <c r="AK267" s="11"/>
      <c r="AN267" s="7">
        <v>6.75</v>
      </c>
      <c r="AO267" s="7">
        <v>6.75</v>
      </c>
      <c r="AP267" s="11">
        <v>-1.0944565390944586E-4</v>
      </c>
      <c r="AQ267" s="11">
        <v>2.6920269702770728E-3</v>
      </c>
      <c r="AR267" s="11">
        <v>-2.0739229161565186E-2</v>
      </c>
      <c r="AS267" s="1">
        <v>7.9015240430280215E-2</v>
      </c>
      <c r="AT267" s="3">
        <f t="shared" si="462"/>
        <v>2.8021253580782737E-2</v>
      </c>
      <c r="AU267" s="11">
        <f t="shared" si="471"/>
        <v>0.84251655640104928</v>
      </c>
      <c r="AV267" s="3">
        <v>5.8773843521901297E-3</v>
      </c>
      <c r="AW267" s="11">
        <v>0</v>
      </c>
      <c r="AX267" s="11"/>
      <c r="BA267" s="7">
        <v>6.75</v>
      </c>
      <c r="BB267" s="7">
        <v>6.75</v>
      </c>
      <c r="BC267" s="11">
        <v>-1.0944565390944586E-4</v>
      </c>
      <c r="BD267" s="11">
        <v>2.6920269702770728E-3</v>
      </c>
      <c r="BE267" s="11">
        <v>-2.0739229161565186E-2</v>
      </c>
      <c r="BF267" s="1">
        <v>7.9015240430280215E-2</v>
      </c>
      <c r="BG267" s="3">
        <f t="shared" si="463"/>
        <v>2.8021253580782737E-2</v>
      </c>
      <c r="BH267" s="11">
        <f t="shared" si="472"/>
        <v>0.84251656026922883</v>
      </c>
      <c r="BI267" s="3">
        <v>5.8773843791744993E-3</v>
      </c>
      <c r="BJ267" s="11">
        <v>0</v>
      </c>
      <c r="BK267" s="11"/>
      <c r="BN267" s="7">
        <v>6.75</v>
      </c>
      <c r="BO267" s="7">
        <v>6.75</v>
      </c>
      <c r="BP267" s="11">
        <v>-1.0944565390944586E-4</v>
      </c>
      <c r="BQ267" s="11">
        <v>2.6920269702770728E-3</v>
      </c>
      <c r="BR267" s="11">
        <v>-2.0739229161565186E-2</v>
      </c>
      <c r="BS267" s="1">
        <v>7.9015240430280215E-2</v>
      </c>
      <c r="BT267" s="3">
        <f t="shared" si="464"/>
        <v>2.8021253580782737E-2</v>
      </c>
      <c r="BU267" s="11">
        <f t="shared" si="473"/>
        <v>0.84251760803275</v>
      </c>
      <c r="BV267" s="3">
        <v>5.8773628913704095E-3</v>
      </c>
      <c r="BW267" s="11">
        <v>0</v>
      </c>
      <c r="BX267" s="11"/>
      <c r="CA267" s="7">
        <v>6.75</v>
      </c>
      <c r="CB267" s="7">
        <v>6.75</v>
      </c>
      <c r="CC267" s="11">
        <v>-1.0972343168722361E-4</v>
      </c>
      <c r="CD267" s="11">
        <v>2.6993186369437395E-3</v>
      </c>
      <c r="CE267" s="11">
        <v>-2.0802197911565193E-2</v>
      </c>
      <c r="CF267" s="1">
        <v>7.9193482617780253E-2</v>
      </c>
      <c r="CG267" s="3">
        <f t="shared" si="465"/>
        <v>2.8021253580782723E-2</v>
      </c>
      <c r="CH267" s="11">
        <f t="shared" si="474"/>
        <v>0.84251117220914362</v>
      </c>
      <c r="CI267" s="3">
        <v>5.8775524833427776E-3</v>
      </c>
      <c r="CJ267" s="11">
        <v>0</v>
      </c>
      <c r="CK267" s="11"/>
      <c r="CN267" s="7">
        <v>6.75</v>
      </c>
      <c r="CO267" s="7">
        <v>6.75</v>
      </c>
      <c r="CP267" s="11">
        <v>-1.0879750576129772E-4</v>
      </c>
      <c r="CQ267" s="11">
        <v>2.6755686369437401E-3</v>
      </c>
      <c r="CR267" s="11">
        <v>-2.0604802078231864E-2</v>
      </c>
      <c r="CS267" s="1">
        <v>7.8668404492780272E-2</v>
      </c>
      <c r="CT267" s="3">
        <f t="shared" si="466"/>
        <v>2.803125358078272E-2</v>
      </c>
      <c r="CU267" s="11">
        <f t="shared" si="475"/>
        <v>0.84251731731023671</v>
      </c>
      <c r="CV267" s="3">
        <v>5.8793862508001475E-3</v>
      </c>
      <c r="CW267" s="11">
        <v>0</v>
      </c>
      <c r="CX267" s="11"/>
      <c r="DA267" s="7">
        <v>6.75</v>
      </c>
      <c r="DB267" s="7">
        <v>6.75</v>
      </c>
      <c r="DC267" s="11">
        <v>-1.0981602427981634E-4</v>
      </c>
      <c r="DD267" s="11">
        <v>2.7011936369437423E-3</v>
      </c>
      <c r="DE267" s="11">
        <v>-2.0810687494898547E-2</v>
      </c>
      <c r="DF267" s="1">
        <v>7.9193834180280309E-2</v>
      </c>
      <c r="DG267" s="3">
        <f t="shared" si="467"/>
        <v>2.8021253580782723E-2</v>
      </c>
      <c r="DH267" s="11">
        <f t="shared" si="476"/>
        <v>0.84252539003540039</v>
      </c>
      <c r="DI267" s="3">
        <v>5.8773787819125728E-3</v>
      </c>
      <c r="DJ267" s="11">
        <v>0</v>
      </c>
      <c r="DK267" s="11"/>
    </row>
    <row r="268" spans="1:115" x14ac:dyDescent="0.25">
      <c r="A268" s="7">
        <v>7</v>
      </c>
      <c r="B268" s="7">
        <v>6.75</v>
      </c>
      <c r="C268" s="11">
        <v>-1.0944565390944586E-4</v>
      </c>
      <c r="D268" s="11">
        <v>2.6920269702770728E-3</v>
      </c>
      <c r="E268" s="11">
        <v>-2.0739229161565186E-2</v>
      </c>
      <c r="F268" s="1">
        <v>7.9015240430280215E-2</v>
      </c>
      <c r="G268" s="3">
        <f t="shared" si="459"/>
        <v>2.821009855196055E-2</v>
      </c>
      <c r="H268" s="11">
        <f t="shared" si="468"/>
        <v>0.83666384006119088</v>
      </c>
      <c r="I268" s="3">
        <v>5.86109240605652E-3</v>
      </c>
      <c r="J268" s="11">
        <v>0.83666384006119088</v>
      </c>
      <c r="N268" s="7">
        <v>7</v>
      </c>
      <c r="O268" s="7">
        <v>6.75</v>
      </c>
      <c r="P268" s="11">
        <v>-1.0944565390944586E-4</v>
      </c>
      <c r="Q268" s="11">
        <v>2.6920269702770728E-3</v>
      </c>
      <c r="R268" s="11">
        <v>-2.0739229161565186E-2</v>
      </c>
      <c r="S268" s="1">
        <v>7.9015240430280215E-2</v>
      </c>
      <c r="T268" s="3">
        <f t="shared" si="460"/>
        <v>2.821009855196055E-2</v>
      </c>
      <c r="U268" s="11">
        <f t="shared" si="469"/>
        <v>0.83665968213734987</v>
      </c>
      <c r="V268" s="3">
        <v>5.8610632784969405E-3</v>
      </c>
      <c r="W268" s="11">
        <v>0.83665968213734987</v>
      </c>
      <c r="AA268" s="7">
        <v>7</v>
      </c>
      <c r="AB268" s="7">
        <v>6.75</v>
      </c>
      <c r="AC268" s="11">
        <v>-1.0944565390944586E-4</v>
      </c>
      <c r="AD268" s="11">
        <v>2.6920269702770728E-3</v>
      </c>
      <c r="AE268" s="11">
        <v>-2.0739229161565186E-2</v>
      </c>
      <c r="AF268" s="1">
        <v>7.9015240430280215E-2</v>
      </c>
      <c r="AG268" s="3">
        <f t="shared" si="461"/>
        <v>2.821009855196055E-2</v>
      </c>
      <c r="AH268" s="11">
        <f t="shared" si="470"/>
        <v>0.83665655836650321</v>
      </c>
      <c r="AI268" s="3">
        <v>5.8610413955031849E-3</v>
      </c>
      <c r="AJ268" s="11">
        <v>0.83665655836650321</v>
      </c>
      <c r="AK268" s="11"/>
      <c r="AN268" s="7">
        <v>7</v>
      </c>
      <c r="AO268" s="7">
        <v>6.75</v>
      </c>
      <c r="AP268" s="11">
        <v>-1.0944565390944586E-4</v>
      </c>
      <c r="AQ268" s="11">
        <v>2.6920269702770728E-3</v>
      </c>
      <c r="AR268" s="11">
        <v>-2.0739229161565186E-2</v>
      </c>
      <c r="AS268" s="1">
        <v>7.9015240430280215E-2</v>
      </c>
      <c r="AT268" s="3">
        <f t="shared" si="462"/>
        <v>2.821009855196055E-2</v>
      </c>
      <c r="AU268" s="11">
        <f t="shared" si="471"/>
        <v>0.83665552226377038</v>
      </c>
      <c r="AV268" s="3">
        <v>5.8610341372788317E-3</v>
      </c>
      <c r="AW268" s="11">
        <v>0.83665552226377038</v>
      </c>
      <c r="AX268" s="11"/>
      <c r="BA268" s="7">
        <v>7</v>
      </c>
      <c r="BB268" s="7">
        <v>6.75</v>
      </c>
      <c r="BC268" s="11">
        <v>-1.0944565390944586E-4</v>
      </c>
      <c r="BD268" s="11">
        <v>2.6920269702770728E-3</v>
      </c>
      <c r="BE268" s="11">
        <v>-2.0739229161565186E-2</v>
      </c>
      <c r="BF268" s="1">
        <v>7.9015240430280215E-2</v>
      </c>
      <c r="BG268" s="3">
        <f t="shared" si="463"/>
        <v>2.821009855196055E-2</v>
      </c>
      <c r="BH268" s="11">
        <f t="shared" si="472"/>
        <v>0.83665552610504068</v>
      </c>
      <c r="BI268" s="3">
        <v>5.8610341641881338E-3</v>
      </c>
      <c r="BJ268" s="11">
        <v>0.83665552610504068</v>
      </c>
      <c r="BK268" s="11"/>
      <c r="BN268" s="7">
        <v>7</v>
      </c>
      <c r="BO268" s="7">
        <v>6.75</v>
      </c>
      <c r="BP268" s="11">
        <v>-1.0944565390944586E-4</v>
      </c>
      <c r="BQ268" s="11">
        <v>2.6920269702770728E-3</v>
      </c>
      <c r="BR268" s="11">
        <v>-2.0739229161565186E-2</v>
      </c>
      <c r="BS268" s="1">
        <v>7.9015240430280215E-2</v>
      </c>
      <c r="BT268" s="3">
        <f t="shared" si="464"/>
        <v>2.821009855196055E-2</v>
      </c>
      <c r="BU268" s="11">
        <f t="shared" si="473"/>
        <v>0.83665656657971066</v>
      </c>
      <c r="BV268" s="3">
        <v>5.8610414530392771E-3</v>
      </c>
      <c r="BW268" s="11">
        <v>0.83665656657971066</v>
      </c>
      <c r="BX268" s="11"/>
      <c r="CA268" s="7">
        <v>7</v>
      </c>
      <c r="CB268" s="7">
        <v>6.75</v>
      </c>
      <c r="CC268" s="11">
        <v>-1.0972343168722361E-4</v>
      </c>
      <c r="CD268" s="11">
        <v>2.6993186369437395E-3</v>
      </c>
      <c r="CE268" s="11">
        <v>-2.0802197911565193E-2</v>
      </c>
      <c r="CF268" s="1">
        <v>7.9193482617780253E-2</v>
      </c>
      <c r="CG268" s="3">
        <f t="shared" si="465"/>
        <v>2.8209573378349437E-2</v>
      </c>
      <c r="CH268" s="11">
        <f t="shared" si="474"/>
        <v>0.83665017552742849</v>
      </c>
      <c r="CI268" s="3">
        <v>5.8609966817151126E-3</v>
      </c>
      <c r="CJ268" s="11">
        <v>0.83665017552742849</v>
      </c>
      <c r="CK268" s="11"/>
      <c r="CN268" s="7">
        <v>7</v>
      </c>
      <c r="CO268" s="7">
        <v>6.75</v>
      </c>
      <c r="CP268" s="11">
        <v>-1.0879750576129772E-4</v>
      </c>
      <c r="CQ268" s="11">
        <v>2.6755686369437401E-3</v>
      </c>
      <c r="CR268" s="11">
        <v>-2.0604802078231864E-2</v>
      </c>
      <c r="CS268" s="1">
        <v>7.8668404492780272E-2</v>
      </c>
      <c r="CT268" s="3">
        <f t="shared" si="466"/>
        <v>2.8220108679275366E-2</v>
      </c>
      <c r="CU268" s="11">
        <f t="shared" si="475"/>
        <v>0.83665420079476049</v>
      </c>
      <c r="CV268" s="3">
        <v>5.8631165154762587E-3</v>
      </c>
      <c r="CW268" s="11">
        <v>0.83665420079476049</v>
      </c>
      <c r="CX268" s="11"/>
      <c r="DA268" s="7">
        <v>7</v>
      </c>
      <c r="DB268" s="7">
        <v>6.75</v>
      </c>
      <c r="DC268" s="11">
        <v>-1.0981602427981634E-4</v>
      </c>
      <c r="DD268" s="11">
        <v>2.7011936369437423E-3</v>
      </c>
      <c r="DE268" s="11">
        <v>-2.0810687494898547E-2</v>
      </c>
      <c r="DF268" s="1">
        <v>7.9193834180280309E-2</v>
      </c>
      <c r="DG268" s="3">
        <f t="shared" si="467"/>
        <v>2.8210613598256856E-2</v>
      </c>
      <c r="DH268" s="11">
        <f t="shared" si="476"/>
        <v>0.83666429444623425</v>
      </c>
      <c r="DI268" s="3">
        <v>5.8610955891661484E-3</v>
      </c>
      <c r="DJ268" s="11">
        <v>0.83666429444623425</v>
      </c>
      <c r="DK268" s="11"/>
    </row>
    <row r="269" spans="1:115" x14ac:dyDescent="0.25">
      <c r="A269" s="7">
        <v>7.25</v>
      </c>
      <c r="B269" s="7">
        <v>6.75</v>
      </c>
      <c r="C269" s="11">
        <v>-1.0944565390944586E-4</v>
      </c>
      <c r="D269" s="11">
        <v>2.6920269702770728E-3</v>
      </c>
      <c r="E269" s="11">
        <v>-2.0739229161565186E-2</v>
      </c>
      <c r="F269" s="1">
        <v>7.9015240430280215E-2</v>
      </c>
      <c r="G269" s="3">
        <f t="shared" si="459"/>
        <v>2.8448152052910722E-2</v>
      </c>
      <c r="H269" s="11">
        <f t="shared" si="468"/>
        <v>0.83080457035937649</v>
      </c>
      <c r="I269" s="3">
        <v>5.8592697018143135E-3</v>
      </c>
      <c r="J269" s="11">
        <v>0</v>
      </c>
      <c r="N269" s="7">
        <v>7.25</v>
      </c>
      <c r="O269" s="7">
        <v>6.75</v>
      </c>
      <c r="P269" s="11">
        <v>-1.0944565390944586E-4</v>
      </c>
      <c r="Q269" s="11">
        <v>2.6920269702770728E-3</v>
      </c>
      <c r="R269" s="11">
        <v>-2.0739229161565186E-2</v>
      </c>
      <c r="S269" s="1">
        <v>7.9015240430280215E-2</v>
      </c>
      <c r="T269" s="3">
        <f t="shared" si="460"/>
        <v>2.8448152052910722E-2</v>
      </c>
      <c r="U269" s="11">
        <f t="shared" si="469"/>
        <v>0.83080044155403687</v>
      </c>
      <c r="V269" s="3">
        <v>5.85924058331293E-3</v>
      </c>
      <c r="W269" s="11">
        <v>0</v>
      </c>
      <c r="AA269" s="7">
        <v>7.25</v>
      </c>
      <c r="AB269" s="7">
        <v>6.75</v>
      </c>
      <c r="AC269" s="11">
        <v>-1.0944565390944586E-4</v>
      </c>
      <c r="AD269" s="11">
        <v>2.6920269702770728E-3</v>
      </c>
      <c r="AE269" s="11">
        <v>-2.0739229161565186E-2</v>
      </c>
      <c r="AF269" s="1">
        <v>7.9015240430280215E-2</v>
      </c>
      <c r="AG269" s="3">
        <f t="shared" si="461"/>
        <v>2.8448152052910722E-2</v>
      </c>
      <c r="AH269" s="11">
        <f t="shared" si="470"/>
        <v>0.83079733965937874</v>
      </c>
      <c r="AI269" s="3">
        <v>5.8592187071244296E-3</v>
      </c>
      <c r="AJ269" s="11">
        <v>0</v>
      </c>
      <c r="AK269" s="11"/>
      <c r="AN269" s="7">
        <v>7.25</v>
      </c>
      <c r="AO269" s="7">
        <v>6.75</v>
      </c>
      <c r="AP269" s="11">
        <v>-1.0944565390944586E-4</v>
      </c>
      <c r="AQ269" s="11">
        <v>2.6920269702770728E-3</v>
      </c>
      <c r="AR269" s="11">
        <v>-2.0739229161565186E-2</v>
      </c>
      <c r="AS269" s="1">
        <v>7.9015240430280215E-2</v>
      </c>
      <c r="AT269" s="3">
        <f t="shared" si="462"/>
        <v>2.8448152052910722E-2</v>
      </c>
      <c r="AU269" s="11">
        <f t="shared" si="471"/>
        <v>0.83079631081261307</v>
      </c>
      <c r="AV269" s="3">
        <v>5.8592114511572656E-3</v>
      </c>
      <c r="AW269" s="11">
        <v>0</v>
      </c>
      <c r="AX269" s="11"/>
      <c r="BA269" s="7">
        <v>7.25</v>
      </c>
      <c r="BB269" s="7">
        <v>6.75</v>
      </c>
      <c r="BC269" s="11">
        <v>-1.0944565390944586E-4</v>
      </c>
      <c r="BD269" s="11">
        <v>2.6920269702770728E-3</v>
      </c>
      <c r="BE269" s="11">
        <v>-2.0739229161565186E-2</v>
      </c>
      <c r="BF269" s="1">
        <v>7.9015240430280215E-2</v>
      </c>
      <c r="BG269" s="3">
        <f t="shared" si="463"/>
        <v>2.8448152052910722E-2</v>
      </c>
      <c r="BH269" s="11">
        <f t="shared" si="472"/>
        <v>0.83079631462698245</v>
      </c>
      <c r="BI269" s="3">
        <v>5.8592114780581994E-3</v>
      </c>
      <c r="BJ269" s="11">
        <v>0</v>
      </c>
      <c r="BK269" s="11"/>
      <c r="BN269" s="7">
        <v>7.25</v>
      </c>
      <c r="BO269" s="7">
        <v>6.75</v>
      </c>
      <c r="BP269" s="11">
        <v>-1.0944565390944586E-4</v>
      </c>
      <c r="BQ269" s="11">
        <v>2.6920269702770728E-3</v>
      </c>
      <c r="BR269" s="11">
        <v>-2.0739229161565186E-2</v>
      </c>
      <c r="BS269" s="1">
        <v>7.9015240430280215E-2</v>
      </c>
      <c r="BT269" s="3">
        <f t="shared" si="464"/>
        <v>2.8448152052910722E-2</v>
      </c>
      <c r="BU269" s="11">
        <f t="shared" si="473"/>
        <v>0.83079734781506798</v>
      </c>
      <c r="BV269" s="3">
        <v>5.859218764642629E-3</v>
      </c>
      <c r="BW269" s="11">
        <v>0</v>
      </c>
      <c r="BX269" s="11"/>
      <c r="CA269" s="7">
        <v>7.25</v>
      </c>
      <c r="CB269" s="7">
        <v>6.75</v>
      </c>
      <c r="CC269" s="11">
        <v>-1.0972343168722361E-4</v>
      </c>
      <c r="CD269" s="11">
        <v>2.6993186369437395E-3</v>
      </c>
      <c r="CE269" s="11">
        <v>-2.0802197911565193E-2</v>
      </c>
      <c r="CF269" s="1">
        <v>7.9193482617780253E-2</v>
      </c>
      <c r="CG269" s="3">
        <f t="shared" si="465"/>
        <v>2.8447283997355147E-2</v>
      </c>
      <c r="CH269" s="11">
        <f t="shared" si="474"/>
        <v>0.83079110983369497</v>
      </c>
      <c r="CI269" s="3">
        <v>5.8590656937334961E-3</v>
      </c>
      <c r="CJ269" s="11">
        <v>0</v>
      </c>
      <c r="CK269" s="11"/>
      <c r="CN269" s="7">
        <v>7.25</v>
      </c>
      <c r="CO269" s="7">
        <v>6.75</v>
      </c>
      <c r="CP269" s="11">
        <v>-1.0879750576129772E-4</v>
      </c>
      <c r="CQ269" s="11">
        <v>2.6755686369437401E-3</v>
      </c>
      <c r="CR269" s="11">
        <v>-2.0604802078231864E-2</v>
      </c>
      <c r="CS269" s="1">
        <v>7.8668404492780272E-2</v>
      </c>
      <c r="CT269" s="3">
        <f t="shared" si="466"/>
        <v>2.8457816404762568E-2</v>
      </c>
      <c r="CU269" s="11">
        <f t="shared" si="475"/>
        <v>0.8307929340723863</v>
      </c>
      <c r="CV269" s="3">
        <v>5.861266722374199E-3</v>
      </c>
      <c r="CW269" s="11">
        <v>0</v>
      </c>
      <c r="CX269" s="11"/>
      <c r="DA269" s="7">
        <v>7.25</v>
      </c>
      <c r="DB269" s="7">
        <v>6.75</v>
      </c>
      <c r="DC269" s="11">
        <v>-1.0981602427981634E-4</v>
      </c>
      <c r="DD269" s="11">
        <v>2.7011936369437423E-3</v>
      </c>
      <c r="DE269" s="11">
        <v>-2.0810687494898547E-2</v>
      </c>
      <c r="DF269" s="1">
        <v>7.9193834180280309E-2</v>
      </c>
      <c r="DG269" s="3">
        <f t="shared" si="467"/>
        <v>2.8449355756614433E-2</v>
      </c>
      <c r="DH269" s="11">
        <f t="shared" si="476"/>
        <v>0.8308049153357171</v>
      </c>
      <c r="DI269" s="3">
        <v>5.8593791105171046E-3</v>
      </c>
      <c r="DJ269" s="11">
        <v>0</v>
      </c>
      <c r="DK269" s="11"/>
    </row>
    <row r="270" spans="1:115" x14ac:dyDescent="0.25">
      <c r="A270" s="7">
        <v>7.5</v>
      </c>
      <c r="B270" s="7">
        <v>6.75</v>
      </c>
      <c r="C270" s="11">
        <v>-1.0944565390944586E-4</v>
      </c>
      <c r="D270" s="11">
        <v>2.6920269702770728E-3</v>
      </c>
      <c r="E270" s="11">
        <v>-2.0739229161565186E-2</v>
      </c>
      <c r="F270" s="1">
        <v>7.9015240430280215E-2</v>
      </c>
      <c r="G270" s="3">
        <f t="shared" si="459"/>
        <v>2.8725153553579186E-2</v>
      </c>
      <c r="H270" s="11">
        <f t="shared" si="468"/>
        <v>0.82493758291117203</v>
      </c>
      <c r="I270" s="3">
        <v>5.8669874482044169E-3</v>
      </c>
      <c r="J270" s="11">
        <v>0</v>
      </c>
      <c r="N270" s="7">
        <v>7.5</v>
      </c>
      <c r="O270" s="7">
        <v>6.75</v>
      </c>
      <c r="P270" s="11">
        <v>-1.0944565390944586E-4</v>
      </c>
      <c r="Q270" s="11">
        <v>2.6920269702770728E-3</v>
      </c>
      <c r="R270" s="11">
        <v>-2.0739229161565186E-2</v>
      </c>
      <c r="S270" s="1">
        <v>7.9015240430280215E-2</v>
      </c>
      <c r="T270" s="3">
        <f t="shared" si="460"/>
        <v>2.8725153553579186E-2</v>
      </c>
      <c r="U270" s="11">
        <f t="shared" si="469"/>
        <v>0.82493348326268834</v>
      </c>
      <c r="V270" s="3">
        <v>5.8669582913485601E-3</v>
      </c>
      <c r="W270" s="11">
        <v>0</v>
      </c>
      <c r="AA270" s="7">
        <v>7.5</v>
      </c>
      <c r="AB270" s="7">
        <v>6.75</v>
      </c>
      <c r="AC270" s="11">
        <v>-1.0944565390944586E-4</v>
      </c>
      <c r="AD270" s="11">
        <v>2.6920269702770728E-3</v>
      </c>
      <c r="AE270" s="11">
        <v>-2.0739229161565186E-2</v>
      </c>
      <c r="AF270" s="1">
        <v>7.9015240430280215E-2</v>
      </c>
      <c r="AG270" s="3">
        <f t="shared" si="461"/>
        <v>2.8725153553579186E-2</v>
      </c>
      <c r="AH270" s="11">
        <f t="shared" si="470"/>
        <v>0.82493040327303369</v>
      </c>
      <c r="AI270" s="3">
        <v>5.8669363863450555E-3</v>
      </c>
      <c r="AJ270" s="11">
        <v>0</v>
      </c>
      <c r="AK270" s="11"/>
      <c r="AN270" s="7">
        <v>7.5</v>
      </c>
      <c r="AO270" s="7">
        <v>6.75</v>
      </c>
      <c r="AP270" s="11">
        <v>-1.0944565390944586E-4</v>
      </c>
      <c r="AQ270" s="11">
        <v>2.6920269702770728E-3</v>
      </c>
      <c r="AR270" s="11">
        <v>-2.0739229161565186E-2</v>
      </c>
      <c r="AS270" s="1">
        <v>7.9015240430280215E-2</v>
      </c>
      <c r="AT270" s="3">
        <f t="shared" si="462"/>
        <v>2.8725153553579186E-2</v>
      </c>
      <c r="AU270" s="11">
        <f t="shared" si="471"/>
        <v>0.82492938169179264</v>
      </c>
      <c r="AV270" s="3">
        <v>5.866929120820436E-3</v>
      </c>
      <c r="AW270" s="11">
        <v>0</v>
      </c>
      <c r="AX270" s="11"/>
      <c r="BA270" s="7">
        <v>7.5</v>
      </c>
      <c r="BB270" s="7">
        <v>6.75</v>
      </c>
      <c r="BC270" s="11">
        <v>-1.0944565390944586E-4</v>
      </c>
      <c r="BD270" s="11">
        <v>2.6920269702770728E-3</v>
      </c>
      <c r="BE270" s="11">
        <v>-2.0739229161565186E-2</v>
      </c>
      <c r="BF270" s="1">
        <v>7.9015240430280215E-2</v>
      </c>
      <c r="BG270" s="3">
        <f t="shared" si="463"/>
        <v>2.8725153553579186E-2</v>
      </c>
      <c r="BH270" s="11">
        <f t="shared" si="472"/>
        <v>0.82492938547922567</v>
      </c>
      <c r="BI270" s="3">
        <v>5.8669291477568032E-3</v>
      </c>
      <c r="BJ270" s="11">
        <v>0</v>
      </c>
      <c r="BK270" s="11"/>
      <c r="BN270" s="7">
        <v>7.5</v>
      </c>
      <c r="BO270" s="7">
        <v>6.75</v>
      </c>
      <c r="BP270" s="11">
        <v>-1.0944565390944586E-4</v>
      </c>
      <c r="BQ270" s="11">
        <v>2.6920269702770728E-3</v>
      </c>
      <c r="BR270" s="11">
        <v>-2.0739229161565186E-2</v>
      </c>
      <c r="BS270" s="1">
        <v>7.9015240430280215E-2</v>
      </c>
      <c r="BT270" s="3">
        <f t="shared" si="464"/>
        <v>2.8725153553579186E-2</v>
      </c>
      <c r="BU270" s="11">
        <f t="shared" si="473"/>
        <v>0.82493041137112899</v>
      </c>
      <c r="BV270" s="3">
        <v>5.8669364439390172E-3</v>
      </c>
      <c r="BW270" s="11">
        <v>0</v>
      </c>
      <c r="BX270" s="11"/>
      <c r="CA270" s="7">
        <v>7.5</v>
      </c>
      <c r="CB270" s="7">
        <v>6.75</v>
      </c>
      <c r="CC270" s="11">
        <v>-1.0972343168722361E-4</v>
      </c>
      <c r="CD270" s="11">
        <v>2.6993186369437395E-3</v>
      </c>
      <c r="CE270" s="11">
        <v>-2.0802197911565193E-2</v>
      </c>
      <c r="CF270" s="1">
        <v>7.9193482617780253E-2</v>
      </c>
      <c r="CG270" s="3">
        <f t="shared" si="465"/>
        <v>2.8724098866079184E-2</v>
      </c>
      <c r="CH270" s="11">
        <f t="shared" si="474"/>
        <v>0.82492439519706562</v>
      </c>
      <c r="CI270" s="3">
        <v>5.8667146366293398E-3</v>
      </c>
      <c r="CJ270" s="11">
        <v>0</v>
      </c>
      <c r="CK270" s="11"/>
      <c r="CN270" s="7">
        <v>7.5</v>
      </c>
      <c r="CO270" s="7">
        <v>6.75</v>
      </c>
      <c r="CP270" s="11">
        <v>-1.0879750576129772E-4</v>
      </c>
      <c r="CQ270" s="11">
        <v>2.6755686369437401E-3</v>
      </c>
      <c r="CR270" s="11">
        <v>-2.0604802078231864E-2</v>
      </c>
      <c r="CS270" s="1">
        <v>7.8668404492780272E-2</v>
      </c>
      <c r="CT270" s="3">
        <f t="shared" si="466"/>
        <v>2.8734176991079177E-2</v>
      </c>
      <c r="CU270" s="11">
        <f t="shared" si="475"/>
        <v>0.82492404978323508</v>
      </c>
      <c r="CV270" s="3">
        <v>5.8688842891511297E-3</v>
      </c>
      <c r="CW270" s="11">
        <v>0</v>
      </c>
      <c r="CX270" s="11"/>
      <c r="DA270" s="7">
        <v>7.5</v>
      </c>
      <c r="DB270" s="7">
        <v>6.75</v>
      </c>
      <c r="DC270" s="11">
        <v>-1.0981602427981634E-4</v>
      </c>
      <c r="DD270" s="11">
        <v>2.7011936369437423E-3</v>
      </c>
      <c r="DE270" s="11">
        <v>-2.0810687494898547E-2</v>
      </c>
      <c r="DF270" s="1">
        <v>7.9193834180280309E-2</v>
      </c>
      <c r="DG270" s="3">
        <f t="shared" si="467"/>
        <v>2.8727184803579206E-2</v>
      </c>
      <c r="DH270" s="11">
        <f t="shared" si="476"/>
        <v>0.82493767895927994</v>
      </c>
      <c r="DI270" s="3">
        <v>5.8672363764370851E-3</v>
      </c>
      <c r="DJ270" s="11">
        <v>0</v>
      </c>
      <c r="DK270" s="11"/>
    </row>
    <row r="271" spans="1:115" x14ac:dyDescent="0.25">
      <c r="A271" s="7">
        <v>7.75</v>
      </c>
      <c r="B271" s="7">
        <v>6.75</v>
      </c>
      <c r="C271" s="11">
        <v>-1.0944565390944586E-4</v>
      </c>
      <c r="D271" s="11">
        <v>2.6920269702770728E-3</v>
      </c>
      <c r="E271" s="11">
        <v>-2.0739229161565186E-2</v>
      </c>
      <c r="F271" s="1">
        <v>7.9015240430280215E-2</v>
      </c>
      <c r="G271" s="3">
        <f t="shared" si="459"/>
        <v>2.9030842523912012E-2</v>
      </c>
      <c r="H271" s="11">
        <f t="shared" si="468"/>
        <v>0.81905570766824554</v>
      </c>
      <c r="I271" s="3">
        <v>5.8818752429264541E-3</v>
      </c>
      <c r="J271" s="11">
        <v>0</v>
      </c>
      <c r="N271" s="7">
        <v>7.75</v>
      </c>
      <c r="O271" s="7">
        <v>6.75</v>
      </c>
      <c r="P271" s="11">
        <v>-1.0944565390944586E-4</v>
      </c>
      <c r="Q271" s="11">
        <v>2.6920269702770728E-3</v>
      </c>
      <c r="R271" s="11">
        <v>-2.0739229161565186E-2</v>
      </c>
      <c r="S271" s="1">
        <v>7.9015240430280215E-2</v>
      </c>
      <c r="T271" s="3">
        <f t="shared" si="460"/>
        <v>2.9030842523912012E-2</v>
      </c>
      <c r="U271" s="11">
        <f t="shared" si="469"/>
        <v>0.81905163725060481</v>
      </c>
      <c r="V271" s="3">
        <v>5.8818460120835152E-3</v>
      </c>
      <c r="W271" s="11">
        <v>0</v>
      </c>
      <c r="AA271" s="7">
        <v>7.75</v>
      </c>
      <c r="AB271" s="7">
        <v>6.75</v>
      </c>
      <c r="AC271" s="11">
        <v>-1.0944565390944586E-4</v>
      </c>
      <c r="AD271" s="11">
        <v>2.6920269702770728E-3</v>
      </c>
      <c r="AE271" s="11">
        <v>-2.0739229161565186E-2</v>
      </c>
      <c r="AF271" s="1">
        <v>7.9015240430280215E-2</v>
      </c>
      <c r="AG271" s="3">
        <f t="shared" si="461"/>
        <v>2.9030842523912012E-2</v>
      </c>
      <c r="AH271" s="11">
        <f t="shared" si="470"/>
        <v>0.81904857922153873</v>
      </c>
      <c r="AI271" s="3">
        <v>5.8818240514948916E-3</v>
      </c>
      <c r="AJ271" s="11">
        <v>0</v>
      </c>
      <c r="AK271" s="11"/>
      <c r="AN271" s="7">
        <v>7.75</v>
      </c>
      <c r="AO271" s="7">
        <v>6.75</v>
      </c>
      <c r="AP271" s="11">
        <v>-1.0944565390944586E-4</v>
      </c>
      <c r="AQ271" s="11">
        <v>2.6920269702770728E-3</v>
      </c>
      <c r="AR271" s="11">
        <v>-2.0739229161565186E-2</v>
      </c>
      <c r="AS271" s="1">
        <v>7.9015240430280215E-2</v>
      </c>
      <c r="AT271" s="3">
        <f t="shared" si="462"/>
        <v>2.9030842523912012E-2</v>
      </c>
      <c r="AU271" s="11">
        <f t="shared" si="471"/>
        <v>0.81904756492425901</v>
      </c>
      <c r="AV271" s="3">
        <v>5.8818167675336146E-3</v>
      </c>
      <c r="AW271" s="11">
        <v>0</v>
      </c>
      <c r="AX271" s="11"/>
      <c r="BA271" s="7">
        <v>7.75</v>
      </c>
      <c r="BB271" s="7">
        <v>6.75</v>
      </c>
      <c r="BC271" s="11">
        <v>-1.0944565390944586E-4</v>
      </c>
      <c r="BD271" s="11">
        <v>2.6920269702770728E-3</v>
      </c>
      <c r="BE271" s="11">
        <v>-2.0739229161565186E-2</v>
      </c>
      <c r="BF271" s="1">
        <v>7.9015240430280215E-2</v>
      </c>
      <c r="BG271" s="3">
        <f t="shared" si="463"/>
        <v>2.9030842523912012E-2</v>
      </c>
      <c r="BH271" s="11">
        <f t="shared" si="472"/>
        <v>0.81904756868468731</v>
      </c>
      <c r="BI271" s="3">
        <v>5.8818167945383342E-3</v>
      </c>
      <c r="BJ271" s="11">
        <v>0</v>
      </c>
      <c r="BK271" s="11"/>
      <c r="BN271" s="7">
        <v>7.75</v>
      </c>
      <c r="BO271" s="7">
        <v>6.75</v>
      </c>
      <c r="BP271" s="11">
        <v>-1.0944565390944586E-4</v>
      </c>
      <c r="BQ271" s="11">
        <v>2.6920269702770728E-3</v>
      </c>
      <c r="BR271" s="11">
        <v>-2.0739229161565186E-2</v>
      </c>
      <c r="BS271" s="1">
        <v>7.9015240430280215E-2</v>
      </c>
      <c r="BT271" s="3">
        <f t="shared" si="464"/>
        <v>2.9030842523912012E-2</v>
      </c>
      <c r="BU271" s="11">
        <f t="shared" si="473"/>
        <v>0.819048587261894</v>
      </c>
      <c r="BV271" s="3">
        <v>5.8818241092350012E-3</v>
      </c>
      <c r="BW271" s="11">
        <v>0</v>
      </c>
      <c r="BX271" s="11"/>
      <c r="CA271" s="7">
        <v>7.75</v>
      </c>
      <c r="CB271" s="7">
        <v>6.75</v>
      </c>
      <c r="CC271" s="11">
        <v>-1.0972343168722361E-4</v>
      </c>
      <c r="CD271" s="11">
        <v>2.6993186369437395E-3</v>
      </c>
      <c r="CE271" s="11">
        <v>-2.0802197911565193E-2</v>
      </c>
      <c r="CF271" s="1">
        <v>7.9193482617780253E-2</v>
      </c>
      <c r="CG271" s="3">
        <f t="shared" si="465"/>
        <v>2.9029731412800894E-2</v>
      </c>
      <c r="CH271" s="11">
        <f t="shared" si="474"/>
        <v>0.81904282840241949</v>
      </c>
      <c r="CI271" s="3">
        <v>5.881566794646056E-3</v>
      </c>
      <c r="CJ271" s="11">
        <v>0</v>
      </c>
      <c r="CK271" s="11"/>
      <c r="CN271" s="7">
        <v>7.75</v>
      </c>
      <c r="CO271" s="7">
        <v>6.75</v>
      </c>
      <c r="CP271" s="11">
        <v>-1.0879750576129772E-4</v>
      </c>
      <c r="CQ271" s="11">
        <v>2.6755686369437401E-3</v>
      </c>
      <c r="CR271" s="11">
        <v>-2.0604802078231864E-2</v>
      </c>
      <c r="CS271" s="1">
        <v>7.8668404492780272E-2</v>
      </c>
      <c r="CT271" s="3">
        <f t="shared" si="466"/>
        <v>2.9038990672060158E-2</v>
      </c>
      <c r="CU271" s="11">
        <f t="shared" si="475"/>
        <v>0.81904043656644721</v>
      </c>
      <c r="CV271" s="3">
        <v>5.8836132167877633E-3</v>
      </c>
      <c r="CW271" s="11">
        <v>0</v>
      </c>
      <c r="CX271" s="11"/>
      <c r="DA271" s="7">
        <v>7.75</v>
      </c>
      <c r="DB271" s="7">
        <v>6.75</v>
      </c>
      <c r="DC271" s="11">
        <v>-1.0981602427981634E-4</v>
      </c>
      <c r="DD271" s="11">
        <v>2.7011936369437423E-3</v>
      </c>
      <c r="DE271" s="11">
        <v>-2.0810687494898547E-2</v>
      </c>
      <c r="DF271" s="1">
        <v>7.9193834180280309E-2</v>
      </c>
      <c r="DG271" s="3">
        <f t="shared" si="467"/>
        <v>2.9033805486874953E-2</v>
      </c>
      <c r="DH271" s="11">
        <f t="shared" si="476"/>
        <v>0.81905539007054884</v>
      </c>
      <c r="DI271" s="3">
        <v>5.8822888887310777E-3</v>
      </c>
      <c r="DJ271" s="11">
        <v>0</v>
      </c>
      <c r="DK271" s="11"/>
    </row>
    <row r="272" spans="1:115" x14ac:dyDescent="0.25">
      <c r="A272" s="7">
        <v>8</v>
      </c>
      <c r="B272" s="7">
        <v>6.75</v>
      </c>
      <c r="C272" s="11">
        <v>-1.0944565390944586E-4</v>
      </c>
      <c r="D272" s="11">
        <v>2.6920269702770728E-3</v>
      </c>
      <c r="E272" s="11">
        <v>-2.0739229161565186E-2</v>
      </c>
      <c r="F272" s="1">
        <v>7.9015240430280215E-2</v>
      </c>
      <c r="G272" s="3">
        <f t="shared" si="459"/>
        <v>2.9354958433855105E-2</v>
      </c>
      <c r="H272" s="11">
        <f t="shared" si="468"/>
        <v>0.81315407072452517</v>
      </c>
      <c r="I272" s="3">
        <v>5.9016369437204256E-3</v>
      </c>
      <c r="J272" s="11">
        <v>0.81315407072452517</v>
      </c>
      <c r="N272" s="7">
        <v>8</v>
      </c>
      <c r="O272" s="7">
        <v>6.75</v>
      </c>
      <c r="P272" s="11">
        <v>-1.0944565390944586E-4</v>
      </c>
      <c r="Q272" s="11">
        <v>2.6920269702770728E-3</v>
      </c>
      <c r="R272" s="11">
        <v>-2.0739229161565186E-2</v>
      </c>
      <c r="S272" s="1">
        <v>7.9015240430280215E-2</v>
      </c>
      <c r="T272" s="3">
        <f t="shared" si="460"/>
        <v>2.9354958433855105E-2</v>
      </c>
      <c r="U272" s="11">
        <f t="shared" si="469"/>
        <v>0.81315002963593608</v>
      </c>
      <c r="V272" s="3">
        <v>5.9016076146688112E-3</v>
      </c>
      <c r="W272" s="11">
        <v>0.81315002963593608</v>
      </c>
      <c r="AA272" s="7">
        <v>8</v>
      </c>
      <c r="AB272" s="7">
        <v>6.75</v>
      </c>
      <c r="AC272" s="11">
        <v>-1.0944565390944586E-4</v>
      </c>
      <c r="AD272" s="11">
        <v>2.6920269702770728E-3</v>
      </c>
      <c r="AE272" s="11">
        <v>-2.0739229161565186E-2</v>
      </c>
      <c r="AF272" s="1">
        <v>7.9015240430280215E-2</v>
      </c>
      <c r="AG272" s="3">
        <f t="shared" si="461"/>
        <v>2.9354958433855105E-2</v>
      </c>
      <c r="AH272" s="11">
        <f t="shared" si="470"/>
        <v>0.81314699364124099</v>
      </c>
      <c r="AI272" s="3">
        <v>5.9015855802978376E-3</v>
      </c>
      <c r="AJ272" s="11">
        <v>0.81314699364124099</v>
      </c>
      <c r="AK272" s="11"/>
      <c r="AN272" s="7">
        <v>8</v>
      </c>
      <c r="AO272" s="7">
        <v>6.75</v>
      </c>
      <c r="AP272" s="11">
        <v>-1.0944565390944586E-4</v>
      </c>
      <c r="AQ272" s="11">
        <v>2.6920269702770728E-3</v>
      </c>
      <c r="AR272" s="11">
        <v>-2.0739229161565186E-2</v>
      </c>
      <c r="AS272" s="1">
        <v>7.9015240430280215E-2</v>
      </c>
      <c r="AT272" s="3">
        <f t="shared" si="462"/>
        <v>2.9354958433855105E-2</v>
      </c>
      <c r="AU272" s="11">
        <f t="shared" si="471"/>
        <v>0.8131459866523949</v>
      </c>
      <c r="AV272" s="3">
        <v>5.9015782718641841E-3</v>
      </c>
      <c r="AW272" s="11">
        <v>0.8131459866523949</v>
      </c>
      <c r="AX272" s="11"/>
      <c r="BA272" s="7">
        <v>8</v>
      </c>
      <c r="BB272" s="7">
        <v>6.75</v>
      </c>
      <c r="BC272" s="11">
        <v>-1.0944565390944586E-4</v>
      </c>
      <c r="BD272" s="11">
        <v>2.6920269702770728E-3</v>
      </c>
      <c r="BE272" s="11">
        <v>-2.0739229161565186E-2</v>
      </c>
      <c r="BF272" s="1">
        <v>7.9015240430280215E-2</v>
      </c>
      <c r="BG272" s="3">
        <f t="shared" si="463"/>
        <v>2.9354958433855105E-2</v>
      </c>
      <c r="BH272" s="11">
        <f t="shared" si="472"/>
        <v>0.81314599038572777</v>
      </c>
      <c r="BI272" s="3">
        <v>5.9015782989596333E-3</v>
      </c>
      <c r="BJ272" s="11">
        <v>0.81314599038572777</v>
      </c>
      <c r="BK272" s="11"/>
      <c r="BN272" s="7">
        <v>8</v>
      </c>
      <c r="BO272" s="7">
        <v>6.75</v>
      </c>
      <c r="BP272" s="11">
        <v>-1.0944565390944586E-4</v>
      </c>
      <c r="BQ272" s="11">
        <v>2.6920269702770728E-3</v>
      </c>
      <c r="BR272" s="11">
        <v>-2.0739229161565186E-2</v>
      </c>
      <c r="BS272" s="1">
        <v>7.9015240430280215E-2</v>
      </c>
      <c r="BT272" s="3">
        <f t="shared" si="464"/>
        <v>2.9354958433855105E-2</v>
      </c>
      <c r="BU272" s="11">
        <f t="shared" si="473"/>
        <v>0.81314700162366216</v>
      </c>
      <c r="BV272" s="3">
        <v>5.9015856382319404E-3</v>
      </c>
      <c r="BW272" s="11">
        <v>0.81314700162366216</v>
      </c>
      <c r="BX272" s="11"/>
      <c r="CA272" s="7">
        <v>8</v>
      </c>
      <c r="CB272" s="7">
        <v>6.75</v>
      </c>
      <c r="CC272" s="11">
        <v>-1.0972343168722361E-4</v>
      </c>
      <c r="CD272" s="11">
        <v>2.6993186369437395E-3</v>
      </c>
      <c r="CE272" s="11">
        <v>-2.0802197911565193E-2</v>
      </c>
      <c r="CF272" s="1">
        <v>7.9193482617780253E-2</v>
      </c>
      <c r="CG272" s="3">
        <f t="shared" si="465"/>
        <v>2.9353895065799551E-2</v>
      </c>
      <c r="CH272" s="11">
        <f t="shared" si="474"/>
        <v>0.81314150850429956</v>
      </c>
      <c r="CI272" s="3">
        <v>5.9013198981198922E-3</v>
      </c>
      <c r="CJ272" s="11">
        <v>0.81314150850429956</v>
      </c>
      <c r="CK272" s="11"/>
      <c r="CN272" s="7">
        <v>8</v>
      </c>
      <c r="CO272" s="7">
        <v>6.75</v>
      </c>
      <c r="CP272" s="11">
        <v>-1.0879750576129772E-4</v>
      </c>
      <c r="CQ272" s="11">
        <v>2.6755686369437401E-3</v>
      </c>
      <c r="CR272" s="11">
        <v>-2.0604802078231864E-2</v>
      </c>
      <c r="CS272" s="1">
        <v>7.8668404492780272E-2</v>
      </c>
      <c r="CT272" s="3">
        <f t="shared" si="466"/>
        <v>2.9362057681540293E-2</v>
      </c>
      <c r="CU272" s="11">
        <f t="shared" si="475"/>
        <v>0.81313726520162366</v>
      </c>
      <c r="CV272" s="3">
        <v>5.9031713648236145E-3</v>
      </c>
      <c r="CW272" s="11">
        <v>0.81313726520162366</v>
      </c>
      <c r="CX272" s="11"/>
      <c r="DA272" s="7">
        <v>8</v>
      </c>
      <c r="DB272" s="7">
        <v>6.75</v>
      </c>
      <c r="DC272" s="11">
        <v>-1.0981602427981634E-4</v>
      </c>
      <c r="DD272" s="11">
        <v>2.7011936369437423E-3</v>
      </c>
      <c r="DE272" s="11">
        <v>-2.0810687494898547E-2</v>
      </c>
      <c r="DF272" s="1">
        <v>7.9193834180280309E-2</v>
      </c>
      <c r="DG272" s="3">
        <f t="shared" si="467"/>
        <v>2.9358922554225481E-2</v>
      </c>
      <c r="DH272" s="11">
        <f t="shared" si="476"/>
        <v>0.81315315741965877</v>
      </c>
      <c r="DI272" s="3">
        <v>5.902232650890145E-3</v>
      </c>
      <c r="DJ272" s="11">
        <v>0.81315315741965877</v>
      </c>
      <c r="DK272" s="11"/>
    </row>
    <row r="273" spans="1:115" x14ac:dyDescent="0.25">
      <c r="A273" s="7">
        <v>8.25</v>
      </c>
      <c r="B273" s="7">
        <v>6.75</v>
      </c>
      <c r="C273" s="11">
        <v>-1.0944565390944586E-4</v>
      </c>
      <c r="D273" s="11">
        <v>2.6920269702770728E-3</v>
      </c>
      <c r="E273" s="11">
        <v>-2.0739229161565186E-2</v>
      </c>
      <c r="F273" s="1">
        <v>7.9015240430280215E-2</v>
      </c>
      <c r="G273" s="3">
        <f t="shared" si="459"/>
        <v>2.9687240753354494E-2</v>
      </c>
      <c r="H273" s="11">
        <f t="shared" si="468"/>
        <v>0.80723001980504083</v>
      </c>
      <c r="I273" s="3">
        <v>5.9240509194842519E-3</v>
      </c>
      <c r="J273" s="11">
        <v>0</v>
      </c>
      <c r="N273" s="7">
        <v>8.25</v>
      </c>
      <c r="O273" s="7">
        <v>6.75</v>
      </c>
      <c r="P273" s="11">
        <v>-1.0944565390944586E-4</v>
      </c>
      <c r="Q273" s="11">
        <v>2.6920269702770728E-3</v>
      </c>
      <c r="R273" s="11">
        <v>-2.0739229161565186E-2</v>
      </c>
      <c r="S273" s="1">
        <v>7.9015240430280215E-2</v>
      </c>
      <c r="T273" s="3">
        <f t="shared" si="460"/>
        <v>2.9687240753354494E-2</v>
      </c>
      <c r="U273" s="11">
        <f t="shared" si="469"/>
        <v>0.80722600815689294</v>
      </c>
      <c r="V273" s="3">
        <v>5.9240214790430932E-3</v>
      </c>
      <c r="W273" s="11">
        <v>0</v>
      </c>
      <c r="AA273" s="7">
        <v>8.25</v>
      </c>
      <c r="AB273" s="7">
        <v>6.75</v>
      </c>
      <c r="AC273" s="11">
        <v>-1.0944565390944586E-4</v>
      </c>
      <c r="AD273" s="11">
        <v>2.6920269702770728E-3</v>
      </c>
      <c r="AE273" s="11">
        <v>-2.0739229161565186E-2</v>
      </c>
      <c r="AF273" s="1">
        <v>7.9015240430280215E-2</v>
      </c>
      <c r="AG273" s="3">
        <f t="shared" si="461"/>
        <v>2.9687240753354494E-2</v>
      </c>
      <c r="AH273" s="11">
        <f t="shared" si="470"/>
        <v>0.80722299428025368</v>
      </c>
      <c r="AI273" s="3">
        <v>5.9239993609872263E-3</v>
      </c>
      <c r="AJ273" s="11">
        <v>0</v>
      </c>
      <c r="AK273" s="11"/>
      <c r="AN273" s="7">
        <v>8.25</v>
      </c>
      <c r="AO273" s="7">
        <v>6.75</v>
      </c>
      <c r="AP273" s="11">
        <v>-1.0944565390944586E-4</v>
      </c>
      <c r="AQ273" s="11">
        <v>2.6920269702770728E-3</v>
      </c>
      <c r="AR273" s="11">
        <v>-2.0739229161565186E-2</v>
      </c>
      <c r="AS273" s="1">
        <v>7.9015240430280215E-2</v>
      </c>
      <c r="AT273" s="3">
        <f t="shared" si="462"/>
        <v>2.9687240753354494E-2</v>
      </c>
      <c r="AU273" s="11">
        <f t="shared" si="471"/>
        <v>0.80722199462759814</v>
      </c>
      <c r="AV273" s="3">
        <v>5.9239920247966885E-3</v>
      </c>
      <c r="AW273" s="11">
        <v>0</v>
      </c>
      <c r="AX273" s="11"/>
      <c r="BA273" s="7">
        <v>8.25</v>
      </c>
      <c r="BB273" s="7">
        <v>6.75</v>
      </c>
      <c r="BC273" s="11">
        <v>-1.0944565390944586E-4</v>
      </c>
      <c r="BD273" s="11">
        <v>2.6920269702770728E-3</v>
      </c>
      <c r="BE273" s="11">
        <v>-2.0739229161565186E-2</v>
      </c>
      <c r="BF273" s="1">
        <v>7.9015240430280215E-2</v>
      </c>
      <c r="BG273" s="3">
        <f t="shared" si="463"/>
        <v>2.9687240753354494E-2</v>
      </c>
      <c r="BH273" s="11">
        <f t="shared" si="472"/>
        <v>0.80722199833373265</v>
      </c>
      <c r="BI273" s="3">
        <v>5.923992051995044E-3</v>
      </c>
      <c r="BJ273" s="11">
        <v>0</v>
      </c>
      <c r="BK273" s="11"/>
      <c r="BN273" s="7">
        <v>8.25</v>
      </c>
      <c r="BO273" s="7">
        <v>6.75</v>
      </c>
      <c r="BP273" s="11">
        <v>-1.0944565390944586E-4</v>
      </c>
      <c r="BQ273" s="11">
        <v>2.6920269702770728E-3</v>
      </c>
      <c r="BR273" s="11">
        <v>-2.0739229161565186E-2</v>
      </c>
      <c r="BS273" s="1">
        <v>7.9015240430280215E-2</v>
      </c>
      <c r="BT273" s="3">
        <f t="shared" si="464"/>
        <v>2.9687240753354494E-2</v>
      </c>
      <c r="BU273" s="11">
        <f t="shared" si="473"/>
        <v>0.8072230022045207</v>
      </c>
      <c r="BV273" s="3">
        <v>5.923999419141358E-3</v>
      </c>
      <c r="BW273" s="11">
        <v>0</v>
      </c>
      <c r="BX273" s="11"/>
      <c r="CA273" s="7">
        <v>8.25</v>
      </c>
      <c r="CB273" s="7">
        <v>6.75</v>
      </c>
      <c r="CC273" s="11">
        <v>-1.0972343168722361E-4</v>
      </c>
      <c r="CD273" s="11">
        <v>2.6993186369437395E-3</v>
      </c>
      <c r="CE273" s="11">
        <v>-2.0802197911565193E-2</v>
      </c>
      <c r="CF273" s="1">
        <v>7.9193482617780253E-2</v>
      </c>
      <c r="CG273" s="3">
        <f t="shared" si="465"/>
        <v>2.9686303253354501E-2</v>
      </c>
      <c r="CH273" s="11">
        <f t="shared" si="474"/>
        <v>0.80721776213307361</v>
      </c>
      <c r="CI273" s="3">
        <v>5.9237463712259464E-3</v>
      </c>
      <c r="CJ273" s="11">
        <v>0</v>
      </c>
      <c r="CK273" s="11"/>
      <c r="CN273" s="7">
        <v>8.25</v>
      </c>
      <c r="CO273" s="7">
        <v>6.75</v>
      </c>
      <c r="CP273" s="11">
        <v>-1.0879750576129772E-4</v>
      </c>
      <c r="CQ273" s="11">
        <v>2.6755686369437401E-3</v>
      </c>
      <c r="CR273" s="11">
        <v>-2.0604802078231864E-2</v>
      </c>
      <c r="CS273" s="1">
        <v>7.8668404492780272E-2</v>
      </c>
      <c r="CT273" s="3">
        <f t="shared" si="466"/>
        <v>2.9693178253354491E-2</v>
      </c>
      <c r="CU273" s="11">
        <f t="shared" si="475"/>
        <v>0.80721191450290841</v>
      </c>
      <c r="CV273" s="3">
        <v>5.9253506987152421E-3</v>
      </c>
      <c r="CW273" s="11">
        <v>0</v>
      </c>
      <c r="CX273" s="11"/>
      <c r="DA273" s="7">
        <v>8.25</v>
      </c>
      <c r="DB273" s="7">
        <v>6.75</v>
      </c>
      <c r="DC273" s="11">
        <v>-1.0981602427981634E-4</v>
      </c>
      <c r="DD273" s="11">
        <v>2.7011936369437423E-3</v>
      </c>
      <c r="DE273" s="11">
        <v>-2.0810687494898547E-2</v>
      </c>
      <c r="DF273" s="1">
        <v>7.9193834180280309E-2</v>
      </c>
      <c r="DG273" s="3">
        <f t="shared" si="467"/>
        <v>2.9692240753354499E-2</v>
      </c>
      <c r="DH273" s="11">
        <f t="shared" si="476"/>
        <v>0.80722831899442504</v>
      </c>
      <c r="DI273" s="3">
        <v>5.9248384252337362E-3</v>
      </c>
      <c r="DJ273" s="11">
        <v>0</v>
      </c>
      <c r="DK273" s="11"/>
    </row>
    <row r="274" spans="1:115" x14ac:dyDescent="0.25">
      <c r="A274" s="7">
        <v>8.5</v>
      </c>
      <c r="B274" s="7">
        <v>6.75</v>
      </c>
      <c r="C274" s="11">
        <v>-1.0944565390944586E-4</v>
      </c>
      <c r="D274" s="11">
        <v>2.6920269702770728E-3</v>
      </c>
      <c r="E274" s="11">
        <v>-2.0739229161565186E-2</v>
      </c>
      <c r="F274" s="1">
        <v>7.9015240430280215E-2</v>
      </c>
      <c r="G274" s="3">
        <f t="shared" si="459"/>
        <v>3.0017428952356207E-2</v>
      </c>
      <c r="H274" s="11">
        <f t="shared" si="468"/>
        <v>0.80128304910743231</v>
      </c>
      <c r="I274" s="3">
        <v>5.9469706976085788E-3</v>
      </c>
      <c r="J274" s="11">
        <v>0</v>
      </c>
      <c r="N274" s="7">
        <v>8.5</v>
      </c>
      <c r="O274" s="7">
        <v>6.75</v>
      </c>
      <c r="P274" s="11">
        <v>-1.0944565390944586E-4</v>
      </c>
      <c r="Q274" s="11">
        <v>2.6920269702770728E-3</v>
      </c>
      <c r="R274" s="11">
        <v>-2.0739229161565186E-2</v>
      </c>
      <c r="S274" s="1">
        <v>7.9015240430280215E-2</v>
      </c>
      <c r="T274" s="3">
        <f t="shared" si="460"/>
        <v>3.0017428952356207E-2</v>
      </c>
      <c r="U274" s="11">
        <f t="shared" si="469"/>
        <v>0.80127906701362883</v>
      </c>
      <c r="V274" s="3">
        <v>5.9469411432642172E-3</v>
      </c>
      <c r="W274" s="11">
        <v>0</v>
      </c>
      <c r="AA274" s="7">
        <v>8.5</v>
      </c>
      <c r="AB274" s="7">
        <v>6.75</v>
      </c>
      <c r="AC274" s="11">
        <v>-1.0944565390944586E-4</v>
      </c>
      <c r="AD274" s="11">
        <v>2.6920269702770728E-3</v>
      </c>
      <c r="AE274" s="11">
        <v>-2.0739229161565186E-2</v>
      </c>
      <c r="AF274" s="1">
        <v>7.9015240430280215E-2</v>
      </c>
      <c r="AG274" s="3">
        <f t="shared" si="461"/>
        <v>3.0017428952356207E-2</v>
      </c>
      <c r="AH274" s="11">
        <f t="shared" si="470"/>
        <v>0.80127607534061873</v>
      </c>
      <c r="AI274" s="3">
        <v>5.9469189396349903E-3</v>
      </c>
      <c r="AJ274" s="11">
        <v>0</v>
      </c>
      <c r="AK274" s="11"/>
      <c r="AN274" s="7">
        <v>8.5</v>
      </c>
      <c r="AO274" s="7">
        <v>6.75</v>
      </c>
      <c r="AP274" s="11">
        <v>-1.0944565390944586E-4</v>
      </c>
      <c r="AQ274" s="11">
        <v>2.6920269702770728E-3</v>
      </c>
      <c r="AR274" s="11">
        <v>-2.0739229161565186E-2</v>
      </c>
      <c r="AS274" s="1">
        <v>7.9015240430280215E-2</v>
      </c>
      <c r="AT274" s="3">
        <f t="shared" si="462"/>
        <v>3.0017428952356207E-2</v>
      </c>
      <c r="AU274" s="11">
        <f t="shared" si="471"/>
        <v>0.80127508305253703</v>
      </c>
      <c r="AV274" s="3">
        <v>5.9469115750611957E-3</v>
      </c>
      <c r="AW274" s="11">
        <v>0</v>
      </c>
      <c r="AX274" s="11"/>
      <c r="BA274" s="7">
        <v>8.5</v>
      </c>
      <c r="BB274" s="7">
        <v>6.75</v>
      </c>
      <c r="BC274" s="11">
        <v>-1.0944565390944586E-4</v>
      </c>
      <c r="BD274" s="11">
        <v>2.6920269702770728E-3</v>
      </c>
      <c r="BE274" s="11">
        <v>-2.0739229161565186E-2</v>
      </c>
      <c r="BF274" s="1">
        <v>7.9015240430280215E-2</v>
      </c>
      <c r="BG274" s="3">
        <f t="shared" si="463"/>
        <v>3.0017428952356207E-2</v>
      </c>
      <c r="BH274" s="11">
        <f t="shared" si="472"/>
        <v>0.80127508673136794</v>
      </c>
      <c r="BI274" s="3">
        <v>5.9469116023647805E-3</v>
      </c>
      <c r="BJ274" s="11">
        <v>0</v>
      </c>
      <c r="BK274" s="11"/>
      <c r="BN274" s="7">
        <v>8.5</v>
      </c>
      <c r="BO274" s="7">
        <v>6.75</v>
      </c>
      <c r="BP274" s="11">
        <v>-1.0944565390944586E-4</v>
      </c>
      <c r="BQ274" s="11">
        <v>2.6920269702770728E-3</v>
      </c>
      <c r="BR274" s="11">
        <v>-2.0739229161565186E-2</v>
      </c>
      <c r="BS274" s="1">
        <v>7.9015240430280215E-2</v>
      </c>
      <c r="BT274" s="3">
        <f t="shared" si="464"/>
        <v>3.0017428952356207E-2</v>
      </c>
      <c r="BU274" s="11">
        <f t="shared" si="473"/>
        <v>0.80127608320650667</v>
      </c>
      <c r="BV274" s="3">
        <v>5.9469189980141174E-3</v>
      </c>
      <c r="BW274" s="11">
        <v>0</v>
      </c>
      <c r="BX274" s="11"/>
      <c r="CA274" s="7">
        <v>8.5</v>
      </c>
      <c r="CB274" s="7">
        <v>6.75</v>
      </c>
      <c r="CC274" s="11">
        <v>-1.0972343168722361E-4</v>
      </c>
      <c r="CD274" s="11">
        <v>2.6993186369437395E-3</v>
      </c>
      <c r="CE274" s="11">
        <v>-2.0802197911565193E-2</v>
      </c>
      <c r="CF274" s="1">
        <v>7.9193482617780253E-2</v>
      </c>
      <c r="CG274" s="3">
        <f t="shared" si="465"/>
        <v>3.0016669403745116E-2</v>
      </c>
      <c r="CH274" s="11">
        <f t="shared" si="474"/>
        <v>0.80127106815373583</v>
      </c>
      <c r="CI274" s="3">
        <v>5.9466939793377709E-3</v>
      </c>
      <c r="CJ274" s="11">
        <v>0</v>
      </c>
      <c r="CK274" s="11"/>
      <c r="CN274" s="7">
        <v>8.5</v>
      </c>
      <c r="CO274" s="7">
        <v>6.75</v>
      </c>
      <c r="CP274" s="11">
        <v>-1.0879750576129772E-4</v>
      </c>
      <c r="CQ274" s="11">
        <v>2.6755686369437401E-3</v>
      </c>
      <c r="CR274" s="11">
        <v>-2.0604802078231864E-2</v>
      </c>
      <c r="CS274" s="1">
        <v>7.8668404492780272E-2</v>
      </c>
      <c r="CT274" s="3">
        <f t="shared" si="466"/>
        <v>3.0022152621337686E-2</v>
      </c>
      <c r="CU274" s="11">
        <f t="shared" si="475"/>
        <v>0.80126389657565888</v>
      </c>
      <c r="CV274" s="3">
        <v>5.9480179272496094E-3</v>
      </c>
      <c r="CW274" s="11">
        <v>0</v>
      </c>
      <c r="CX274" s="11"/>
      <c r="DA274" s="7">
        <v>8.5</v>
      </c>
      <c r="DB274" s="7">
        <v>6.75</v>
      </c>
      <c r="DC274" s="11">
        <v>-1.0981602427981634E-4</v>
      </c>
      <c r="DD274" s="11">
        <v>2.7011936369437423E-3</v>
      </c>
      <c r="DE274" s="11">
        <v>-2.0810687494898547E-2</v>
      </c>
      <c r="DF274" s="1">
        <v>7.9193834180280309E-2</v>
      </c>
      <c r="DG274" s="3">
        <f t="shared" si="467"/>
        <v>3.0023464831985813E-2</v>
      </c>
      <c r="DH274" s="11">
        <f t="shared" si="476"/>
        <v>0.80128036660537916</v>
      </c>
      <c r="DI274" s="3">
        <v>5.9479523890457681E-3</v>
      </c>
      <c r="DJ274" s="11">
        <v>0</v>
      </c>
      <c r="DK274" s="11"/>
    </row>
    <row r="275" spans="1:115" x14ac:dyDescent="0.25">
      <c r="A275" s="7">
        <v>8.75</v>
      </c>
      <c r="B275" s="7">
        <v>6.75</v>
      </c>
      <c r="C275" s="11">
        <v>-1.0944565390944586E-4</v>
      </c>
      <c r="D275" s="11">
        <v>2.6920269702770728E-3</v>
      </c>
      <c r="E275" s="11">
        <v>-2.0739229161565186E-2</v>
      </c>
      <c r="F275" s="1">
        <v>7.9015240430280215E-2</v>
      </c>
      <c r="G275" s="3">
        <f t="shared" si="459"/>
        <v>3.0335262500806176E-2</v>
      </c>
      <c r="H275" s="11">
        <f t="shared" si="468"/>
        <v>0.79531472330702446</v>
      </c>
      <c r="I275" s="3">
        <v>5.9683258004078607E-3</v>
      </c>
      <c r="J275" s="11">
        <v>0</v>
      </c>
      <c r="N275" s="7">
        <v>8.75</v>
      </c>
      <c r="O275" s="7">
        <v>6.75</v>
      </c>
      <c r="P275" s="11">
        <v>-1.0944565390944586E-4</v>
      </c>
      <c r="Q275" s="11">
        <v>2.6920269702770728E-3</v>
      </c>
      <c r="R275" s="11">
        <v>-2.0739229161565186E-2</v>
      </c>
      <c r="S275" s="1">
        <v>7.9015240430280215E-2</v>
      </c>
      <c r="T275" s="3">
        <f t="shared" si="460"/>
        <v>3.0335262500806176E-2</v>
      </c>
      <c r="U275" s="11">
        <f t="shared" si="469"/>
        <v>0.79531077087369262</v>
      </c>
      <c r="V275" s="3">
        <v>5.9682961399361786E-3</v>
      </c>
      <c r="W275" s="11">
        <v>0</v>
      </c>
      <c r="AA275" s="7">
        <v>8.75</v>
      </c>
      <c r="AB275" s="7">
        <v>6.75</v>
      </c>
      <c r="AC275" s="11">
        <v>-1.0944565390944586E-4</v>
      </c>
      <c r="AD275" s="11">
        <v>2.6920269702770728E-3</v>
      </c>
      <c r="AE275" s="11">
        <v>-2.0739229161565186E-2</v>
      </c>
      <c r="AF275" s="1">
        <v>7.9015240430280215E-2</v>
      </c>
      <c r="AG275" s="3">
        <f t="shared" si="461"/>
        <v>3.0335262500806176E-2</v>
      </c>
      <c r="AH275" s="11">
        <f t="shared" si="470"/>
        <v>0.79530780148404323</v>
      </c>
      <c r="AI275" s="3">
        <v>5.9682738565754708E-3</v>
      </c>
      <c r="AJ275" s="11">
        <v>0</v>
      </c>
      <c r="AK275" s="11"/>
      <c r="AN275" s="7">
        <v>8.75</v>
      </c>
      <c r="AO275" s="7">
        <v>6.75</v>
      </c>
      <c r="AP275" s="11">
        <v>-1.0944565390944586E-4</v>
      </c>
      <c r="AQ275" s="11">
        <v>2.6920269702770728E-3</v>
      </c>
      <c r="AR275" s="11">
        <v>-2.0739229161565186E-2</v>
      </c>
      <c r="AS275" s="1">
        <v>7.9015240430280215E-2</v>
      </c>
      <c r="AT275" s="3">
        <f t="shared" si="462"/>
        <v>3.0335262500806176E-2</v>
      </c>
      <c r="AU275" s="11">
        <f t="shared" si="471"/>
        <v>0.79530681658698099</v>
      </c>
      <c r="AV275" s="3">
        <v>5.9682664655560727E-3</v>
      </c>
      <c r="AW275" s="11">
        <v>0</v>
      </c>
      <c r="AX275" s="11"/>
      <c r="BA275" s="7">
        <v>8.75</v>
      </c>
      <c r="BB275" s="7">
        <v>6.75</v>
      </c>
      <c r="BC275" s="11">
        <v>-1.0944565390944586E-4</v>
      </c>
      <c r="BD275" s="11">
        <v>2.6920269702770728E-3</v>
      </c>
      <c r="BE275" s="11">
        <v>-2.0739229161565186E-2</v>
      </c>
      <c r="BF275" s="1">
        <v>7.9015240430280215E-2</v>
      </c>
      <c r="BG275" s="3">
        <f t="shared" si="463"/>
        <v>3.0335262500806176E-2</v>
      </c>
      <c r="BH275" s="11">
        <f t="shared" si="472"/>
        <v>0.79530682023841026</v>
      </c>
      <c r="BI275" s="3">
        <v>5.9682664929577023E-3</v>
      </c>
      <c r="BJ275" s="11">
        <v>0</v>
      </c>
      <c r="BK275" s="11"/>
      <c r="BN275" s="7">
        <v>8.75</v>
      </c>
      <c r="BO275" s="7">
        <v>6.75</v>
      </c>
      <c r="BP275" s="11">
        <v>-1.0944565390944586E-4</v>
      </c>
      <c r="BQ275" s="11">
        <v>2.6920269702770728E-3</v>
      </c>
      <c r="BR275" s="11">
        <v>-2.0739229161565186E-2</v>
      </c>
      <c r="BS275" s="1">
        <v>7.9015240430280215E-2</v>
      </c>
      <c r="BT275" s="3">
        <f t="shared" si="464"/>
        <v>3.0335262500806176E-2</v>
      </c>
      <c r="BU275" s="11">
        <f t="shared" si="473"/>
        <v>0.79530780929134248</v>
      </c>
      <c r="BV275" s="3">
        <v>5.9682739151642331E-3</v>
      </c>
      <c r="BW275" s="11">
        <v>0</v>
      </c>
      <c r="BX275" s="11"/>
      <c r="CA275" s="7">
        <v>8.75</v>
      </c>
      <c r="CB275" s="7">
        <v>6.75</v>
      </c>
      <c r="CC275" s="11">
        <v>-1.0972343168722361E-4</v>
      </c>
      <c r="CD275" s="11">
        <v>2.6993186369437395E-3</v>
      </c>
      <c r="CE275" s="11">
        <v>-2.0802197911565193E-2</v>
      </c>
      <c r="CF275" s="1">
        <v>7.9193482617780253E-2</v>
      </c>
      <c r="CG275" s="3">
        <f t="shared" si="465"/>
        <v>3.0334706945250617E-2</v>
      </c>
      <c r="CH275" s="11">
        <f t="shared" si="474"/>
        <v>0.79530298148596668</v>
      </c>
      <c r="CI275" s="3">
        <v>5.9680866677692714E-3</v>
      </c>
      <c r="CJ275" s="11">
        <v>0</v>
      </c>
      <c r="CK275" s="11"/>
      <c r="CN275" s="7">
        <v>8.75</v>
      </c>
      <c r="CO275" s="7">
        <v>6.75</v>
      </c>
      <c r="CP275" s="11">
        <v>-1.0879750576129772E-4</v>
      </c>
      <c r="CQ275" s="11">
        <v>2.6755686369437401E-3</v>
      </c>
      <c r="CR275" s="11">
        <v>-2.0604802078231864E-2</v>
      </c>
      <c r="CS275" s="1">
        <v>7.8668404492780272E-2</v>
      </c>
      <c r="CT275" s="3">
        <f t="shared" si="466"/>
        <v>3.0338781019324704E-2</v>
      </c>
      <c r="CU275" s="11">
        <f t="shared" si="475"/>
        <v>0.79529478125024688</v>
      </c>
      <c r="CV275" s="3">
        <v>5.9691153254120702E-3</v>
      </c>
      <c r="CW275" s="11">
        <v>0</v>
      </c>
      <c r="CX275" s="11"/>
      <c r="DA275" s="7">
        <v>8.75</v>
      </c>
      <c r="DB275" s="7">
        <v>6.75</v>
      </c>
      <c r="DC275" s="11">
        <v>-1.0981602427981634E-4</v>
      </c>
      <c r="DD275" s="11">
        <v>2.7011936369437423E-3</v>
      </c>
      <c r="DE275" s="11">
        <v>-2.0810687494898547E-2</v>
      </c>
      <c r="DF275" s="1">
        <v>7.9193834180280309E-2</v>
      </c>
      <c r="DG275" s="3">
        <f t="shared" si="467"/>
        <v>3.0342299537843176E-2</v>
      </c>
      <c r="DH275" s="11">
        <f t="shared" si="476"/>
        <v>0.79531086962421438</v>
      </c>
      <c r="DI275" s="3">
        <v>5.9694969811646638E-3</v>
      </c>
      <c r="DJ275" s="11">
        <v>0</v>
      </c>
      <c r="DK275" s="11"/>
    </row>
    <row r="276" spans="1:115" x14ac:dyDescent="0.25">
      <c r="A276" s="7">
        <v>9</v>
      </c>
      <c r="B276" s="7">
        <v>6.75</v>
      </c>
      <c r="C276" s="11">
        <v>-1.0944565390944586E-4</v>
      </c>
      <c r="D276" s="11">
        <v>2.6920269702770728E-3</v>
      </c>
      <c r="E276" s="11">
        <v>-2.0739229161565186E-2</v>
      </c>
      <c r="F276" s="1">
        <v>7.9015240430280215E-2</v>
      </c>
      <c r="G276" s="3">
        <f t="shared" si="459"/>
        <v>3.0630480868650389E-2</v>
      </c>
      <c r="H276" s="11">
        <f t="shared" si="468"/>
        <v>0.78932860073137945</v>
      </c>
      <c r="I276" s="3">
        <v>5.9861225756451062E-3</v>
      </c>
      <c r="J276" s="11">
        <v>0.78932860073137945</v>
      </c>
      <c r="N276" s="7">
        <v>9</v>
      </c>
      <c r="O276" s="7">
        <v>6.75</v>
      </c>
      <c r="P276" s="11">
        <v>-1.0944565390944586E-4</v>
      </c>
      <c r="Q276" s="11">
        <v>2.6920269702770728E-3</v>
      </c>
      <c r="R276" s="11">
        <v>-2.0739229161565186E-2</v>
      </c>
      <c r="S276" s="1">
        <v>7.9015240430280215E-2</v>
      </c>
      <c r="T276" s="3">
        <f t="shared" si="460"/>
        <v>3.0630480868650389E-2</v>
      </c>
      <c r="U276" s="11">
        <f t="shared" si="469"/>
        <v>0.78932467804696294</v>
      </c>
      <c r="V276" s="3">
        <v>5.986092826729736E-3</v>
      </c>
      <c r="W276" s="11">
        <v>0.78932467804696294</v>
      </c>
      <c r="AA276" s="7">
        <v>9</v>
      </c>
      <c r="AB276" s="7">
        <v>6.75</v>
      </c>
      <c r="AC276" s="11">
        <v>-1.0944565390944586E-4</v>
      </c>
      <c r="AD276" s="11">
        <v>2.6920269702770728E-3</v>
      </c>
      <c r="AE276" s="11">
        <v>-2.0739229161565186E-2</v>
      </c>
      <c r="AF276" s="1">
        <v>7.9015240430280215E-2</v>
      </c>
      <c r="AG276" s="3">
        <f t="shared" si="461"/>
        <v>3.0630480868650389E-2</v>
      </c>
      <c r="AH276" s="11">
        <f t="shared" si="470"/>
        <v>0.78932173100712033</v>
      </c>
      <c r="AI276" s="3">
        <v>5.9860704769229296E-3</v>
      </c>
      <c r="AJ276" s="11">
        <v>0.78932173100712033</v>
      </c>
      <c r="AK276" s="11"/>
      <c r="AN276" s="7">
        <v>9</v>
      </c>
      <c r="AO276" s="7">
        <v>6.75</v>
      </c>
      <c r="AP276" s="11">
        <v>-1.0944565390944586E-4</v>
      </c>
      <c r="AQ276" s="11">
        <v>2.6920269702770728E-3</v>
      </c>
      <c r="AR276" s="11">
        <v>-2.0739229161565186E-2</v>
      </c>
      <c r="AS276" s="1">
        <v>7.9015240430280215E-2</v>
      </c>
      <c r="AT276" s="3">
        <f t="shared" si="462"/>
        <v>3.0630480868650389E-2</v>
      </c>
      <c r="AU276" s="11">
        <f t="shared" si="471"/>
        <v>0.78932075352311659</v>
      </c>
      <c r="AV276" s="3">
        <v>5.9860630638644682E-3</v>
      </c>
      <c r="AW276" s="11">
        <v>0.78932075352311659</v>
      </c>
      <c r="AX276" s="11"/>
      <c r="BA276" s="7">
        <v>9</v>
      </c>
      <c r="BB276" s="7">
        <v>6.75</v>
      </c>
      <c r="BC276" s="11">
        <v>-1.0944565390944586E-4</v>
      </c>
      <c r="BD276" s="11">
        <v>2.6920269702770728E-3</v>
      </c>
      <c r="BE276" s="11">
        <v>-2.0739229161565186E-2</v>
      </c>
      <c r="BF276" s="1">
        <v>7.9015240430280215E-2</v>
      </c>
      <c r="BG276" s="3">
        <f t="shared" si="463"/>
        <v>3.0630480868650389E-2</v>
      </c>
      <c r="BH276" s="11">
        <f t="shared" si="472"/>
        <v>0.78932075714706251</v>
      </c>
      <c r="BI276" s="3">
        <v>5.9860630913478059E-3</v>
      </c>
      <c r="BJ276" s="11">
        <v>0.78932075714706251</v>
      </c>
      <c r="BK276" s="11"/>
      <c r="BN276" s="7">
        <v>9</v>
      </c>
      <c r="BO276" s="7">
        <v>6.75</v>
      </c>
      <c r="BP276" s="11">
        <v>-1.0944565390944586E-4</v>
      </c>
      <c r="BQ276" s="11">
        <v>2.6920269702770728E-3</v>
      </c>
      <c r="BR276" s="11">
        <v>-2.0739229161565186E-2</v>
      </c>
      <c r="BS276" s="1">
        <v>7.9015240430280215E-2</v>
      </c>
      <c r="BT276" s="3">
        <f t="shared" si="464"/>
        <v>3.0630480868650389E-2</v>
      </c>
      <c r="BU276" s="11">
        <f t="shared" si="473"/>
        <v>0.78932173875565614</v>
      </c>
      <c r="BV276" s="3">
        <v>5.9860705356863959E-3</v>
      </c>
      <c r="BW276" s="11">
        <v>0.78932173875565614</v>
      </c>
      <c r="BX276" s="11"/>
      <c r="CA276" s="7">
        <v>9</v>
      </c>
      <c r="CB276" s="7">
        <v>6.75</v>
      </c>
      <c r="CC276" s="11">
        <v>-1.0972343168722361E-4</v>
      </c>
      <c r="CD276" s="11">
        <v>2.6993186369437395E-3</v>
      </c>
      <c r="CE276" s="11">
        <v>-2.0802197911565193E-2</v>
      </c>
      <c r="CF276" s="1">
        <v>7.9193482617780253E-2</v>
      </c>
      <c r="CG276" s="3">
        <f t="shared" si="465"/>
        <v>3.0630129306150417E-2</v>
      </c>
      <c r="CH276" s="11">
        <f t="shared" si="474"/>
        <v>0.78931705609012126</v>
      </c>
      <c r="CI276" s="3">
        <v>5.9859253958454428E-3</v>
      </c>
      <c r="CJ276" s="11">
        <v>0.78931705609012126</v>
      </c>
      <c r="CK276" s="11"/>
      <c r="CN276" s="7">
        <v>9</v>
      </c>
      <c r="CO276" s="7">
        <v>6.75</v>
      </c>
      <c r="CP276" s="11">
        <v>-1.0879750576129772E-4</v>
      </c>
      <c r="CQ276" s="11">
        <v>2.6755686369437401E-3</v>
      </c>
      <c r="CR276" s="11">
        <v>-2.0604802078231864E-2</v>
      </c>
      <c r="CS276" s="1">
        <v>7.8668404492780272E-2</v>
      </c>
      <c r="CT276" s="3">
        <f t="shared" si="466"/>
        <v>3.0632863681150382E-2</v>
      </c>
      <c r="CU276" s="11">
        <f t="shared" si="475"/>
        <v>0.78930811970015746</v>
      </c>
      <c r="CV276" s="3">
        <v>5.9866615500895025E-3</v>
      </c>
      <c r="CW276" s="11">
        <v>0.78930811970015746</v>
      </c>
      <c r="CX276" s="11"/>
      <c r="DA276" s="7">
        <v>9</v>
      </c>
      <c r="DB276" s="7">
        <v>6.75</v>
      </c>
      <c r="DC276" s="11">
        <v>-1.0981602427981634E-4</v>
      </c>
      <c r="DD276" s="11">
        <v>2.7011936369437423E-3</v>
      </c>
      <c r="DE276" s="11">
        <v>-2.0810687494898547E-2</v>
      </c>
      <c r="DF276" s="1">
        <v>7.9193834180280309E-2</v>
      </c>
      <c r="DG276" s="3">
        <f t="shared" si="467"/>
        <v>3.0638449618650365E-2</v>
      </c>
      <c r="DH276" s="11">
        <f t="shared" si="476"/>
        <v>0.78932339788152694</v>
      </c>
      <c r="DI276" s="3">
        <v>5.987471742687365E-3</v>
      </c>
      <c r="DJ276" s="11">
        <v>0.78932339788152694</v>
      </c>
      <c r="DK276" s="11"/>
    </row>
    <row r="277" spans="1:115" x14ac:dyDescent="0.25">
      <c r="A277" s="7">
        <v>9.25</v>
      </c>
      <c r="B277" s="7">
        <v>6.75</v>
      </c>
      <c r="C277" s="11">
        <v>-1.0944565390944586E-4</v>
      </c>
      <c r="D277" s="11">
        <v>2.6920269702770728E-3</v>
      </c>
      <c r="E277" s="11">
        <v>-2.0739229161565186E-2</v>
      </c>
      <c r="F277" s="1">
        <v>7.9015240430280215E-2</v>
      </c>
      <c r="G277" s="3">
        <f t="shared" si="459"/>
        <v>3.0892823525834862E-2</v>
      </c>
      <c r="H277" s="11">
        <f t="shared" si="468"/>
        <v>0.78333015589290089</v>
      </c>
      <c r="I277" s="3">
        <v>5.9984448384786072E-3</v>
      </c>
      <c r="J277" s="11">
        <v>0</v>
      </c>
      <c r="N277" s="7">
        <v>9.25</v>
      </c>
      <c r="O277" s="7">
        <v>6.75</v>
      </c>
      <c r="P277" s="11">
        <v>-1.0944565390944586E-4</v>
      </c>
      <c r="Q277" s="11">
        <v>2.6920269702770728E-3</v>
      </c>
      <c r="R277" s="11">
        <v>-2.0739229161565186E-2</v>
      </c>
      <c r="S277" s="1">
        <v>7.9015240430280215E-2</v>
      </c>
      <c r="T277" s="3">
        <f t="shared" si="460"/>
        <v>3.0892823525834862E-2</v>
      </c>
      <c r="U277" s="11">
        <f t="shared" si="469"/>
        <v>0.78332626301863706</v>
      </c>
      <c r="V277" s="3">
        <v>5.9984150283259414E-3</v>
      </c>
      <c r="W277" s="11">
        <v>0</v>
      </c>
      <c r="AA277" s="7">
        <v>9.25</v>
      </c>
      <c r="AB277" s="7">
        <v>6.75</v>
      </c>
      <c r="AC277" s="11">
        <v>-1.0944565390944586E-4</v>
      </c>
      <c r="AD277" s="11">
        <v>2.6920269702770728E-3</v>
      </c>
      <c r="AE277" s="11">
        <v>-2.0739229161565186E-2</v>
      </c>
      <c r="AF277" s="1">
        <v>7.9015240430280215E-2</v>
      </c>
      <c r="AG277" s="3">
        <f t="shared" si="461"/>
        <v>3.0892823525834862E-2</v>
      </c>
      <c r="AH277" s="11">
        <f t="shared" si="470"/>
        <v>0.78332333837460766</v>
      </c>
      <c r="AI277" s="3">
        <v>5.9983926325126941E-3</v>
      </c>
      <c r="AJ277" s="11">
        <v>0</v>
      </c>
      <c r="AK277" s="11"/>
      <c r="AN277" s="7">
        <v>9.25</v>
      </c>
      <c r="AO277" s="7">
        <v>6.75</v>
      </c>
      <c r="AP277" s="11">
        <v>-1.0944565390944586E-4</v>
      </c>
      <c r="AQ277" s="11">
        <v>2.6920269702770728E-3</v>
      </c>
      <c r="AR277" s="11">
        <v>-2.0739229161565186E-2</v>
      </c>
      <c r="AS277" s="1">
        <v>7.9015240430280215E-2</v>
      </c>
      <c r="AT277" s="3">
        <f t="shared" si="462"/>
        <v>3.0892823525834862E-2</v>
      </c>
      <c r="AU277" s="11">
        <f t="shared" si="471"/>
        <v>0.78332236831892199</v>
      </c>
      <c r="AV277" s="3">
        <v>5.9983852041946631E-3</v>
      </c>
      <c r="AW277" s="11">
        <v>0</v>
      </c>
      <c r="AX277" s="11"/>
      <c r="BA277" s="7">
        <v>9.25</v>
      </c>
      <c r="BB277" s="7">
        <v>6.75</v>
      </c>
      <c r="BC277" s="11">
        <v>-1.0944565390944586E-4</v>
      </c>
      <c r="BD277" s="11">
        <v>2.6920269702770728E-3</v>
      </c>
      <c r="BE277" s="11">
        <v>-2.0739229161565186E-2</v>
      </c>
      <c r="BF277" s="1">
        <v>7.9015240430280215E-2</v>
      </c>
      <c r="BG277" s="3">
        <f t="shared" si="463"/>
        <v>3.0892823525834862E-2</v>
      </c>
      <c r="BH277" s="11">
        <f t="shared" si="472"/>
        <v>0.78332237191532794</v>
      </c>
      <c r="BI277" s="3">
        <v>5.9983852317345744E-3</v>
      </c>
      <c r="BJ277" s="11">
        <v>0</v>
      </c>
      <c r="BK277" s="11"/>
      <c r="BN277" s="7">
        <v>9.25</v>
      </c>
      <c r="BO277" s="7">
        <v>6.75</v>
      </c>
      <c r="BP277" s="11">
        <v>-1.0944565390944586E-4</v>
      </c>
      <c r="BQ277" s="11">
        <v>2.6920269702770728E-3</v>
      </c>
      <c r="BR277" s="11">
        <v>-2.0739229161565186E-2</v>
      </c>
      <c r="BS277" s="1">
        <v>7.9015240430280215E-2</v>
      </c>
      <c r="BT277" s="3">
        <f t="shared" si="464"/>
        <v>3.0892823525834862E-2</v>
      </c>
      <c r="BU277" s="11">
        <f t="shared" si="473"/>
        <v>0.78332334606425902</v>
      </c>
      <c r="BV277" s="3">
        <v>5.9983926913971235E-3</v>
      </c>
      <c r="BW277" s="11">
        <v>0</v>
      </c>
      <c r="BX277" s="11"/>
      <c r="CA277" s="7">
        <v>9.25</v>
      </c>
      <c r="CB277" s="7">
        <v>6.75</v>
      </c>
      <c r="CC277" s="11">
        <v>-1.0972343168722361E-4</v>
      </c>
      <c r="CD277" s="11">
        <v>2.6993186369437395E-3</v>
      </c>
      <c r="CE277" s="11">
        <v>-2.0802197911565193E-2</v>
      </c>
      <c r="CF277" s="1">
        <v>7.9193482617780253E-2</v>
      </c>
      <c r="CG277" s="3">
        <f t="shared" si="465"/>
        <v>3.0892649914723763E-2</v>
      </c>
      <c r="CH277" s="11">
        <f t="shared" si="474"/>
        <v>0.78331876730748073</v>
      </c>
      <c r="CI277" s="3">
        <v>5.9982887826406208E-3</v>
      </c>
      <c r="CJ277" s="11">
        <v>0</v>
      </c>
      <c r="CK277" s="11"/>
      <c r="CN277" s="7">
        <v>9.25</v>
      </c>
      <c r="CO277" s="7">
        <v>6.75</v>
      </c>
      <c r="CP277" s="11">
        <v>-1.0879750576129772E-4</v>
      </c>
      <c r="CQ277" s="11">
        <v>2.6755686369437401E-3</v>
      </c>
      <c r="CR277" s="11">
        <v>-2.0604802078231864E-2</v>
      </c>
      <c r="CS277" s="1">
        <v>7.8668404492780272E-2</v>
      </c>
      <c r="CT277" s="3">
        <f t="shared" si="466"/>
        <v>3.0894200840649713E-2</v>
      </c>
      <c r="CU277" s="11">
        <f t="shared" si="475"/>
        <v>0.78330936743197943</v>
      </c>
      <c r="CV277" s="3">
        <v>5.9987522681779907E-3</v>
      </c>
      <c r="CW277" s="11">
        <v>0</v>
      </c>
      <c r="CX277" s="11"/>
      <c r="DA277" s="7">
        <v>9.25</v>
      </c>
      <c r="DB277" s="7">
        <v>6.75</v>
      </c>
      <c r="DC277" s="11">
        <v>-1.0981602427981634E-4</v>
      </c>
      <c r="DD277" s="11">
        <v>2.7011936369437423E-3</v>
      </c>
      <c r="DE277" s="11">
        <v>-2.0810687494898547E-2</v>
      </c>
      <c r="DF277" s="1">
        <v>7.9193834180280309E-2</v>
      </c>
      <c r="DG277" s="3">
        <f t="shared" si="467"/>
        <v>3.0901619822131188E-2</v>
      </c>
      <c r="DH277" s="11">
        <f t="shared" si="476"/>
        <v>0.78332344391366282</v>
      </c>
      <c r="DI277" s="3">
        <v>5.9999539678641132E-3</v>
      </c>
      <c r="DJ277" s="11">
        <v>0</v>
      </c>
      <c r="DK277" s="11"/>
    </row>
    <row r="278" spans="1:115" x14ac:dyDescent="0.25">
      <c r="A278" s="7">
        <v>9.5</v>
      </c>
      <c r="B278" s="7">
        <v>6.75</v>
      </c>
      <c r="C278" s="11">
        <v>-1.0944565390944586E-4</v>
      </c>
      <c r="D278" s="11">
        <v>2.6920269702770728E-3</v>
      </c>
      <c r="E278" s="11">
        <v>-2.0739229161565186E-2</v>
      </c>
      <c r="F278" s="1">
        <v>7.9015240430280215E-2</v>
      </c>
      <c r="G278" s="3">
        <f t="shared" si="459"/>
        <v>3.1112029942305608E-2</v>
      </c>
      <c r="H278" s="11">
        <f t="shared" si="468"/>
        <v>0.77732670173822138</v>
      </c>
      <c r="I278" s="3">
        <v>6.0034541546795358E-3</v>
      </c>
      <c r="J278" s="11">
        <v>0</v>
      </c>
      <c r="N278" s="7">
        <v>9.5</v>
      </c>
      <c r="O278" s="7">
        <v>6.75</v>
      </c>
      <c r="P278" s="11">
        <v>-1.0944565390944586E-4</v>
      </c>
      <c r="Q278" s="11">
        <v>2.6920269702770728E-3</v>
      </c>
      <c r="R278" s="11">
        <v>-2.0739229161565186E-2</v>
      </c>
      <c r="S278" s="1">
        <v>7.9015240430280215E-2</v>
      </c>
      <c r="T278" s="3">
        <f t="shared" si="460"/>
        <v>3.1112029942305608E-2</v>
      </c>
      <c r="U278" s="11">
        <f t="shared" si="469"/>
        <v>0.77732283869900476</v>
      </c>
      <c r="V278" s="3">
        <v>6.0034243196323382E-3</v>
      </c>
      <c r="W278" s="11">
        <v>0</v>
      </c>
      <c r="AA278" s="7">
        <v>9.5</v>
      </c>
      <c r="AB278" s="7">
        <v>6.75</v>
      </c>
      <c r="AC278" s="11">
        <v>-1.0944565390944586E-4</v>
      </c>
      <c r="AD278" s="11">
        <v>2.6920269702770728E-3</v>
      </c>
      <c r="AE278" s="11">
        <v>-2.0739229161565186E-2</v>
      </c>
      <c r="AF278" s="1">
        <v>7.9015240430280215E-2</v>
      </c>
      <c r="AG278" s="3">
        <f t="shared" si="461"/>
        <v>3.1112029942305608E-2</v>
      </c>
      <c r="AH278" s="11">
        <f t="shared" si="470"/>
        <v>0.77731993646949138</v>
      </c>
      <c r="AI278" s="3">
        <v>6.0034019051162912E-3</v>
      </c>
      <c r="AJ278" s="11">
        <v>0</v>
      </c>
      <c r="AK278" s="11"/>
      <c r="AN278" s="7">
        <v>9.5</v>
      </c>
      <c r="AO278" s="7">
        <v>6.75</v>
      </c>
      <c r="AP278" s="11">
        <v>-1.0944565390944586E-4</v>
      </c>
      <c r="AQ278" s="11">
        <v>2.6920269702770728E-3</v>
      </c>
      <c r="AR278" s="11">
        <v>-2.0739229161565186E-2</v>
      </c>
      <c r="AS278" s="1">
        <v>7.9015240430280215E-2</v>
      </c>
      <c r="AT278" s="3">
        <f t="shared" si="462"/>
        <v>3.1112029942305608E-2</v>
      </c>
      <c r="AU278" s="11">
        <f t="shared" si="471"/>
        <v>0.77731897384832715</v>
      </c>
      <c r="AV278" s="3">
        <v>6.0033944705948535E-3</v>
      </c>
      <c r="AW278" s="11">
        <v>0</v>
      </c>
      <c r="AX278" s="11"/>
      <c r="BA278" s="7">
        <v>9.5</v>
      </c>
      <c r="BB278" s="7">
        <v>6.75</v>
      </c>
      <c r="BC278" s="11">
        <v>-1.0944565390944586E-4</v>
      </c>
      <c r="BD278" s="11">
        <v>2.6920269702770728E-3</v>
      </c>
      <c r="BE278" s="11">
        <v>-2.0739229161565186E-2</v>
      </c>
      <c r="BF278" s="1">
        <v>7.9015240430280215E-2</v>
      </c>
      <c r="BG278" s="3">
        <f t="shared" si="463"/>
        <v>3.1112029942305608E-2</v>
      </c>
      <c r="BH278" s="11">
        <f t="shared" si="472"/>
        <v>0.77731897741717015</v>
      </c>
      <c r="BI278" s="3">
        <v>6.0033944981577629E-3</v>
      </c>
      <c r="BJ278" s="11">
        <v>0</v>
      </c>
      <c r="BK278" s="11"/>
      <c r="BN278" s="7">
        <v>9.5</v>
      </c>
      <c r="BO278" s="7">
        <v>6.75</v>
      </c>
      <c r="BP278" s="11">
        <v>-1.0944565390944586E-4</v>
      </c>
      <c r="BQ278" s="11">
        <v>2.6920269702770728E-3</v>
      </c>
      <c r="BR278" s="11">
        <v>-2.0739229161565186E-2</v>
      </c>
      <c r="BS278" s="1">
        <v>7.9015240430280215E-2</v>
      </c>
      <c r="BT278" s="3">
        <f t="shared" si="464"/>
        <v>3.1112029942305608E-2</v>
      </c>
      <c r="BU278" s="11">
        <f t="shared" si="473"/>
        <v>0.7773199441002091</v>
      </c>
      <c r="BV278" s="3">
        <v>6.0034019640498948E-3</v>
      </c>
      <c r="BW278" s="11">
        <v>0</v>
      </c>
      <c r="BX278" s="11"/>
      <c r="CA278" s="7">
        <v>9.5</v>
      </c>
      <c r="CB278" s="7">
        <v>6.75</v>
      </c>
      <c r="CC278" s="11">
        <v>-1.0972343168722361E-4</v>
      </c>
      <c r="CD278" s="11">
        <v>2.6993186369437395E-3</v>
      </c>
      <c r="CE278" s="11">
        <v>-2.0802197911565193E-2</v>
      </c>
      <c r="CF278" s="1">
        <v>7.9193482617780253E-2</v>
      </c>
      <c r="CG278" s="3">
        <f t="shared" si="465"/>
        <v>3.1111982199250071E-2</v>
      </c>
      <c r="CH278" s="11">
        <f t="shared" si="474"/>
        <v>0.77731543391417524</v>
      </c>
      <c r="CI278" s="3">
        <v>6.0033333933055526E-3</v>
      </c>
      <c r="CJ278" s="11">
        <v>0</v>
      </c>
      <c r="CK278" s="11"/>
      <c r="CN278" s="7">
        <v>9.5</v>
      </c>
      <c r="CO278" s="7">
        <v>6.75</v>
      </c>
      <c r="CP278" s="11">
        <v>-1.0879750576129772E-4</v>
      </c>
      <c r="CQ278" s="11">
        <v>2.6755686369437401E-3</v>
      </c>
      <c r="CR278" s="11">
        <v>-2.0604802078231864E-2</v>
      </c>
      <c r="CS278" s="1">
        <v>7.8668404492780272E-2</v>
      </c>
      <c r="CT278" s="3">
        <f t="shared" si="466"/>
        <v>3.1112592731657493E-2</v>
      </c>
      <c r="CU278" s="11">
        <f t="shared" si="475"/>
        <v>0.77730580700294138</v>
      </c>
      <c r="CV278" s="3">
        <v>6.0035604290380436E-3</v>
      </c>
      <c r="CW278" s="11">
        <v>0</v>
      </c>
      <c r="CX278" s="11"/>
      <c r="DA278" s="7">
        <v>9.5</v>
      </c>
      <c r="DB278" s="7">
        <v>6.75</v>
      </c>
      <c r="DC278" s="11">
        <v>-1.0981602427981634E-4</v>
      </c>
      <c r="DD278" s="11">
        <v>2.7011936369437423E-3</v>
      </c>
      <c r="DE278" s="11">
        <v>-2.0810687494898547E-2</v>
      </c>
      <c r="DF278" s="1">
        <v>7.9193834180280309E-2</v>
      </c>
      <c r="DG278" s="3">
        <f t="shared" si="467"/>
        <v>3.1121514896009311E-2</v>
      </c>
      <c r="DH278" s="11">
        <f t="shared" si="476"/>
        <v>0.77731834491979279</v>
      </c>
      <c r="DI278" s="3">
        <v>6.005098993869919E-3</v>
      </c>
      <c r="DJ278" s="11">
        <v>0</v>
      </c>
      <c r="DK278" s="11"/>
    </row>
    <row r="279" spans="1:115" x14ac:dyDescent="0.25">
      <c r="A279" s="7">
        <v>9.75</v>
      </c>
      <c r="B279" s="7">
        <v>9.75</v>
      </c>
      <c r="C279" s="11">
        <v>6.6637221572902815E-8</v>
      </c>
      <c r="D279" s="11">
        <v>-1.3977157224916366E-5</v>
      </c>
      <c r="E279" s="11">
        <v>7.9631479779618871E-4</v>
      </c>
      <c r="F279" s="1">
        <v>2.4780710484650557E-2</v>
      </c>
      <c r="G279" s="3">
        <f t="shared" si="459"/>
        <v>3.1277839588008581E-2</v>
      </c>
      <c r="H279" s="11">
        <f t="shared" si="468"/>
        <v>0.77132731213063965</v>
      </c>
      <c r="I279" s="3">
        <v>5.9993896075816412E-3</v>
      </c>
      <c r="J279" s="11">
        <v>0</v>
      </c>
      <c r="N279" s="7">
        <v>9.75</v>
      </c>
      <c r="O279" s="7">
        <v>9.75</v>
      </c>
      <c r="P279" s="11">
        <v>6.6637221572902815E-8</v>
      </c>
      <c r="Q279" s="11">
        <v>-1.3977157224916366E-5</v>
      </c>
      <c r="R279" s="11">
        <v>7.9631479779618871E-4</v>
      </c>
      <c r="S279" s="1">
        <v>2.4780710484650557E-2</v>
      </c>
      <c r="T279" s="3">
        <f t="shared" si="460"/>
        <v>3.1277839588008581E-2</v>
      </c>
      <c r="U279" s="11">
        <f t="shared" si="469"/>
        <v>0.77132347890627095</v>
      </c>
      <c r="V279" s="3">
        <v>5.9993597927338075E-3</v>
      </c>
      <c r="W279" s="11">
        <v>0</v>
      </c>
      <c r="AA279" s="7">
        <v>9.75</v>
      </c>
      <c r="AB279" s="7">
        <v>9.75</v>
      </c>
      <c r="AC279" s="11">
        <v>6.6637221572902815E-8</v>
      </c>
      <c r="AD279" s="11">
        <v>-1.3977157224916366E-5</v>
      </c>
      <c r="AE279" s="11">
        <v>7.9631479779618871E-4</v>
      </c>
      <c r="AF279" s="1">
        <v>2.4780710484650557E-2</v>
      </c>
      <c r="AG279" s="3">
        <f t="shared" si="461"/>
        <v>3.1277839588008581E-2</v>
      </c>
      <c r="AH279" s="11">
        <f t="shared" si="470"/>
        <v>0.77132059907609818</v>
      </c>
      <c r="AI279" s="3">
        <v>5.9993373933931666E-3</v>
      </c>
      <c r="AJ279" s="11">
        <v>0</v>
      </c>
      <c r="AK279" s="11"/>
      <c r="AN279" s="7">
        <v>9.75</v>
      </c>
      <c r="AO279" s="7">
        <v>9.75</v>
      </c>
      <c r="AP279" s="11">
        <v>6.6637221572902815E-8</v>
      </c>
      <c r="AQ279" s="11">
        <v>-1.3977157224916366E-5</v>
      </c>
      <c r="AR279" s="11">
        <v>7.9631479779618871E-4</v>
      </c>
      <c r="AS279" s="1">
        <v>2.4780710484650557E-2</v>
      </c>
      <c r="AT279" s="3">
        <f t="shared" si="462"/>
        <v>3.1277839588008581E-2</v>
      </c>
      <c r="AU279" s="11">
        <f t="shared" si="471"/>
        <v>0.77131964388442198</v>
      </c>
      <c r="AV279" s="3">
        <v>5.9993299639051591E-3</v>
      </c>
      <c r="AW279" s="11">
        <v>0</v>
      </c>
      <c r="AX279" s="11"/>
      <c r="BA279" s="7">
        <v>9.75</v>
      </c>
      <c r="BB279" s="7">
        <v>9.75</v>
      </c>
      <c r="BC279" s="11">
        <v>6.6637221572902815E-8</v>
      </c>
      <c r="BD279" s="11">
        <v>-1.3977157224916366E-5</v>
      </c>
      <c r="BE279" s="11">
        <v>7.9631479779618871E-4</v>
      </c>
      <c r="BF279" s="1">
        <v>2.4780710484650557E-2</v>
      </c>
      <c r="BG279" s="3">
        <f t="shared" si="463"/>
        <v>3.1277839588008581E-2</v>
      </c>
      <c r="BH279" s="11">
        <f t="shared" si="472"/>
        <v>0.77131964742572068</v>
      </c>
      <c r="BI279" s="3">
        <v>5.9993299914494064E-3</v>
      </c>
      <c r="BJ279" s="11">
        <v>0</v>
      </c>
      <c r="BK279" s="11"/>
      <c r="BN279" s="7">
        <v>9.75</v>
      </c>
      <c r="BO279" s="7">
        <v>9.75</v>
      </c>
      <c r="BP279" s="11">
        <v>6.6637221572902815E-8</v>
      </c>
      <c r="BQ279" s="11">
        <v>-1.3977157224916366E-5</v>
      </c>
      <c r="BR279" s="11">
        <v>7.9631479779618871E-4</v>
      </c>
      <c r="BS279" s="1">
        <v>2.4780710484650557E-2</v>
      </c>
      <c r="BT279" s="3">
        <f t="shared" si="464"/>
        <v>3.1277839588008581E-2</v>
      </c>
      <c r="BU279" s="11">
        <f t="shared" si="473"/>
        <v>0.77132060664792224</v>
      </c>
      <c r="BV279" s="3">
        <v>5.9993374522868707E-3</v>
      </c>
      <c r="BW279" s="11">
        <v>0</v>
      </c>
      <c r="BX279" s="11"/>
      <c r="CA279" s="7">
        <v>9.75</v>
      </c>
      <c r="CB279" s="7">
        <v>9.75</v>
      </c>
      <c r="CC279" s="11">
        <v>6.6637221572902815E-8</v>
      </c>
      <c r="CD279" s="11">
        <v>-1.3977157224916366E-5</v>
      </c>
      <c r="CE279" s="11">
        <v>7.9631479779618871E-4</v>
      </c>
      <c r="CF279" s="1">
        <v>2.4780710484650557E-2</v>
      </c>
      <c r="CG279" s="3">
        <f t="shared" si="465"/>
        <v>3.1277839588008581E-2</v>
      </c>
      <c r="CH279" s="11">
        <f t="shared" si="474"/>
        <v>0.77131614040659413</v>
      </c>
      <c r="CI279" s="3">
        <v>5.9992935075810563E-3</v>
      </c>
      <c r="CJ279" s="11">
        <v>0</v>
      </c>
      <c r="CK279" s="11"/>
      <c r="CN279" s="7">
        <v>9.75</v>
      </c>
      <c r="CO279" s="7">
        <v>9.75</v>
      </c>
      <c r="CP279" s="11">
        <v>6.6432598629043692E-8</v>
      </c>
      <c r="CQ279" s="11">
        <v>-1.3934237562441914E-5</v>
      </c>
      <c r="CR279" s="11">
        <v>7.9386955361707211E-4</v>
      </c>
      <c r="CS279" s="1">
        <v>2.4800661221676824E-2</v>
      </c>
      <c r="CT279" s="3">
        <f t="shared" si="466"/>
        <v>3.1277839588008581E-2</v>
      </c>
      <c r="CU279" s="11">
        <f t="shared" si="475"/>
        <v>0.77130647097723959</v>
      </c>
      <c r="CV279" s="3">
        <v>5.9993360257017143E-3</v>
      </c>
      <c r="CW279" s="11">
        <v>0</v>
      </c>
      <c r="CX279" s="11"/>
      <c r="DA279" s="7">
        <v>9.75</v>
      </c>
      <c r="DB279" s="7">
        <v>9.75</v>
      </c>
      <c r="DC279" s="11">
        <v>6.6841844516762017E-8</v>
      </c>
      <c r="DD279" s="11">
        <v>-1.4020076887390836E-5</v>
      </c>
      <c r="DE279" s="11">
        <v>7.9876004197530618E-4</v>
      </c>
      <c r="DF279" s="1">
        <v>2.4770759747624289E-2</v>
      </c>
      <c r="DG279" s="3">
        <f t="shared" si="467"/>
        <v>3.1287839588008584E-2</v>
      </c>
      <c r="DH279" s="11">
        <f t="shared" si="476"/>
        <v>0.77131720494895106</v>
      </c>
      <c r="DI279" s="3">
        <v>6.001139970841762E-3</v>
      </c>
      <c r="DJ279" s="11">
        <v>0</v>
      </c>
      <c r="DK279" s="11"/>
    </row>
    <row r="280" spans="1:115" x14ac:dyDescent="0.25">
      <c r="A280" s="7">
        <v>10</v>
      </c>
      <c r="B280" s="7">
        <v>9.75</v>
      </c>
      <c r="C280" s="11">
        <v>6.6637221572902815E-8</v>
      </c>
      <c r="D280" s="11">
        <v>-1.3977157224916366E-5</v>
      </c>
      <c r="E280" s="11">
        <v>7.9631479779618871E-4</v>
      </c>
      <c r="F280" s="1">
        <v>2.4780710484650557E-2</v>
      </c>
      <c r="H280" s="11">
        <f t="shared" si="468"/>
        <v>0.76534274522687662</v>
      </c>
      <c r="I280" s="3">
        <v>5.9845669037630915E-3</v>
      </c>
      <c r="J280" s="11">
        <v>0.76534274522687662</v>
      </c>
      <c r="N280" s="7">
        <v>10</v>
      </c>
      <c r="O280" s="7">
        <v>9.75</v>
      </c>
      <c r="P280" s="11">
        <v>6.6637221572902815E-8</v>
      </c>
      <c r="Q280" s="11">
        <v>-1.3977157224916366E-5</v>
      </c>
      <c r="R280" s="11">
        <v>7.9631479779618871E-4</v>
      </c>
      <c r="S280" s="1">
        <v>2.4780710484650557E-2</v>
      </c>
      <c r="U280" s="11">
        <f t="shared" si="469"/>
        <v>0.76533894174369221</v>
      </c>
      <c r="V280" s="3">
        <v>5.9845371625788625E-3</v>
      </c>
      <c r="W280" s="11">
        <v>0.76533894174369221</v>
      </c>
      <c r="AA280" s="7">
        <v>10</v>
      </c>
      <c r="AB280" s="7">
        <v>9.75</v>
      </c>
      <c r="AC280" s="11">
        <v>6.6637221572902815E-8</v>
      </c>
      <c r="AD280" s="11">
        <v>-1.3977157224916366E-5</v>
      </c>
      <c r="AE280" s="11">
        <v>7.9631479779618871E-4</v>
      </c>
      <c r="AF280" s="1">
        <v>2.4780710484650557E-2</v>
      </c>
      <c r="AH280" s="11">
        <f t="shared" si="470"/>
        <v>0.76533608425751798</v>
      </c>
      <c r="AI280" s="3">
        <v>5.9845148185803171E-3</v>
      </c>
      <c r="AJ280" s="11">
        <v>0.76533608425751798</v>
      </c>
      <c r="AK280" s="11"/>
      <c r="AN280" s="7">
        <v>10</v>
      </c>
      <c r="AO280" s="7">
        <v>9.75</v>
      </c>
      <c r="AP280" s="11">
        <v>6.6637221572902815E-8</v>
      </c>
      <c r="AQ280" s="11">
        <v>-1.3977157224916366E-5</v>
      </c>
      <c r="AR280" s="11">
        <v>7.9631479779618871E-4</v>
      </c>
      <c r="AS280" s="1">
        <v>2.4780710484650557E-2</v>
      </c>
      <c r="AU280" s="11">
        <f t="shared" si="471"/>
        <v>0.76533513647697371</v>
      </c>
      <c r="AV280" s="3">
        <v>5.9845074074483598E-3</v>
      </c>
      <c r="AW280" s="11">
        <v>0.76533513647697371</v>
      </c>
      <c r="AX280" s="11"/>
      <c r="BA280" s="7">
        <v>10</v>
      </c>
      <c r="BB280" s="7">
        <v>9.75</v>
      </c>
      <c r="BC280" s="11">
        <v>6.6637221572902815E-8</v>
      </c>
      <c r="BD280" s="11">
        <v>-1.3977157224916366E-5</v>
      </c>
      <c r="BE280" s="11">
        <v>7.9631479779618871E-4</v>
      </c>
      <c r="BF280" s="1">
        <v>2.4780710484650557E-2</v>
      </c>
      <c r="BH280" s="11">
        <f t="shared" si="472"/>
        <v>0.76533513999079616</v>
      </c>
      <c r="BI280" s="3">
        <v>5.984507434924553E-3</v>
      </c>
      <c r="BJ280" s="11">
        <v>0.76533513999079616</v>
      </c>
      <c r="BK280" s="11"/>
      <c r="BN280" s="7">
        <v>10</v>
      </c>
      <c r="BO280" s="7">
        <v>9.75</v>
      </c>
      <c r="BP280" s="11">
        <v>6.6637221572902815E-8</v>
      </c>
      <c r="BQ280" s="11">
        <v>-1.3977157224916366E-5</v>
      </c>
      <c r="BR280" s="11">
        <v>7.9631479779618871E-4</v>
      </c>
      <c r="BS280" s="1">
        <v>2.4780710484650557E-2</v>
      </c>
      <c r="BU280" s="11">
        <f t="shared" si="473"/>
        <v>0.76533609177059381</v>
      </c>
      <c r="BV280" s="3">
        <v>5.9845148773285117E-3</v>
      </c>
      <c r="BW280" s="11">
        <v>0.76533609177059381</v>
      </c>
      <c r="BX280" s="11"/>
      <c r="CA280" s="7">
        <v>10</v>
      </c>
      <c r="CB280" s="7">
        <v>9.75</v>
      </c>
      <c r="CC280" s="11">
        <v>6.6637221572902815E-8</v>
      </c>
      <c r="CD280" s="11">
        <v>-1.3977157224916366E-5</v>
      </c>
      <c r="CE280" s="11">
        <v>7.9631479779618871E-4</v>
      </c>
      <c r="CF280" s="1">
        <v>2.4780710484650557E-2</v>
      </c>
      <c r="CH280" s="11">
        <f t="shared" si="474"/>
        <v>0.7653316601818958</v>
      </c>
      <c r="CI280" s="3">
        <v>5.9844802246984078E-3</v>
      </c>
      <c r="CJ280" s="11">
        <v>0.7653316601818958</v>
      </c>
      <c r="CK280" s="11"/>
      <c r="CN280" s="7">
        <v>10</v>
      </c>
      <c r="CO280" s="7">
        <v>9.75</v>
      </c>
      <c r="CP280" s="11">
        <v>6.6432598629043692E-8</v>
      </c>
      <c r="CQ280" s="11">
        <v>-1.3934237562441914E-5</v>
      </c>
      <c r="CR280" s="11">
        <v>7.9386955361707211E-4</v>
      </c>
      <c r="CS280" s="1">
        <v>2.4800661221676824E-2</v>
      </c>
      <c r="CU280" s="11">
        <f t="shared" si="475"/>
        <v>0.76532206577561634</v>
      </c>
      <c r="CV280" s="3">
        <v>5.9844052016232701E-3</v>
      </c>
      <c r="CW280" s="11">
        <v>0.76532206577561634</v>
      </c>
      <c r="CX280" s="11"/>
      <c r="DA280" s="7">
        <v>10</v>
      </c>
      <c r="DB280" s="7">
        <v>9.75</v>
      </c>
      <c r="DC280" s="11">
        <v>6.6841844516762017E-8</v>
      </c>
      <c r="DD280" s="11">
        <v>-1.4020076887390836E-5</v>
      </c>
      <c r="DE280" s="11">
        <v>7.9876004197530618E-4</v>
      </c>
      <c r="DF280" s="1">
        <v>2.4770759747624289E-2</v>
      </c>
      <c r="DH280" s="11">
        <f t="shared" si="476"/>
        <v>0.76533081798275016</v>
      </c>
      <c r="DI280" s="3">
        <v>5.9863869662009203E-3</v>
      </c>
      <c r="DJ280" s="11">
        <v>0.76533081798275016</v>
      </c>
      <c r="DK280" s="11"/>
    </row>
    <row r="282" spans="1:115" x14ac:dyDescent="0.25">
      <c r="A282" s="23" t="s">
        <v>98</v>
      </c>
      <c r="B282" s="23"/>
      <c r="C282" s="24"/>
      <c r="D282" s="24"/>
      <c r="E282" s="24"/>
      <c r="F282" s="25"/>
      <c r="G282" s="5"/>
      <c r="H282" s="24"/>
      <c r="I282" s="26"/>
      <c r="J282" s="2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spans="1:115" s="22" customFormat="1" x14ac:dyDescent="0.25">
      <c r="F283" s="22" t="s">
        <v>4</v>
      </c>
    </row>
    <row r="284" spans="1:115" x14ac:dyDescent="0.25">
      <c r="A284" s="29" t="s">
        <v>56</v>
      </c>
      <c r="B284" s="29"/>
      <c r="C284" s="29"/>
      <c r="D284" s="29"/>
      <c r="F284" s="3">
        <f>M226</f>
        <v>1.0000000000000001E-5</v>
      </c>
      <c r="G284" s="3">
        <f>Z226</f>
        <v>1.0000000000000001E-5</v>
      </c>
      <c r="H284" s="3">
        <f>AM226</f>
        <v>1.0000000000000001E-5</v>
      </c>
      <c r="I284" s="3">
        <f>AZ226</f>
        <v>1.0000000000000001E-5</v>
      </c>
      <c r="J284" s="3">
        <f>BM226</f>
        <v>1.0000000000000001E-5</v>
      </c>
      <c r="K284" s="3">
        <f>BZ226</f>
        <v>1.0000000000000001E-5</v>
      </c>
      <c r="L284" s="3">
        <f>CM226</f>
        <v>1.0000000000000001E-5</v>
      </c>
      <c r="M284" s="3">
        <f>CZ226</f>
        <v>1.0000000000000001E-5</v>
      </c>
      <c r="AG284" t="s">
        <v>59</v>
      </c>
    </row>
    <row r="285" spans="1:115" x14ac:dyDescent="0.25">
      <c r="A285" t="s">
        <v>9</v>
      </c>
      <c r="B285" t="s">
        <v>10</v>
      </c>
      <c r="C285" t="s">
        <v>57</v>
      </c>
      <c r="D285" t="s">
        <v>30</v>
      </c>
      <c r="F285" t="s">
        <v>58</v>
      </c>
      <c r="O285" t="s">
        <v>45</v>
      </c>
      <c r="X285" t="s">
        <v>47</v>
      </c>
      <c r="AG285" t="s">
        <v>9</v>
      </c>
      <c r="AH285" t="s">
        <v>10</v>
      </c>
    </row>
    <row r="286" spans="1:115" x14ac:dyDescent="0.25">
      <c r="A286" s="7">
        <f>A227</f>
        <v>0</v>
      </c>
      <c r="B286" s="9">
        <f>B227</f>
        <v>2.53E-2</v>
      </c>
      <c r="C286" t="str">
        <f t="array" ref="C286:C293">TRANSPOSE(A236:H236)</f>
        <v>3M Fixing</v>
      </c>
      <c r="D286" s="9">
        <f t="array" ref="D286:D293">TRANSPOSE(A237:H237)</f>
        <v>2.53E-2</v>
      </c>
      <c r="F286" s="9">
        <f t="array" ref="F286:F293">TRANSPOSE(N237:U237)</f>
        <v>2.5309999999999999E-2</v>
      </c>
      <c r="G286" s="9">
        <f t="array" ref="G286:G293">TRANSPOSE(AA237:AH237)</f>
        <v>2.53E-2</v>
      </c>
      <c r="H286" s="9">
        <f t="array" ref="H286:H293">TRANSPOSE(AN237:AU237)</f>
        <v>2.53E-2</v>
      </c>
      <c r="I286" s="9">
        <f t="array" ref="I286:I293">TRANSPOSE(BA237:BH237)</f>
        <v>2.53E-2</v>
      </c>
      <c r="J286" s="9">
        <f t="array" ref="J286:J293">TRANSPOSE(BN237:BU237)</f>
        <v>2.53E-2</v>
      </c>
      <c r="K286" s="9">
        <f t="array" ref="K286:K293">TRANSPOSE(CA237:CH237)</f>
        <v>2.53E-2</v>
      </c>
      <c r="L286" s="9">
        <f t="array" ref="L286:L293">TRANSPOSE(CN237:CU237)</f>
        <v>2.53E-2</v>
      </c>
      <c r="M286" s="9">
        <f t="array" ref="M286:M293">TRANSPOSE(DA237:DH237)</f>
        <v>2.53E-2</v>
      </c>
      <c r="O286" s="11">
        <f t="array" ref="O286:O293">(F286:F293-$D286:$D293)/F284</f>
        <v>0.99999999999995914</v>
      </c>
      <c r="P286" s="11">
        <f t="array" ref="P286:P293">(G286:G293-$D286:$D293)/G284</f>
        <v>0</v>
      </c>
      <c r="Q286" s="11">
        <f t="array" ref="Q286:Q293">(H286:H293-$D286:$D293)/H284</f>
        <v>0</v>
      </c>
      <c r="R286" s="11">
        <f t="array" ref="R286:R293">(I286:I293-$D286:$D293)/I284</f>
        <v>0</v>
      </c>
      <c r="S286" s="11">
        <f t="array" ref="S286:S293">(J286:J293-$D286:$D293)/J284</f>
        <v>0</v>
      </c>
      <c r="T286" s="11">
        <f t="array" ref="T286:T293">(K286:K293-$D286:$D293)/K284</f>
        <v>0</v>
      </c>
      <c r="U286" s="11">
        <f t="array" ref="U286:U293">(L286:L293-$D286:$D293)/L284</f>
        <v>0</v>
      </c>
      <c r="V286" s="11">
        <f t="array" ref="V286:V293">(M286:M293-$D286:$D293)/M284</f>
        <v>0</v>
      </c>
      <c r="X286" s="20">
        <f t="array" ref="X286:AE293">MINVERSE(O286:V293)</f>
        <v>1.0000000000000409</v>
      </c>
      <c r="Y286" s="20">
        <v>0</v>
      </c>
      <c r="Z286" s="20">
        <v>0</v>
      </c>
      <c r="AA286" s="20">
        <v>0</v>
      </c>
      <c r="AB286" s="20">
        <v>0</v>
      </c>
      <c r="AC286" s="20">
        <v>0</v>
      </c>
      <c r="AD286" s="20">
        <v>0</v>
      </c>
      <c r="AE286" s="20">
        <v>0</v>
      </c>
      <c r="AG286" s="7">
        <f t="shared" ref="AG286:AG293" si="477">A286</f>
        <v>0</v>
      </c>
      <c r="AH286" s="9">
        <f t="array" ref="AH286:AH293">B286:B293 - MMULT(X286:AE293, D286:D293-$B$2:$B$9)</f>
        <v>2.53E-2</v>
      </c>
    </row>
    <row r="287" spans="1:115" x14ac:dyDescent="0.25">
      <c r="A287" s="7">
        <f t="shared" ref="A287:B287" si="478">A228</f>
        <v>0.75</v>
      </c>
      <c r="B287" s="9">
        <f t="shared" si="478"/>
        <v>2.0702506492346052E-2</v>
      </c>
      <c r="C287" t="str">
        <v>1Y Swap</v>
      </c>
      <c r="D287" s="9">
        <v>2.3199999999999998E-2</v>
      </c>
      <c r="F287" s="9">
        <v>2.3205084967956115E-2</v>
      </c>
      <c r="G287" s="9">
        <v>2.3205088548354312E-2</v>
      </c>
      <c r="H287" s="9">
        <v>2.3199999999999998E-2</v>
      </c>
      <c r="I287" s="9">
        <v>2.3199999999999998E-2</v>
      </c>
      <c r="J287" s="9">
        <v>2.3199999999999998E-2</v>
      </c>
      <c r="K287" s="9">
        <v>2.3199999999999998E-2</v>
      </c>
      <c r="L287" s="9">
        <v>2.3199999999999998E-2</v>
      </c>
      <c r="M287" s="9">
        <v>2.3199999999999998E-2</v>
      </c>
      <c r="O287" s="11">
        <v>0.50849679561169869</v>
      </c>
      <c r="P287" s="11">
        <v>0.508854835431366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X287" s="20">
        <v>-0.99929638121775333</v>
      </c>
      <c r="Y287" s="20">
        <v>1.9651970078112373</v>
      </c>
      <c r="Z287" s="20">
        <v>0</v>
      </c>
      <c r="AA287" s="20">
        <v>0</v>
      </c>
      <c r="AB287" s="20">
        <v>0</v>
      </c>
      <c r="AC287" s="20">
        <v>0</v>
      </c>
      <c r="AD287" s="20">
        <v>0</v>
      </c>
      <c r="AE287" s="20">
        <v>0</v>
      </c>
      <c r="AG287" s="7">
        <f t="shared" si="477"/>
        <v>0.75</v>
      </c>
      <c r="AH287" s="9">
        <v>2.0702506492346052E-2</v>
      </c>
    </row>
    <row r="288" spans="1:115" x14ac:dyDescent="0.25">
      <c r="A288" s="7">
        <f t="shared" ref="A288:B288" si="479">A229</f>
        <v>1.75</v>
      </c>
      <c r="B288" s="9">
        <f t="shared" si="479"/>
        <v>2.3715557373228249E-2</v>
      </c>
      <c r="C288" t="str">
        <v>2Y Swap</v>
      </c>
      <c r="D288" s="9">
        <v>2.2899999999999997E-2</v>
      </c>
      <c r="F288" s="9">
        <v>2.2902570884599793E-2</v>
      </c>
      <c r="G288" s="9">
        <v>2.2904655513535415E-2</v>
      </c>
      <c r="H288" s="9">
        <v>2.2903142842729013E-2</v>
      </c>
      <c r="I288" s="9">
        <v>2.2899803538862281E-2</v>
      </c>
      <c r="J288" s="9">
        <v>2.2899999999999993E-2</v>
      </c>
      <c r="K288" s="9">
        <v>2.2899999999999997E-2</v>
      </c>
      <c r="L288" s="9">
        <v>2.2899999999999997E-2</v>
      </c>
      <c r="M288" s="9">
        <v>2.2899999999999997E-2</v>
      </c>
      <c r="O288" s="11">
        <v>0.25708845997965413</v>
      </c>
      <c r="P288" s="11">
        <v>0.46555135354182925</v>
      </c>
      <c r="Q288" s="11">
        <v>0.31428427290161598</v>
      </c>
      <c r="R288" s="11">
        <v>-1.9646113771573659E-2</v>
      </c>
      <c r="S288" s="11">
        <v>-3.4694469519536137E-13</v>
      </c>
      <c r="T288" s="11">
        <v>0</v>
      </c>
      <c r="U288" s="11">
        <v>0</v>
      </c>
      <c r="V288" s="11">
        <v>0</v>
      </c>
      <c r="X288" s="20">
        <v>0.6349205415526844</v>
      </c>
      <c r="Y288" s="20">
        <v>-2.7992978035532761</v>
      </c>
      <c r="Z288" s="20">
        <v>2.8884332543890938</v>
      </c>
      <c r="AA288" s="20">
        <v>0.2494123372456668</v>
      </c>
      <c r="AB288" s="20">
        <v>1.9072513057002614E-2</v>
      </c>
      <c r="AC288" s="20">
        <v>1.4957325158854553E-3</v>
      </c>
      <c r="AD288" s="20">
        <v>3.3215324764971175E-5</v>
      </c>
      <c r="AE288" s="20">
        <v>1.732605449823342E-6</v>
      </c>
      <c r="AG288" s="7">
        <f t="shared" si="477"/>
        <v>1.75</v>
      </c>
      <c r="AH288" s="9">
        <v>2.3715557373228259E-2</v>
      </c>
    </row>
    <row r="289" spans="1:34" x14ac:dyDescent="0.25">
      <c r="A289" s="7">
        <f t="shared" ref="A289:B289" si="480">A230</f>
        <v>2.75</v>
      </c>
      <c r="B289" s="9">
        <f t="shared" si="480"/>
        <v>2.5342567379084399E-2</v>
      </c>
      <c r="C289" t="str">
        <v>3Y Swap</v>
      </c>
      <c r="D289" s="9">
        <v>2.3599999999999999E-2</v>
      </c>
      <c r="F289" s="9">
        <v>2.3601734351695759E-2</v>
      </c>
      <c r="G289" s="9">
        <v>2.3603010376650455E-2</v>
      </c>
      <c r="H289" s="9">
        <v>2.3603489427868933E-2</v>
      </c>
      <c r="I289" s="9">
        <v>2.3602065582238766E-2</v>
      </c>
      <c r="J289" s="9">
        <v>2.3599870696512742E-2</v>
      </c>
      <c r="K289" s="9">
        <v>2.3599999999999999E-2</v>
      </c>
      <c r="L289" s="9">
        <v>2.3599999999999999E-2</v>
      </c>
      <c r="M289" s="9">
        <v>2.3599999999999999E-2</v>
      </c>
      <c r="O289" s="11">
        <v>0.1734351695759084</v>
      </c>
      <c r="P289" s="11">
        <v>0.30103766504550877</v>
      </c>
      <c r="Q289" s="11">
        <v>0.34894278689336083</v>
      </c>
      <c r="R289" s="11">
        <v>0.20655822387666276</v>
      </c>
      <c r="S289" s="11">
        <v>-1.2930348725764816E-2</v>
      </c>
      <c r="T289" s="11">
        <v>0</v>
      </c>
      <c r="U289" s="11">
        <v>0</v>
      </c>
      <c r="V289" s="11">
        <v>0</v>
      </c>
      <c r="X289" s="20">
        <v>-0.43722551103508833</v>
      </c>
      <c r="Y289" s="20">
        <v>1.7878778748238573</v>
      </c>
      <c r="Z289" s="20">
        <v>-4.6935926307180047</v>
      </c>
      <c r="AA289" s="20">
        <v>3.9899175978380477</v>
      </c>
      <c r="AB289" s="20">
        <v>0.30510822477930416</v>
      </c>
      <c r="AC289" s="20">
        <v>2.3927643478473676E-2</v>
      </c>
      <c r="AD289" s="20">
        <v>5.3135466439161849E-4</v>
      </c>
      <c r="AE289" s="20">
        <v>2.7716964799479095E-5</v>
      </c>
      <c r="AG289" s="7">
        <f t="shared" si="477"/>
        <v>2.75</v>
      </c>
      <c r="AH289" s="9">
        <v>2.5342567379084382E-2</v>
      </c>
    </row>
    <row r="290" spans="1:34" x14ac:dyDescent="0.25">
      <c r="A290" s="7">
        <f t="shared" ref="A290:B290" si="481">A231</f>
        <v>3.75</v>
      </c>
      <c r="B290" s="9">
        <f t="shared" si="481"/>
        <v>2.6130748416070004E-2</v>
      </c>
      <c r="C290" t="str">
        <v>4Y Swap</v>
      </c>
      <c r="D290" s="9">
        <v>2.4200000000000006E-2</v>
      </c>
      <c r="F290" s="9">
        <v>2.4201316782713696E-2</v>
      </c>
      <c r="G290" s="9">
        <v>2.4202285067196475E-2</v>
      </c>
      <c r="H290" s="9">
        <v>2.4202551363666239E-2</v>
      </c>
      <c r="I290" s="9">
        <v>2.4202580819093607E-2</v>
      </c>
      <c r="J290" s="9">
        <v>2.420152891017005E-2</v>
      </c>
      <c r="K290" s="9">
        <v>2.4199904292809101E-2</v>
      </c>
      <c r="L290" s="9">
        <v>2.4200000000000006E-2</v>
      </c>
      <c r="M290" s="9">
        <v>2.4200000000000006E-2</v>
      </c>
      <c r="O290" s="11">
        <v>0.13167827136902066</v>
      </c>
      <c r="P290" s="11">
        <v>0.22850671964683153</v>
      </c>
      <c r="Q290" s="11">
        <v>0.25513636662324868</v>
      </c>
      <c r="R290" s="11">
        <v>0.25808190936005282</v>
      </c>
      <c r="S290" s="11">
        <v>0.15289101700441399</v>
      </c>
      <c r="T290" s="11">
        <v>-9.5707190905097717E-3</v>
      </c>
      <c r="U290" s="11">
        <v>0</v>
      </c>
      <c r="V290" s="11">
        <v>0</v>
      </c>
      <c r="X290" s="20">
        <v>0.29757422630768393</v>
      </c>
      <c r="Y290" s="20">
        <v>-1.2293233798680867</v>
      </c>
      <c r="Z290" s="20">
        <v>2.9695867415992594</v>
      </c>
      <c r="AA290" s="20">
        <v>-6.8690391431797062</v>
      </c>
      <c r="AB290" s="20">
        <v>5.3887045382547329</v>
      </c>
      <c r="AC290" s="20">
        <v>0.42260086923405171</v>
      </c>
      <c r="AD290" s="20">
        <v>9.3845824493950427E-3</v>
      </c>
      <c r="AE290" s="20">
        <v>4.8952641020947934E-4</v>
      </c>
      <c r="AG290" s="7">
        <f t="shared" si="477"/>
        <v>3.75</v>
      </c>
      <c r="AH290" s="9">
        <v>2.6130748416069972E-2</v>
      </c>
    </row>
    <row r="291" spans="1:34" x14ac:dyDescent="0.25">
      <c r="A291" s="7">
        <f t="shared" ref="A291:B291" si="482">A232</f>
        <v>4.75</v>
      </c>
      <c r="B291" s="9">
        <f t="shared" si="482"/>
        <v>2.7619182445221647E-2</v>
      </c>
      <c r="C291" t="str">
        <v>5Y Swap</v>
      </c>
      <c r="D291" s="9">
        <v>2.4800000000000006E-2</v>
      </c>
      <c r="F291" s="9">
        <v>2.4801066780725661E-2</v>
      </c>
      <c r="G291" s="9">
        <v>2.480185080703122E-2</v>
      </c>
      <c r="H291" s="9">
        <v>2.4802065304107775E-2</v>
      </c>
      <c r="I291" s="9">
        <v>2.4802012222565787E-2</v>
      </c>
      <c r="J291" s="9">
        <v>2.4802036570097587E-2</v>
      </c>
      <c r="K291" s="9">
        <v>2.4801168150966463E-2</v>
      </c>
      <c r="L291" s="9">
        <v>2.4799962253778684E-2</v>
      </c>
      <c r="M291" s="9">
        <v>2.4800000000000006E-2</v>
      </c>
      <c r="O291" s="11">
        <v>0.10667807256552196</v>
      </c>
      <c r="P291" s="11">
        <v>0.18508070312138467</v>
      </c>
      <c r="Q291" s="11">
        <v>0.20653041077692277</v>
      </c>
      <c r="R291" s="11">
        <v>0.20122225657809298</v>
      </c>
      <c r="S291" s="11">
        <v>0.2036570097580653</v>
      </c>
      <c r="T291" s="11">
        <v>0.11681509664573929</v>
      </c>
      <c r="U291" s="11">
        <v>-3.7746221322187963E-3</v>
      </c>
      <c r="V291" s="11">
        <v>0</v>
      </c>
      <c r="X291" s="20">
        <v>-0.21105156123065164</v>
      </c>
      <c r="Y291" s="20">
        <v>0.86978677388462555</v>
      </c>
      <c r="Z291" s="20">
        <v>-2.1277236262878847</v>
      </c>
      <c r="AA291" s="20">
        <v>4.5080550900401359</v>
      </c>
      <c r="AB291" s="20">
        <v>-9.6655723607460651</v>
      </c>
      <c r="AC291" s="20">
        <v>7.4360958341853705</v>
      </c>
      <c r="AD291" s="20">
        <v>0.16513135570208778</v>
      </c>
      <c r="AE291" s="20">
        <v>8.6137193855772894E-3</v>
      </c>
      <c r="AG291" s="7">
        <f t="shared" si="477"/>
        <v>4.75</v>
      </c>
      <c r="AH291" s="9">
        <v>2.7619182445221654E-2</v>
      </c>
    </row>
    <row r="292" spans="1:34" x14ac:dyDescent="0.25">
      <c r="A292" s="7">
        <f t="shared" ref="A292:B292" si="483">A233</f>
        <v>6.75</v>
      </c>
      <c r="B292" s="9">
        <f t="shared" si="483"/>
        <v>2.802125358078273E-2</v>
      </c>
      <c r="C292" t="str">
        <v>7Y Swap</v>
      </c>
      <c r="D292" s="9">
        <v>2.5700000000000004E-2</v>
      </c>
      <c r="F292" s="9">
        <v>2.5700781949076917E-2</v>
      </c>
      <c r="G292" s="9">
        <v>2.570135617603396E-2</v>
      </c>
      <c r="H292" s="9">
        <v>2.5701512037587731E-2</v>
      </c>
      <c r="I292" s="9">
        <v>2.570147174399838E-2</v>
      </c>
      <c r="J292" s="9">
        <v>2.57012636545591E-2</v>
      </c>
      <c r="K292" s="9">
        <v>2.5702275450983521E-2</v>
      </c>
      <c r="L292" s="9">
        <v>2.5701564866490941E-2</v>
      </c>
      <c r="M292" s="9">
        <v>2.5699925880549229E-2</v>
      </c>
      <c r="O292" s="11">
        <v>7.8194907691259141E-2</v>
      </c>
      <c r="P292" s="11">
        <v>0.13561760339557416</v>
      </c>
      <c r="Q292" s="11">
        <v>0.15120375877267223</v>
      </c>
      <c r="R292" s="11">
        <v>0.14717439983762126</v>
      </c>
      <c r="S292" s="11">
        <v>0.12636545590957726</v>
      </c>
      <c r="T292" s="11">
        <v>0.22754509835173906</v>
      </c>
      <c r="U292" s="11">
        <v>0.15648664909370669</v>
      </c>
      <c r="V292" s="11">
        <v>-7.4119450774873244E-3</v>
      </c>
      <c r="X292" s="20">
        <v>0.21924329275699558</v>
      </c>
      <c r="Y292" s="20">
        <v>-0.90482125532275348</v>
      </c>
      <c r="Z292" s="20">
        <v>2.2044381129845743</v>
      </c>
      <c r="AA292" s="20">
        <v>-4.7548138842126662</v>
      </c>
      <c r="AB292" s="20">
        <v>8.9270664824847117</v>
      </c>
      <c r="AC292" s="20">
        <v>-10.640118941767948</v>
      </c>
      <c r="AD292" s="20">
        <v>5.6468835522362184</v>
      </c>
      <c r="AE292" s="20">
        <v>0.29455744558740815</v>
      </c>
      <c r="AG292" s="7">
        <f t="shared" si="477"/>
        <v>6.75</v>
      </c>
      <c r="AH292" s="9">
        <v>2.8021253580782734E-2</v>
      </c>
    </row>
    <row r="293" spans="1:34" x14ac:dyDescent="0.25">
      <c r="A293" s="7">
        <f t="shared" ref="A293:B293" si="484">A234</f>
        <v>9.75</v>
      </c>
      <c r="B293" s="9">
        <f t="shared" si="484"/>
        <v>3.1277839588008581E-2</v>
      </c>
      <c r="C293" t="str">
        <v>10Y Swap</v>
      </c>
      <c r="D293" s="9">
        <v>2.6899999999999993E-2</v>
      </c>
      <c r="F293" s="9">
        <v>2.690056969969034E-2</v>
      </c>
      <c r="G293" s="9">
        <v>2.6900987610280626E-2</v>
      </c>
      <c r="H293" s="9">
        <v>2.6901099839412284E-2</v>
      </c>
      <c r="I293" s="9">
        <v>2.6901069137324943E-2</v>
      </c>
      <c r="J293" s="9">
        <v>2.6900917108631513E-2</v>
      </c>
      <c r="K293" s="9">
        <v>2.6901474900583474E-2</v>
      </c>
      <c r="L293" s="9">
        <v>2.6902586106302254E-2</v>
      </c>
      <c r="M293" s="9">
        <v>2.6901420924555632E-2</v>
      </c>
      <c r="O293" s="11">
        <v>5.6969969034620364E-2</v>
      </c>
      <c r="P293" s="11">
        <v>9.8761028063248921E-2</v>
      </c>
      <c r="Q293" s="11">
        <v>0.10998394122906095</v>
      </c>
      <c r="R293" s="11">
        <v>0.10691373249493984</v>
      </c>
      <c r="S293" s="11">
        <v>9.1710863152003039E-2</v>
      </c>
      <c r="T293" s="11">
        <v>0.14749005834806261</v>
      </c>
      <c r="U293" s="11">
        <v>0.25861063022609987</v>
      </c>
      <c r="V293" s="11">
        <v>0.14209245556388861</v>
      </c>
      <c r="X293" s="20">
        <v>-0.24086790061566751</v>
      </c>
      <c r="Y293" s="20">
        <v>0.99300157899949215</v>
      </c>
      <c r="Z293" s="20">
        <v>-2.4243945686443173</v>
      </c>
      <c r="AA293" s="20">
        <v>5.2128684684252651</v>
      </c>
      <c r="AB293" s="20">
        <v>-9.9370450443979497</v>
      </c>
      <c r="AC293" s="20">
        <v>11.354704650751813</v>
      </c>
      <c r="AD293" s="20">
        <v>-10.455308637384743</v>
      </c>
      <c r="AE293" s="20">
        <v>6.4922928029542142</v>
      </c>
      <c r="AG293" s="7">
        <f t="shared" si="477"/>
        <v>9.75</v>
      </c>
      <c r="AH293" s="9">
        <v>3.1277839588008644E-2</v>
      </c>
    </row>
    <row r="295" spans="1:34" x14ac:dyDescent="0.25">
      <c r="A295" s="27" t="s">
        <v>99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spans="1:34" x14ac:dyDescent="0.25">
      <c r="A296" s="29" t="s">
        <v>60</v>
      </c>
      <c r="B296" s="29"/>
      <c r="C296" s="29" t="s">
        <v>61</v>
      </c>
      <c r="D296" s="29"/>
      <c r="E296" t="s">
        <v>62</v>
      </c>
      <c r="F296" s="29" t="s">
        <v>42</v>
      </c>
      <c r="G296" s="29"/>
      <c r="H296" s="29" t="s">
        <v>41</v>
      </c>
      <c r="I296" s="29"/>
      <c r="J296" s="29"/>
      <c r="K296" s="29"/>
    </row>
    <row r="297" spans="1:34" x14ac:dyDescent="0.25">
      <c r="A297" t="s">
        <v>9</v>
      </c>
      <c r="B297" t="s">
        <v>10</v>
      </c>
      <c r="C297" t="s">
        <v>9</v>
      </c>
      <c r="D297" t="s">
        <v>10</v>
      </c>
      <c r="F297" t="s">
        <v>43</v>
      </c>
      <c r="G297" t="s">
        <v>44</v>
      </c>
      <c r="H297" t="s">
        <v>33</v>
      </c>
      <c r="I297" t="s">
        <v>34</v>
      </c>
      <c r="J297" t="s">
        <v>35</v>
      </c>
      <c r="K297" t="s">
        <v>36</v>
      </c>
    </row>
    <row r="298" spans="1:34" x14ac:dyDescent="0.25">
      <c r="A298" s="7">
        <f t="shared" ref="A298:A305" si="485">A144</f>
        <v>0</v>
      </c>
      <c r="B298" s="9">
        <f>AH286</f>
        <v>2.53E-2</v>
      </c>
      <c r="C298" s="7">
        <f>A299</f>
        <v>0.75</v>
      </c>
      <c r="D298" s="9">
        <f>B299</f>
        <v>2.0702506492346052E-2</v>
      </c>
      <c r="E298" s="11">
        <f>(D298-B298)/(C298-A298)</f>
        <v>-6.1299913435385973E-3</v>
      </c>
      <c r="F298" s="15">
        <v>0</v>
      </c>
      <c r="G298" s="11">
        <f t="shared" ref="G298:G304" si="486">IF($F$5, (E298*E299&gt;=0) * AVERAGE(E298:E299), AVERAGE(E298:E299))</f>
        <v>0</v>
      </c>
      <c r="H298" s="11">
        <f t="shared" ref="H298:H305" si="487">(F298+G298-2*(D298-B298)/(C298-A298))/(C298-A298)^2</f>
        <v>2.1795524777026124E-2</v>
      </c>
      <c r="I298" s="11">
        <f t="shared" ref="I298:I305" si="488">((D298-B298)/(C298-A298) - F298 - H298*(C298^2 + A298*C298 - 2*A298^2))/(C298-A298)</f>
        <v>-2.4519965374154389E-2</v>
      </c>
      <c r="J298" s="15">
        <f t="shared" ref="J298:J305" si="489">F298-2*I298*A298 - 3*H298*A298^2</f>
        <v>0</v>
      </c>
      <c r="K298" s="11">
        <f t="shared" ref="K298:K305" si="490">B298 -H298*A298^3 - I298*A298^2 - J298*A298</f>
        <v>2.53E-2</v>
      </c>
    </row>
    <row r="299" spans="1:34" x14ac:dyDescent="0.25">
      <c r="A299" s="7">
        <f t="shared" si="485"/>
        <v>0.75</v>
      </c>
      <c r="B299" s="9">
        <f t="shared" ref="B299:B305" si="491">AH287</f>
        <v>2.0702506492346052E-2</v>
      </c>
      <c r="C299" s="7">
        <f t="shared" ref="C299:C304" si="492">A300</f>
        <v>1.75</v>
      </c>
      <c r="D299" s="9">
        <f t="shared" ref="D299:D304" si="493">B300</f>
        <v>2.3715557373228259E-2</v>
      </c>
      <c r="E299" s="11">
        <f t="shared" ref="E299:E305" si="494">(D299-B299)/(C299-A299)</f>
        <v>3.0130508808822072E-3</v>
      </c>
      <c r="F299" s="15">
        <f>G298</f>
        <v>0</v>
      </c>
      <c r="G299" s="11">
        <f t="shared" si="486"/>
        <v>2.320030443369165E-3</v>
      </c>
      <c r="H299" s="11">
        <f t="shared" si="487"/>
        <v>-3.7060713183952494E-3</v>
      </c>
      <c r="I299" s="11">
        <f t="shared" si="488"/>
        <v>1.5057782665666767E-2</v>
      </c>
      <c r="J299" s="15">
        <f t="shared" si="489"/>
        <v>-1.6332678648708167E-2</v>
      </c>
      <c r="K299" s="11">
        <f t="shared" si="490"/>
        <v>2.6045511566887617E-2</v>
      </c>
    </row>
    <row r="300" spans="1:34" x14ac:dyDescent="0.25">
      <c r="A300" s="7">
        <f t="shared" si="485"/>
        <v>1.75</v>
      </c>
      <c r="B300" s="9">
        <f t="shared" si="491"/>
        <v>2.3715557373228259E-2</v>
      </c>
      <c r="C300" s="7">
        <f t="shared" si="492"/>
        <v>2.75</v>
      </c>
      <c r="D300" s="9">
        <f t="shared" si="493"/>
        <v>2.5342567379084382E-2</v>
      </c>
      <c r="E300" s="11">
        <f t="shared" si="494"/>
        <v>1.6270100058561228E-3</v>
      </c>
      <c r="F300" s="15">
        <f t="shared" ref="F300:F305" si="495">G299</f>
        <v>2.320030443369165E-3</v>
      </c>
      <c r="G300" s="11">
        <f t="shared" si="486"/>
        <v>1.2075955214208567E-3</v>
      </c>
      <c r="H300" s="11">
        <f t="shared" si="487"/>
        <v>2.736059530777761E-4</v>
      </c>
      <c r="I300" s="11">
        <f t="shared" si="488"/>
        <v>-2.4030576442491429E-3</v>
      </c>
      <c r="J300" s="15">
        <f t="shared" si="489"/>
        <v>8.2169775043390968E-3</v>
      </c>
      <c r="K300" s="11">
        <f t="shared" si="490"/>
        <v>1.5228853871371632E-2</v>
      </c>
    </row>
    <row r="301" spans="1:34" x14ac:dyDescent="0.25">
      <c r="A301" s="7">
        <f t="shared" si="485"/>
        <v>2.75</v>
      </c>
      <c r="B301" s="9">
        <f t="shared" si="491"/>
        <v>2.5342567379084382E-2</v>
      </c>
      <c r="C301" s="7">
        <f t="shared" si="492"/>
        <v>3.75</v>
      </c>
      <c r="D301" s="9">
        <f t="shared" si="493"/>
        <v>2.6130748416069972E-2</v>
      </c>
      <c r="E301" s="11">
        <f t="shared" si="494"/>
        <v>7.8818103698559058E-4</v>
      </c>
      <c r="F301" s="15">
        <f t="shared" si="495"/>
        <v>1.2075955214208567E-3</v>
      </c>
      <c r="G301" s="11">
        <f t="shared" si="486"/>
        <v>1.138307533068636E-3</v>
      </c>
      <c r="H301" s="11">
        <f t="shared" si="487"/>
        <v>7.6954098051831149E-4</v>
      </c>
      <c r="I301" s="11">
        <f t="shared" si="488"/>
        <v>-7.5376685542296474E-3</v>
      </c>
      <c r="J301" s="15">
        <f t="shared" si="489"/>
        <v>2.5205811574174723E-2</v>
      </c>
      <c r="K301" s="11">
        <f t="shared" si="490"/>
        <v>-2.9738435877511571E-3</v>
      </c>
    </row>
    <row r="302" spans="1:34" x14ac:dyDescent="0.25">
      <c r="A302" s="7">
        <f t="shared" si="485"/>
        <v>3.75</v>
      </c>
      <c r="B302" s="9">
        <f t="shared" si="491"/>
        <v>2.6130748416069972E-2</v>
      </c>
      <c r="C302" s="7">
        <f t="shared" si="492"/>
        <v>4.75</v>
      </c>
      <c r="D302" s="9">
        <f t="shared" si="493"/>
        <v>2.7619182445221654E-2</v>
      </c>
      <c r="E302" s="11">
        <f t="shared" si="494"/>
        <v>1.4884340291516814E-3</v>
      </c>
      <c r="F302" s="15">
        <f t="shared" si="495"/>
        <v>1.138307533068636E-3</v>
      </c>
      <c r="G302" s="11">
        <f t="shared" si="486"/>
        <v>8.447347984661107E-4</v>
      </c>
      <c r="H302" s="11">
        <f t="shared" si="487"/>
        <v>-9.9382572676861604E-4</v>
      </c>
      <c r="I302" s="11">
        <f t="shared" si="488"/>
        <v>1.2524491648998591E-2</v>
      </c>
      <c r="J302" s="15">
        <f t="shared" si="489"/>
        <v>-5.0868356986369802E-2</v>
      </c>
      <c r="K302" s="11">
        <f t="shared" si="490"/>
        <v>9.3170201860977769E-2</v>
      </c>
    </row>
    <row r="303" spans="1:34" x14ac:dyDescent="0.25">
      <c r="A303" s="7">
        <f t="shared" si="485"/>
        <v>4.75</v>
      </c>
      <c r="B303" s="9">
        <f t="shared" si="491"/>
        <v>2.7619182445221654E-2</v>
      </c>
      <c r="C303" s="7">
        <f t="shared" si="492"/>
        <v>6.75</v>
      </c>
      <c r="D303" s="9">
        <f t="shared" si="493"/>
        <v>2.8021253580782734E-2</v>
      </c>
      <c r="E303" s="11">
        <f t="shared" si="494"/>
        <v>2.0103556778054005E-4</v>
      </c>
      <c r="F303" s="15">
        <f t="shared" si="495"/>
        <v>8.447347984661107E-4</v>
      </c>
      <c r="G303" s="11">
        <f t="shared" si="486"/>
        <v>6.4328211842792167E-4</v>
      </c>
      <c r="H303" s="11">
        <f t="shared" si="487"/>
        <v>2.714864453332381E-4</v>
      </c>
      <c r="I303" s="11">
        <f t="shared" si="488"/>
        <v>-4.7335043520079041E-3</v>
      </c>
      <c r="J303" s="15">
        <f t="shared" si="489"/>
        <v>2.7436787374047648E-2</v>
      </c>
      <c r="K303" s="11">
        <f t="shared" si="490"/>
        <v>-2.5001577022774474E-2</v>
      </c>
    </row>
    <row r="304" spans="1:34" x14ac:dyDescent="0.25">
      <c r="A304" s="7">
        <f t="shared" si="485"/>
        <v>6.75</v>
      </c>
      <c r="B304" s="9">
        <f t="shared" si="491"/>
        <v>2.8021253580782734E-2</v>
      </c>
      <c r="C304" s="7">
        <f t="shared" si="492"/>
        <v>9.75</v>
      </c>
      <c r="D304" s="9">
        <f t="shared" si="493"/>
        <v>3.1277839588008644E-2</v>
      </c>
      <c r="E304" s="11">
        <f t="shared" si="494"/>
        <v>1.0855286690753033E-3</v>
      </c>
      <c r="F304" s="15">
        <f t="shared" si="495"/>
        <v>6.4328211842792167E-4</v>
      </c>
      <c r="G304" s="11">
        <f t="shared" si="486"/>
        <v>5.4276433453765165E-4</v>
      </c>
      <c r="H304" s="11">
        <f t="shared" si="487"/>
        <v>-1.0944565390944813E-4</v>
      </c>
      <c r="I304" s="11">
        <f t="shared" si="488"/>
        <v>2.6920269702771296E-3</v>
      </c>
      <c r="J304" s="15">
        <f t="shared" si="489"/>
        <v>-2.0739229161565641E-2</v>
      </c>
      <c r="K304" s="11">
        <f t="shared" si="490"/>
        <v>7.9015240430281408E-2</v>
      </c>
    </row>
    <row r="305" spans="1:11" x14ac:dyDescent="0.25">
      <c r="A305" s="7">
        <f t="shared" si="485"/>
        <v>9.75</v>
      </c>
      <c r="B305" s="9">
        <f t="shared" si="491"/>
        <v>3.1277839588008644E-2</v>
      </c>
      <c r="C305">
        <v>100</v>
      </c>
      <c r="D305" s="9">
        <f>B305</f>
        <v>3.1277839588008644E-2</v>
      </c>
      <c r="E305" s="11">
        <f t="shared" si="494"/>
        <v>0</v>
      </c>
      <c r="F305" s="15">
        <f t="shared" si="495"/>
        <v>5.4276433453765165E-4</v>
      </c>
      <c r="G305" s="11">
        <v>0</v>
      </c>
      <c r="H305" s="11">
        <f t="shared" si="487"/>
        <v>6.6637221572904032E-8</v>
      </c>
      <c r="I305" s="11">
        <f t="shared" si="488"/>
        <v>-1.3977157224916621E-5</v>
      </c>
      <c r="J305" s="15">
        <f t="shared" si="489"/>
        <v>7.9631479779620324E-4</v>
      </c>
      <c r="K305" s="11">
        <f t="shared" si="490"/>
        <v>2.4780710484650505E-2</v>
      </c>
    </row>
    <row r="307" spans="1:11" x14ac:dyDescent="0.25">
      <c r="A307" t="str">
        <f t="array" ref="A307:H307">TRANSPOSE($A$2:$A$9)</f>
        <v>3M Fixing</v>
      </c>
      <c r="B307" t="str">
        <v>1Y Swap</v>
      </c>
      <c r="C307" t="str">
        <v>2Y Swap</v>
      </c>
      <c r="D307" t="str">
        <v>3Y Swap</v>
      </c>
      <c r="E307" t="str">
        <v>4Y Swap</v>
      </c>
      <c r="F307" t="str">
        <v>5Y Swap</v>
      </c>
      <c r="G307" t="str">
        <v>7Y Swap</v>
      </c>
      <c r="H307" t="str">
        <v>10Y Swap</v>
      </c>
    </row>
    <row r="308" spans="1:11" x14ac:dyDescent="0.25">
      <c r="A308" s="9">
        <f>G311</f>
        <v>2.53E-2</v>
      </c>
      <c r="B308" s="9">
        <f>SUM(I312:I315)/SUM(J312:J315)*$F$6</f>
        <v>2.3199999999999998E-2</v>
      </c>
      <c r="C308" s="9">
        <f>SUM(I312:I319)/SUM(J312:J319)*$F$6</f>
        <v>2.29E-2</v>
      </c>
      <c r="D308" s="9">
        <f>SUM(I312:I323)/SUM(J312:J323)*$F$6</f>
        <v>2.3599999999999996E-2</v>
      </c>
      <c r="E308" s="9">
        <f>SUM(I312:I327)/SUM(J312:J327)*$F$6</f>
        <v>2.4199999999999989E-2</v>
      </c>
      <c r="F308" s="9">
        <f>SUM(I312:I331)/SUM(J312:J331)*$F$6</f>
        <v>2.4799999999999992E-2</v>
      </c>
      <c r="G308" s="9">
        <f>SUM(I312:I339)/SUM(J312:J339)*$F$6</f>
        <v>2.5699999999999994E-2</v>
      </c>
      <c r="H308" s="9">
        <f>SUM(I312:I351)/SUM(J312:J351)*$F$6</f>
        <v>2.6900000000000004E-2</v>
      </c>
    </row>
    <row r="310" spans="1:11" x14ac:dyDescent="0.25">
      <c r="A310" t="s">
        <v>9</v>
      </c>
      <c r="B310" t="s">
        <v>18</v>
      </c>
      <c r="C310" t="s">
        <v>33</v>
      </c>
      <c r="D310" t="s">
        <v>34</v>
      </c>
      <c r="E310" t="s">
        <v>35</v>
      </c>
      <c r="F310" t="s">
        <v>36</v>
      </c>
      <c r="G310" t="s">
        <v>10</v>
      </c>
      <c r="H310" t="s">
        <v>19</v>
      </c>
      <c r="I310" t="s">
        <v>20</v>
      </c>
      <c r="J310" t="s">
        <v>21</v>
      </c>
    </row>
    <row r="311" spans="1:11" x14ac:dyDescent="0.25">
      <c r="A311" s="7">
        <v>0</v>
      </c>
      <c r="B311" s="7">
        <f t="array" ref="B311:B351">INDEX(A298:A306, MATCH(A311:A351, A298:A306, 1))</f>
        <v>0</v>
      </c>
      <c r="C311" s="11">
        <f t="array" ref="C311:C351">VLOOKUP(B311:B351, A298:K305, COLUMN(H298)-COLUMN(A298) + 1, FALSE)</f>
        <v>2.1795524777026124E-2</v>
      </c>
      <c r="D311" s="11">
        <f t="array" ref="D311:D351">VLOOKUP(B311:B351, A298:K305, COLUMN(I298)-COLUMN(A298) + 1, FALSE)</f>
        <v>-2.4519965374154389E-2</v>
      </c>
      <c r="E311" s="11">
        <f t="array" ref="E311:E351">VLOOKUP(B311:B351, A298:K305, COLUMN(J298)-COLUMN(A298) + 1, FALSE)</f>
        <v>0</v>
      </c>
      <c r="F311" s="1">
        <f t="array" ref="F311:F351">VLOOKUP(B311:B351, A298:K305, COLUMN(K298)-COLUMN(A298) + 1, FALSE)</f>
        <v>2.53E-2</v>
      </c>
      <c r="G311" s="3">
        <f t="shared" ref="G311:G350" si="496">C311*A311^3 + D311*A311^2 + E311*A311 + F311</f>
        <v>2.53E-2</v>
      </c>
      <c r="H311" s="11">
        <v>1</v>
      </c>
    </row>
    <row r="312" spans="1:11" x14ac:dyDescent="0.25">
      <c r="A312" s="7">
        <v>0.25</v>
      </c>
      <c r="B312" s="7">
        <v>0</v>
      </c>
      <c r="C312" s="11">
        <v>2.1795524777026124E-2</v>
      </c>
      <c r="D312" s="11">
        <v>-2.4519965374154389E-2</v>
      </c>
      <c r="E312" s="11">
        <v>0</v>
      </c>
      <c r="F312" s="1">
        <v>2.53E-2</v>
      </c>
      <c r="G312" s="3">
        <f t="shared" si="496"/>
        <v>2.4108057238756385E-2</v>
      </c>
      <c r="H312" s="11">
        <f t="shared" ref="H312:H351" si="497">H311 / (1 + G311*(A312-A311))</f>
        <v>0.99371475417981281</v>
      </c>
      <c r="I312" s="3">
        <f t="array" ref="I312:I351">G311:G350 * H312:H351 * (A312:A351-A311:A350)</f>
        <v>6.2852458201873157E-3</v>
      </c>
      <c r="J312" s="11">
        <f t="array" ref="J312:J351">(ROUND(A312:A351*$F$6, 0)=A312:A351*$F$6) * H312:H351</f>
        <v>0</v>
      </c>
    </row>
    <row r="313" spans="1:11" x14ac:dyDescent="0.25">
      <c r="A313" s="7">
        <v>0.5</v>
      </c>
      <c r="B313" s="7">
        <v>0</v>
      </c>
      <c r="C313" s="11">
        <v>2.1795524777026124E-2</v>
      </c>
      <c r="D313" s="11">
        <v>-2.4519965374154389E-2</v>
      </c>
      <c r="E313" s="11">
        <v>0</v>
      </c>
      <c r="F313" s="1">
        <v>2.53E-2</v>
      </c>
      <c r="G313" s="3">
        <f t="shared" si="496"/>
        <v>2.1894449253589666E-2</v>
      </c>
      <c r="H313" s="11">
        <f t="shared" si="497"/>
        <v>0.98776150147585795</v>
      </c>
      <c r="I313" s="3">
        <v>5.9532527039549829E-3</v>
      </c>
      <c r="J313" s="11">
        <v>0</v>
      </c>
    </row>
    <row r="314" spans="1:11" x14ac:dyDescent="0.25">
      <c r="A314" s="7">
        <v>0.75</v>
      </c>
      <c r="B314" s="7">
        <v>0.75</v>
      </c>
      <c r="C314" s="11">
        <v>-3.7060713183952494E-3</v>
      </c>
      <c r="D314" s="11">
        <v>1.5057782665666767E-2</v>
      </c>
      <c r="E314" s="11">
        <v>-1.6332678648708167E-2</v>
      </c>
      <c r="F314" s="1">
        <v>2.6045511566887617E-2</v>
      </c>
      <c r="G314" s="3">
        <f t="shared" si="496"/>
        <v>2.0702506492346052E-2</v>
      </c>
      <c r="H314" s="11">
        <f t="shared" si="497"/>
        <v>0.98238431061677756</v>
      </c>
      <c r="I314" s="3">
        <v>5.3771908590804262E-3</v>
      </c>
      <c r="J314" s="11">
        <v>0</v>
      </c>
    </row>
    <row r="315" spans="1:11" x14ac:dyDescent="0.25">
      <c r="A315" s="7">
        <v>1</v>
      </c>
      <c r="B315" s="7">
        <v>0.75</v>
      </c>
      <c r="C315" s="11">
        <v>-3.7060713183952494E-3</v>
      </c>
      <c r="D315" s="11">
        <v>1.5057782665666767E-2</v>
      </c>
      <c r="E315" s="11">
        <v>-1.6332678648708167E-2</v>
      </c>
      <c r="F315" s="1">
        <v>2.6045511566887617E-2</v>
      </c>
      <c r="G315" s="3">
        <f t="shared" si="496"/>
        <v>2.1064544265450968E-2</v>
      </c>
      <c r="H315" s="11">
        <f t="shared" si="497"/>
        <v>0.97732603596559842</v>
      </c>
      <c r="I315" s="3">
        <v>5.0582746511791581E-3</v>
      </c>
      <c r="J315" s="11">
        <v>0.97732603596559842</v>
      </c>
    </row>
    <row r="316" spans="1:11" x14ac:dyDescent="0.25">
      <c r="A316" s="7">
        <v>1.25</v>
      </c>
      <c r="B316" s="7">
        <v>0.75</v>
      </c>
      <c r="C316" s="11">
        <v>-3.7060713183952494E-3</v>
      </c>
      <c r="D316" s="11">
        <v>1.5057782665666767E-2</v>
      </c>
      <c r="E316" s="11">
        <v>-1.6332678648708167E-2</v>
      </c>
      <c r="F316" s="1">
        <v>2.6045511566887617E-2</v>
      </c>
      <c r="G316" s="3">
        <f t="shared" si="496"/>
        <v>2.1919028127366014E-2</v>
      </c>
      <c r="H316" s="11">
        <f t="shared" si="497"/>
        <v>0.97220626548697353</v>
      </c>
      <c r="I316" s="3">
        <v>5.1197704786247822E-3</v>
      </c>
      <c r="J316" s="11">
        <v>0</v>
      </c>
    </row>
    <row r="317" spans="1:11" x14ac:dyDescent="0.25">
      <c r="A317" s="7">
        <v>1.5</v>
      </c>
      <c r="B317" s="7">
        <v>0.75</v>
      </c>
      <c r="C317" s="11">
        <v>-3.7060713183952494E-3</v>
      </c>
      <c r="D317" s="11">
        <v>1.5057782665666767E-2</v>
      </c>
      <c r="E317" s="11">
        <v>-1.6332678648708167E-2</v>
      </c>
      <c r="F317" s="1">
        <v>2.6045511566887617E-2</v>
      </c>
      <c r="G317" s="3">
        <f t="shared" si="496"/>
        <v>2.2918513891991624E-2</v>
      </c>
      <c r="H317" s="11">
        <f t="shared" si="497"/>
        <v>0.96690784542188035</v>
      </c>
      <c r="I317" s="3">
        <v>5.2984200650932666E-3</v>
      </c>
      <c r="J317" s="11">
        <v>0</v>
      </c>
    </row>
    <row r="318" spans="1:11" x14ac:dyDescent="0.25">
      <c r="A318" s="7">
        <v>1.75</v>
      </c>
      <c r="B318" s="7">
        <v>1.75</v>
      </c>
      <c r="C318" s="11">
        <v>2.736059530777761E-4</v>
      </c>
      <c r="D318" s="11">
        <v>-2.4030576442491429E-3</v>
      </c>
      <c r="E318" s="11">
        <v>8.2169775043390968E-3</v>
      </c>
      <c r="F318" s="1">
        <v>1.5228853871371632E-2</v>
      </c>
      <c r="G318" s="3">
        <f t="shared" si="496"/>
        <v>2.3715557373228259E-2</v>
      </c>
      <c r="H318" s="11">
        <f t="shared" si="497"/>
        <v>0.96139938413660853</v>
      </c>
      <c r="I318" s="3">
        <v>5.5084612852717638E-3</v>
      </c>
      <c r="J318" s="11">
        <v>0</v>
      </c>
    </row>
    <row r="319" spans="1:11" x14ac:dyDescent="0.25">
      <c r="A319" s="7">
        <v>2</v>
      </c>
      <c r="B319" s="7">
        <v>1.75</v>
      </c>
      <c r="C319" s="11">
        <v>2.736059530777761E-4</v>
      </c>
      <c r="D319" s="11">
        <v>-2.4030576442491429E-3</v>
      </c>
      <c r="E319" s="11">
        <v>8.2169775043390968E-3</v>
      </c>
      <c r="F319" s="1">
        <v>1.5228853871371632E-2</v>
      </c>
      <c r="G319" s="3">
        <f t="shared" si="496"/>
        <v>2.4239425927675463E-2</v>
      </c>
      <c r="H319" s="11">
        <f t="shared" si="497"/>
        <v>0.95573294923881902</v>
      </c>
      <c r="I319" s="3">
        <v>5.6664348977894657E-3</v>
      </c>
      <c r="J319" s="11">
        <v>0.95573294923881902</v>
      </c>
    </row>
    <row r="320" spans="1:11" x14ac:dyDescent="0.25">
      <c r="A320" s="7">
        <v>2.25</v>
      </c>
      <c r="B320" s="7">
        <v>1.75</v>
      </c>
      <c r="C320" s="11">
        <v>2.736059530777761E-4</v>
      </c>
      <c r="D320" s="11">
        <v>-2.4030576442491429E-3</v>
      </c>
      <c r="E320" s="11">
        <v>8.2169775043390968E-3</v>
      </c>
      <c r="F320" s="1">
        <v>1.5228853871371632E-2</v>
      </c>
      <c r="G320" s="3">
        <f t="shared" si="496"/>
        <v>2.4668116741399855E-2</v>
      </c>
      <c r="H320" s="11">
        <f t="shared" si="497"/>
        <v>0.94997622962605088</v>
      </c>
      <c r="I320" s="3">
        <v>5.7567196127682688E-3</v>
      </c>
      <c r="J320" s="11">
        <v>0</v>
      </c>
    </row>
    <row r="321" spans="1:10" x14ac:dyDescent="0.25">
      <c r="A321" s="7">
        <v>2.5</v>
      </c>
      <c r="B321" s="7">
        <v>1.75</v>
      </c>
      <c r="C321" s="11">
        <v>2.736059530777761E-4</v>
      </c>
      <c r="D321" s="11">
        <v>-2.4030576442491429E-3</v>
      </c>
      <c r="E321" s="11">
        <v>8.2169775043390968E-3</v>
      </c>
      <c r="F321" s="1">
        <v>1.5228853871371632E-2</v>
      </c>
      <c r="G321" s="3">
        <f t="shared" si="496"/>
        <v>2.5027280372502486E-2</v>
      </c>
      <c r="H321" s="11">
        <f t="shared" si="497"/>
        <v>0.94415360677759996</v>
      </c>
      <c r="I321" s="3">
        <v>5.8226228484508924E-3</v>
      </c>
      <c r="J321" s="11">
        <v>0</v>
      </c>
    </row>
    <row r="322" spans="1:10" x14ac:dyDescent="0.25">
      <c r="A322" s="7">
        <v>2.75</v>
      </c>
      <c r="B322" s="7">
        <v>2.75</v>
      </c>
      <c r="C322" s="11">
        <v>7.6954098051831149E-4</v>
      </c>
      <c r="D322" s="11">
        <v>-7.5376685542296474E-3</v>
      </c>
      <c r="E322" s="11">
        <v>2.5205811574174723E-2</v>
      </c>
      <c r="F322" s="1">
        <v>-2.9738435877511571E-3</v>
      </c>
      <c r="G322" s="3">
        <f t="shared" si="496"/>
        <v>2.5342567379084385E-2</v>
      </c>
      <c r="H322" s="11">
        <f t="shared" si="497"/>
        <v>0.9382829392303863</v>
      </c>
      <c r="I322" s="3">
        <v>5.8706675472136472E-3</v>
      </c>
      <c r="J322" s="11">
        <v>0</v>
      </c>
    </row>
    <row r="323" spans="1:10" x14ac:dyDescent="0.25">
      <c r="A323" s="7">
        <v>3</v>
      </c>
      <c r="B323" s="7">
        <v>2.75</v>
      </c>
      <c r="C323" s="11">
        <v>7.6954098051831149E-4</v>
      </c>
      <c r="D323" s="11">
        <v>-7.5376685542296474E-3</v>
      </c>
      <c r="E323" s="11">
        <v>2.5205811574174723E-2</v>
      </c>
      <c r="F323" s="1">
        <v>-2.9738435877511571E-3</v>
      </c>
      <c r="G323" s="3">
        <f t="shared" si="496"/>
        <v>2.5582180620700591E-2</v>
      </c>
      <c r="H323" s="11">
        <f t="shared" si="497"/>
        <v>0.93237574047398986</v>
      </c>
      <c r="I323" s="3">
        <v>5.9071987563964461E-3</v>
      </c>
      <c r="J323" s="11">
        <v>0.93237574047398986</v>
      </c>
    </row>
    <row r="324" spans="1:10" x14ac:dyDescent="0.25">
      <c r="A324" s="7">
        <v>3.25</v>
      </c>
      <c r="B324" s="7">
        <v>2.75</v>
      </c>
      <c r="C324" s="11">
        <v>7.6954098051831149E-4</v>
      </c>
      <c r="D324" s="11">
        <v>-7.5376685542296474E-3</v>
      </c>
      <c r="E324" s="11">
        <v>2.5205811574174723E-2</v>
      </c>
      <c r="F324" s="1">
        <v>-2.9738435877511571E-3</v>
      </c>
      <c r="G324" s="3">
        <f t="shared" si="496"/>
        <v>2.5745318896121194E-2</v>
      </c>
      <c r="H324" s="11">
        <f t="shared" si="497"/>
        <v>0.92645058393042445</v>
      </c>
      <c r="I324" s="3">
        <v>5.9251565435654132E-3</v>
      </c>
      <c r="J324" s="11">
        <v>0</v>
      </c>
    </row>
    <row r="325" spans="1:10" x14ac:dyDescent="0.25">
      <c r="A325" s="7">
        <v>3.5</v>
      </c>
      <c r="B325" s="7">
        <v>2.75</v>
      </c>
      <c r="C325" s="11">
        <v>7.6954098051831149E-4</v>
      </c>
      <c r="D325" s="11">
        <v>-7.5376685542296474E-3</v>
      </c>
      <c r="E325" s="11">
        <v>2.5205811574174723E-2</v>
      </c>
      <c r="F325" s="1">
        <v>-2.9738435877511571E-3</v>
      </c>
      <c r="G325" s="3">
        <f t="shared" si="496"/>
        <v>2.5904126672269802E-2</v>
      </c>
      <c r="H325" s="11">
        <f t="shared" si="497"/>
        <v>0.9205257765133158</v>
      </c>
      <c r="I325" s="3">
        <v>5.9248074171087258E-3</v>
      </c>
      <c r="J325" s="11">
        <v>0</v>
      </c>
    </row>
    <row r="326" spans="1:10" x14ac:dyDescent="0.25">
      <c r="A326" s="7">
        <v>3.75</v>
      </c>
      <c r="B326" s="7">
        <v>3.75</v>
      </c>
      <c r="C326" s="11">
        <v>-9.9382572676861604E-4</v>
      </c>
      <c r="D326" s="11">
        <v>1.2524491648998591E-2</v>
      </c>
      <c r="E326" s="11">
        <v>-5.0868356986369802E-2</v>
      </c>
      <c r="F326" s="1">
        <v>9.3170201860977769E-2</v>
      </c>
      <c r="G326" s="3">
        <f t="shared" si="496"/>
        <v>2.6130748416069965E-2</v>
      </c>
      <c r="H326" s="11">
        <f t="shared" si="497"/>
        <v>0.9146027799466786</v>
      </c>
      <c r="I326" s="3">
        <v>5.9229965666372161E-3</v>
      </c>
      <c r="J326" s="11">
        <v>0</v>
      </c>
    </row>
    <row r="327" spans="1:10" x14ac:dyDescent="0.25">
      <c r="A327" s="7">
        <v>4</v>
      </c>
      <c r="B327" s="7">
        <v>3.75</v>
      </c>
      <c r="C327" s="11">
        <v>-9.9382572676861604E-4</v>
      </c>
      <c r="D327" s="11">
        <v>1.2524491648998591E-2</v>
      </c>
      <c r="E327" s="11">
        <v>-5.0868356986369802E-2</v>
      </c>
      <c r="F327" s="1">
        <v>9.3170201860977769E-2</v>
      </c>
      <c r="G327" s="3">
        <f t="shared" si="496"/>
        <v>2.6483793786284598E-2</v>
      </c>
      <c r="H327" s="11">
        <f t="shared" si="497"/>
        <v>0.90866674442353346</v>
      </c>
      <c r="I327" s="3">
        <v>5.9360355231451748E-3</v>
      </c>
      <c r="J327" s="11">
        <v>0.90866674442353346</v>
      </c>
    </row>
    <row r="328" spans="1:10" x14ac:dyDescent="0.25">
      <c r="A328" s="7">
        <v>4.25</v>
      </c>
      <c r="B328" s="7">
        <v>3.75</v>
      </c>
      <c r="C328" s="11">
        <v>-9.9382572676861604E-4</v>
      </c>
      <c r="D328" s="11">
        <v>1.2524491648998591E-2</v>
      </c>
      <c r="E328" s="11">
        <v>-5.0868356986369802E-2</v>
      </c>
      <c r="F328" s="1">
        <v>9.3170201860977769E-2</v>
      </c>
      <c r="G328" s="3">
        <f t="shared" si="496"/>
        <v>2.6911662022471139E-2</v>
      </c>
      <c r="H328" s="11">
        <f t="shared" si="497"/>
        <v>0.9026900799410128</v>
      </c>
      <c r="I328" s="3">
        <v>5.9766644825206359E-3</v>
      </c>
      <c r="J328" s="11">
        <v>0</v>
      </c>
    </row>
    <row r="329" spans="1:10" x14ac:dyDescent="0.25">
      <c r="A329" s="7">
        <v>4.5</v>
      </c>
      <c r="B329" s="7">
        <v>3.75</v>
      </c>
      <c r="C329" s="11">
        <v>-9.9382572676861604E-4</v>
      </c>
      <c r="D329" s="11">
        <v>1.2524491648998591E-2</v>
      </c>
      <c r="E329" s="11">
        <v>-5.0868356986369802E-2</v>
      </c>
      <c r="F329" s="1">
        <v>9.3170201860977769E-2</v>
      </c>
      <c r="G329" s="3">
        <f t="shared" si="496"/>
        <v>2.7321181962745023E-2</v>
      </c>
      <c r="H329" s="11">
        <f t="shared" si="497"/>
        <v>0.89665744441748885</v>
      </c>
      <c r="I329" s="3">
        <v>6.0326355235240398E-3</v>
      </c>
      <c r="J329" s="11">
        <v>0</v>
      </c>
    </row>
    <row r="330" spans="1:10" x14ac:dyDescent="0.25">
      <c r="A330" s="7">
        <v>4.75</v>
      </c>
      <c r="B330" s="7">
        <v>4.75</v>
      </c>
      <c r="C330" s="11">
        <v>2.714864453332381E-4</v>
      </c>
      <c r="D330" s="11">
        <v>-4.7335043520079041E-3</v>
      </c>
      <c r="E330" s="11">
        <v>2.7436787374047648E-2</v>
      </c>
      <c r="F330" s="1">
        <v>-2.5001577022774474E-2</v>
      </c>
      <c r="G330" s="3">
        <f t="shared" si="496"/>
        <v>2.7619182445221657E-2</v>
      </c>
      <c r="H330" s="11">
        <f t="shared" si="497"/>
        <v>0.89057455703644295</v>
      </c>
      <c r="I330" s="3">
        <v>6.0828873810459261E-3</v>
      </c>
      <c r="J330" s="11">
        <v>0</v>
      </c>
    </row>
    <row r="331" spans="1:10" x14ac:dyDescent="0.25">
      <c r="A331" s="7">
        <v>5</v>
      </c>
      <c r="B331" s="7">
        <v>4.75</v>
      </c>
      <c r="C331" s="11">
        <v>2.714864453332381E-4</v>
      </c>
      <c r="D331" s="11">
        <v>-4.7335043520079041E-3</v>
      </c>
      <c r="E331" s="11">
        <v>2.7436787374047648E-2</v>
      </c>
      <c r="F331" s="1">
        <v>-2.5001577022774474E-2</v>
      </c>
      <c r="G331" s="3">
        <f t="shared" si="496"/>
        <v>2.7780556713920934E-2</v>
      </c>
      <c r="H331" s="11">
        <f t="shared" si="497"/>
        <v>0.88446748979456724</v>
      </c>
      <c r="I331" s="3">
        <v>6.1070672418758439E-3</v>
      </c>
      <c r="J331" s="11">
        <v>0.88446748979456724</v>
      </c>
    </row>
    <row r="332" spans="1:10" x14ac:dyDescent="0.25">
      <c r="A332" s="7">
        <v>5.25</v>
      </c>
      <c r="B332" s="7">
        <v>4.75</v>
      </c>
      <c r="C332" s="11">
        <v>2.714864453332381E-4</v>
      </c>
      <c r="D332" s="11">
        <v>-4.7335043520079041E-3</v>
      </c>
      <c r="E332" s="11">
        <v>2.7436787374047648E-2</v>
      </c>
      <c r="F332" s="1">
        <v>-2.5001577022774474E-2</v>
      </c>
      <c r="G332" s="3">
        <f t="shared" si="496"/>
        <v>2.7859280023619037E-2</v>
      </c>
      <c r="H332" s="11">
        <f t="shared" si="497"/>
        <v>0.87836710797984796</v>
      </c>
      <c r="I332" s="3">
        <v>6.1003818147192202E-3</v>
      </c>
      <c r="J332" s="11">
        <v>0</v>
      </c>
    </row>
    <row r="333" spans="1:10" x14ac:dyDescent="0.25">
      <c r="A333" s="7">
        <v>5.5</v>
      </c>
      <c r="B333" s="7">
        <v>4.75</v>
      </c>
      <c r="C333" s="11">
        <v>2.714864453332381E-4</v>
      </c>
      <c r="D333" s="11">
        <v>-4.7335043520079041E-3</v>
      </c>
      <c r="E333" s="11">
        <v>2.7436787374047648E-2</v>
      </c>
      <c r="F333" s="1">
        <v>-2.5001577022774474E-2</v>
      </c>
      <c r="G333" s="3">
        <f t="shared" si="496"/>
        <v>2.7880804228565981E-2</v>
      </c>
      <c r="H333" s="11">
        <f t="shared" si="497"/>
        <v>0.87229175292806882</v>
      </c>
      <c r="I333" s="3">
        <v>6.0753550517791454E-3</v>
      </c>
      <c r="J333" s="11">
        <v>0</v>
      </c>
    </row>
    <row r="334" spans="1:10" x14ac:dyDescent="0.25">
      <c r="A334" s="7">
        <v>5.75</v>
      </c>
      <c r="B334" s="7">
        <v>4.75</v>
      </c>
      <c r="C334" s="11">
        <v>2.714864453332381E-4</v>
      </c>
      <c r="D334" s="11">
        <v>-4.7335043520079041E-3</v>
      </c>
      <c r="E334" s="11">
        <v>2.7436787374047648E-2</v>
      </c>
      <c r="F334" s="1">
        <v>-2.5001577022774474E-2</v>
      </c>
      <c r="G334" s="3">
        <f t="shared" si="496"/>
        <v>2.787058118301175E-2</v>
      </c>
      <c r="H334" s="11">
        <f t="shared" si="497"/>
        <v>0.86625378984632906</v>
      </c>
      <c r="I334" s="3">
        <v>6.0379630817397091E-3</v>
      </c>
      <c r="J334" s="11">
        <v>0</v>
      </c>
    </row>
    <row r="335" spans="1:10" x14ac:dyDescent="0.25">
      <c r="A335" s="7">
        <v>6</v>
      </c>
      <c r="B335" s="7">
        <v>4.75</v>
      </c>
      <c r="C335" s="11">
        <v>2.714864453332381E-4</v>
      </c>
      <c r="D335" s="11">
        <v>-4.7335043520079041E-3</v>
      </c>
      <c r="E335" s="11">
        <v>2.7436787374047648E-2</v>
      </c>
      <c r="F335" s="1">
        <v>-2.5001577022774474E-2</v>
      </c>
      <c r="G335" s="3">
        <f t="shared" si="496"/>
        <v>2.7854062741206304E-2</v>
      </c>
      <c r="H335" s="11">
        <f t="shared" si="497"/>
        <v>0.860259804665228</v>
      </c>
      <c r="I335" s="3">
        <v>5.9939851811010164E-3</v>
      </c>
      <c r="J335" s="11">
        <v>0.860259804665228</v>
      </c>
    </row>
    <row r="336" spans="1:10" x14ac:dyDescent="0.25">
      <c r="A336" s="7">
        <v>6.25</v>
      </c>
      <c r="B336" s="7">
        <v>4.75</v>
      </c>
      <c r="C336" s="11">
        <v>2.714864453332381E-4</v>
      </c>
      <c r="D336" s="11">
        <v>-4.7335043520079041E-3</v>
      </c>
      <c r="E336" s="11">
        <v>2.7436787374047648E-2</v>
      </c>
      <c r="F336" s="1">
        <v>-2.5001577022774474E-2</v>
      </c>
      <c r="G336" s="3">
        <f t="shared" si="496"/>
        <v>2.7856700757399669E-2</v>
      </c>
      <c r="H336" s="11">
        <f t="shared" si="497"/>
        <v>0.85431079802307175</v>
      </c>
      <c r="I336" s="3">
        <v>5.9490066421561665E-3</v>
      </c>
      <c r="J336" s="11">
        <v>0</v>
      </c>
    </row>
    <row r="337" spans="1:10" x14ac:dyDescent="0.25">
      <c r="A337" s="7">
        <v>6.5</v>
      </c>
      <c r="B337" s="7">
        <v>4.75</v>
      </c>
      <c r="C337" s="11">
        <v>2.714864453332381E-4</v>
      </c>
      <c r="D337" s="11">
        <v>-4.7335043520079041E-3</v>
      </c>
      <c r="E337" s="11">
        <v>2.7436787374047648E-2</v>
      </c>
      <c r="F337" s="1">
        <v>-2.5001577022774474E-2</v>
      </c>
      <c r="G337" s="3">
        <f t="shared" si="496"/>
        <v>2.7903947085841818E-2</v>
      </c>
      <c r="H337" s="11">
        <f t="shared" si="497"/>
        <v>0.8484023752507649</v>
      </c>
      <c r="I337" s="3">
        <v>5.9084227723069154E-3</v>
      </c>
      <c r="J337" s="11">
        <v>0</v>
      </c>
    </row>
    <row r="338" spans="1:10" x14ac:dyDescent="0.25">
      <c r="A338" s="7">
        <v>6.75</v>
      </c>
      <c r="B338" s="7">
        <v>6.75</v>
      </c>
      <c r="C338" s="11">
        <v>-1.0944565390944813E-4</v>
      </c>
      <c r="D338" s="11">
        <v>2.6920269702771296E-3</v>
      </c>
      <c r="E338" s="11">
        <v>-2.0739229161565641E-2</v>
      </c>
      <c r="F338" s="1">
        <v>7.9015240430281408E-2</v>
      </c>
      <c r="G338" s="3">
        <f t="shared" si="496"/>
        <v>2.8021253580782723E-2</v>
      </c>
      <c r="H338" s="11">
        <f t="shared" si="497"/>
        <v>0.84252493246724769</v>
      </c>
      <c r="I338" s="3">
        <v>5.8774427835171323E-3</v>
      </c>
      <c r="J338" s="11">
        <v>0</v>
      </c>
    </row>
    <row r="339" spans="1:10" x14ac:dyDescent="0.25">
      <c r="A339" s="7">
        <v>7</v>
      </c>
      <c r="B339" s="7">
        <v>6.75</v>
      </c>
      <c r="C339" s="11">
        <v>-1.0944565390944813E-4</v>
      </c>
      <c r="D339" s="11">
        <v>2.6920269702771296E-3</v>
      </c>
      <c r="E339" s="11">
        <v>-2.0739229161565641E-2</v>
      </c>
      <c r="F339" s="1">
        <v>7.9015240430281408E-2</v>
      </c>
      <c r="G339" s="3">
        <f t="shared" si="496"/>
        <v>2.8210098551960563E-2</v>
      </c>
      <c r="H339" s="11">
        <f t="shared" si="497"/>
        <v>0.8366638400611911</v>
      </c>
      <c r="I339" s="3">
        <v>5.8610924060565183E-3</v>
      </c>
      <c r="J339" s="11">
        <v>0.8366638400611911</v>
      </c>
    </row>
    <row r="340" spans="1:10" x14ac:dyDescent="0.25">
      <c r="A340" s="7">
        <v>7.25</v>
      </c>
      <c r="B340" s="7">
        <v>6.75</v>
      </c>
      <c r="C340" s="11">
        <v>-1.0944565390944813E-4</v>
      </c>
      <c r="D340" s="11">
        <v>2.6920269702771296E-3</v>
      </c>
      <c r="E340" s="11">
        <v>-2.0739229161565641E-2</v>
      </c>
      <c r="F340" s="1">
        <v>7.9015240430281408E-2</v>
      </c>
      <c r="G340" s="3">
        <f t="shared" si="496"/>
        <v>2.8448152052910708E-2</v>
      </c>
      <c r="H340" s="11">
        <f t="shared" si="497"/>
        <v>0.83080457035937672</v>
      </c>
      <c r="I340" s="3">
        <v>5.8592697018143179E-3</v>
      </c>
      <c r="J340" s="11">
        <v>0</v>
      </c>
    </row>
    <row r="341" spans="1:10" x14ac:dyDescent="0.25">
      <c r="A341" s="7">
        <v>7.5</v>
      </c>
      <c r="B341" s="7">
        <v>6.75</v>
      </c>
      <c r="C341" s="11">
        <v>-1.0944565390944813E-4</v>
      </c>
      <c r="D341" s="11">
        <v>2.6920269702771296E-3</v>
      </c>
      <c r="E341" s="11">
        <v>-2.0739229161565641E-2</v>
      </c>
      <c r="F341" s="1">
        <v>7.9015240430281408E-2</v>
      </c>
      <c r="G341" s="3">
        <f t="shared" si="496"/>
        <v>2.8725153553579214E-2</v>
      </c>
      <c r="H341" s="11">
        <f t="shared" si="497"/>
        <v>0.82493758291117225</v>
      </c>
      <c r="I341" s="3">
        <v>5.8669874482044151E-3</v>
      </c>
      <c r="J341" s="11">
        <v>0</v>
      </c>
    </row>
    <row r="342" spans="1:10" x14ac:dyDescent="0.25">
      <c r="A342" s="7">
        <v>7.75</v>
      </c>
      <c r="B342" s="7">
        <v>6.75</v>
      </c>
      <c r="C342" s="11">
        <v>-1.0944565390944813E-4</v>
      </c>
      <c r="D342" s="11">
        <v>2.6920269702771296E-3</v>
      </c>
      <c r="E342" s="11">
        <v>-2.0739229161565641E-2</v>
      </c>
      <c r="F342" s="1">
        <v>7.9015240430281408E-2</v>
      </c>
      <c r="G342" s="3">
        <f t="shared" si="496"/>
        <v>2.9030842523912026E-2</v>
      </c>
      <c r="H342" s="11">
        <f t="shared" si="497"/>
        <v>0.81905570766824576</v>
      </c>
      <c r="I342" s="3">
        <v>5.8818752429264619E-3</v>
      </c>
      <c r="J342" s="11">
        <v>0</v>
      </c>
    </row>
    <row r="343" spans="1:10" x14ac:dyDescent="0.25">
      <c r="A343" s="7">
        <v>8</v>
      </c>
      <c r="B343" s="7">
        <v>6.75</v>
      </c>
      <c r="C343" s="11">
        <v>-1.0944565390944813E-4</v>
      </c>
      <c r="D343" s="11">
        <v>2.6920269702771296E-3</v>
      </c>
      <c r="E343" s="11">
        <v>-2.0739229161565641E-2</v>
      </c>
      <c r="F343" s="1">
        <v>7.9015240430281408E-2</v>
      </c>
      <c r="G343" s="3">
        <f t="shared" si="496"/>
        <v>2.9354958433855133E-2</v>
      </c>
      <c r="H343" s="11">
        <f t="shared" si="497"/>
        <v>0.81315407072452539</v>
      </c>
      <c r="I343" s="3">
        <v>5.90163694372043E-3</v>
      </c>
      <c r="J343" s="11">
        <v>0.81315407072452539</v>
      </c>
    </row>
    <row r="344" spans="1:10" x14ac:dyDescent="0.25">
      <c r="A344" s="7">
        <v>8.25</v>
      </c>
      <c r="B344" s="7">
        <v>6.75</v>
      </c>
      <c r="C344" s="11">
        <v>-1.0944565390944813E-4</v>
      </c>
      <c r="D344" s="11">
        <v>2.6920269702771296E-3</v>
      </c>
      <c r="E344" s="11">
        <v>-2.0739229161565641E-2</v>
      </c>
      <c r="F344" s="1">
        <v>7.9015240430281408E-2</v>
      </c>
      <c r="G344" s="3">
        <f t="shared" si="496"/>
        <v>2.9687240753354549E-2</v>
      </c>
      <c r="H344" s="11">
        <f t="shared" si="497"/>
        <v>0.80723001980504105</v>
      </c>
      <c r="I344" s="3">
        <v>5.9240509194842588E-3</v>
      </c>
      <c r="J344" s="11">
        <v>0</v>
      </c>
    </row>
    <row r="345" spans="1:10" x14ac:dyDescent="0.25">
      <c r="A345" s="7">
        <v>8.5</v>
      </c>
      <c r="B345" s="7">
        <v>6.75</v>
      </c>
      <c r="C345" s="11">
        <v>-1.0944565390944813E-4</v>
      </c>
      <c r="D345" s="11">
        <v>2.6920269702771296E-3</v>
      </c>
      <c r="E345" s="11">
        <v>-2.0739229161565641E-2</v>
      </c>
      <c r="F345" s="1">
        <v>7.9015240430281408E-2</v>
      </c>
      <c r="G345" s="3">
        <f t="shared" si="496"/>
        <v>3.0017428952356262E-2</v>
      </c>
      <c r="H345" s="11">
        <f t="shared" si="497"/>
        <v>0.80128304910743253</v>
      </c>
      <c r="I345" s="3">
        <v>5.9469706976085918E-3</v>
      </c>
      <c r="J345" s="11">
        <v>0</v>
      </c>
    </row>
    <row r="346" spans="1:10" x14ac:dyDescent="0.25">
      <c r="A346" s="7">
        <v>8.75</v>
      </c>
      <c r="B346" s="7">
        <v>6.75</v>
      </c>
      <c r="C346" s="11">
        <v>-1.0944565390944813E-4</v>
      </c>
      <c r="D346" s="11">
        <v>2.6920269702771296E-3</v>
      </c>
      <c r="E346" s="11">
        <v>-2.0739229161565641E-2</v>
      </c>
      <c r="F346" s="1">
        <v>7.9015240430281408E-2</v>
      </c>
      <c r="G346" s="3">
        <f t="shared" si="496"/>
        <v>3.0335262500806204E-2</v>
      </c>
      <c r="H346" s="11">
        <f t="shared" si="497"/>
        <v>0.79531472330702468</v>
      </c>
      <c r="I346" s="3">
        <v>5.9683258004078728E-3</v>
      </c>
      <c r="J346" s="11">
        <v>0</v>
      </c>
    </row>
    <row r="347" spans="1:10" x14ac:dyDescent="0.25">
      <c r="A347" s="7">
        <v>9</v>
      </c>
      <c r="B347" s="7">
        <v>6.75</v>
      </c>
      <c r="C347" s="11">
        <v>-1.0944565390944813E-4</v>
      </c>
      <c r="D347" s="11">
        <v>2.6920269702771296E-3</v>
      </c>
      <c r="E347" s="11">
        <v>-2.0739229161565641E-2</v>
      </c>
      <c r="F347" s="1">
        <v>7.9015240430281408E-2</v>
      </c>
      <c r="G347" s="3">
        <f t="shared" si="496"/>
        <v>3.0630480868650417E-2</v>
      </c>
      <c r="H347" s="11">
        <f t="shared" si="497"/>
        <v>0.78932860073137967</v>
      </c>
      <c r="I347" s="3">
        <v>5.9861225756451131E-3</v>
      </c>
      <c r="J347" s="11">
        <v>0.78932860073137967</v>
      </c>
    </row>
    <row r="348" spans="1:10" x14ac:dyDescent="0.25">
      <c r="A348" s="7">
        <v>9.25</v>
      </c>
      <c r="B348" s="7">
        <v>6.75</v>
      </c>
      <c r="C348" s="11">
        <v>-1.0944565390944813E-4</v>
      </c>
      <c r="D348" s="11">
        <v>2.6920269702771296E-3</v>
      </c>
      <c r="E348" s="11">
        <v>-2.0739229161565641E-2</v>
      </c>
      <c r="F348" s="1">
        <v>7.9015240430281408E-2</v>
      </c>
      <c r="G348" s="3">
        <f t="shared" si="496"/>
        <v>3.0892823525834973E-2</v>
      </c>
      <c r="H348" s="11">
        <f t="shared" si="497"/>
        <v>0.78333015589290111</v>
      </c>
      <c r="I348" s="3">
        <v>5.9984448384786141E-3</v>
      </c>
      <c r="J348" s="11">
        <v>0</v>
      </c>
    </row>
    <row r="349" spans="1:10" x14ac:dyDescent="0.25">
      <c r="A349" s="7">
        <v>9.5</v>
      </c>
      <c r="B349" s="7">
        <v>6.75</v>
      </c>
      <c r="C349" s="11">
        <v>-1.0944565390944813E-4</v>
      </c>
      <c r="D349" s="11">
        <v>2.6920269702771296E-3</v>
      </c>
      <c r="E349" s="11">
        <v>-2.0739229161565641E-2</v>
      </c>
      <c r="F349" s="1">
        <v>7.9015240430281408E-2</v>
      </c>
      <c r="G349" s="3">
        <f t="shared" si="496"/>
        <v>3.1112029942305663E-2</v>
      </c>
      <c r="H349" s="11">
        <f t="shared" si="497"/>
        <v>0.7773267017382216</v>
      </c>
      <c r="I349" s="3">
        <v>6.0034541546795592E-3</v>
      </c>
      <c r="J349" s="11">
        <v>0</v>
      </c>
    </row>
    <row r="350" spans="1:10" x14ac:dyDescent="0.25">
      <c r="A350" s="7">
        <v>9.75</v>
      </c>
      <c r="B350" s="7">
        <v>9.75</v>
      </c>
      <c r="C350" s="11">
        <v>6.6637221572904032E-8</v>
      </c>
      <c r="D350" s="11">
        <v>-1.3977157224916621E-5</v>
      </c>
      <c r="E350" s="11">
        <v>7.9631479779620324E-4</v>
      </c>
      <c r="F350" s="1">
        <v>2.4780710484650505E-2</v>
      </c>
      <c r="G350" s="3">
        <f t="shared" si="496"/>
        <v>3.127783958800865E-2</v>
      </c>
      <c r="H350" s="11">
        <f t="shared" si="497"/>
        <v>0.77132731213063987</v>
      </c>
      <c r="I350" s="3">
        <v>5.9993896075816533E-3</v>
      </c>
      <c r="J350" s="11">
        <v>0</v>
      </c>
    </row>
    <row r="351" spans="1:10" x14ac:dyDescent="0.25">
      <c r="A351" s="7">
        <v>10</v>
      </c>
      <c r="B351" s="7">
        <v>9.75</v>
      </c>
      <c r="C351" s="11">
        <v>6.6637221572904032E-8</v>
      </c>
      <c r="D351" s="11">
        <v>-1.3977157224916621E-5</v>
      </c>
      <c r="E351" s="11">
        <v>7.9631479779620324E-4</v>
      </c>
      <c r="F351" s="1">
        <v>2.4780710484650505E-2</v>
      </c>
      <c r="H351" s="11">
        <f t="shared" si="497"/>
        <v>0.76534274522687684</v>
      </c>
      <c r="I351" s="3">
        <v>5.9845669037631071E-3</v>
      </c>
      <c r="J351" s="11">
        <v>0.76534274522687684</v>
      </c>
    </row>
  </sheetData>
  <mergeCells count="44">
    <mergeCell ref="DF12:DG12"/>
    <mergeCell ref="DH12:DK12"/>
    <mergeCell ref="A142:D142"/>
    <mergeCell ref="A296:B296"/>
    <mergeCell ref="C296:D296"/>
    <mergeCell ref="F296:G296"/>
    <mergeCell ref="H296:K296"/>
    <mergeCell ref="BU12:BX12"/>
    <mergeCell ref="CF12:CG12"/>
    <mergeCell ref="CH12:CK12"/>
    <mergeCell ref="CS12:CT12"/>
    <mergeCell ref="CU12:CX12"/>
    <mergeCell ref="CP12:CQ12"/>
    <mergeCell ref="AS12:AT12"/>
    <mergeCell ref="AU12:AX12"/>
    <mergeCell ref="BF12:BG12"/>
    <mergeCell ref="BH12:BK12"/>
    <mergeCell ref="BS12:BT12"/>
    <mergeCell ref="BN12:BO12"/>
    <mergeCell ref="BP12:BQ12"/>
    <mergeCell ref="BA12:BB12"/>
    <mergeCell ref="BC12:BD12"/>
    <mergeCell ref="H12:K12"/>
    <mergeCell ref="F12:G12"/>
    <mergeCell ref="S12:T12"/>
    <mergeCell ref="A71:D71"/>
    <mergeCell ref="A12:B12"/>
    <mergeCell ref="C12:D12"/>
    <mergeCell ref="A213:D213"/>
    <mergeCell ref="A284:D284"/>
    <mergeCell ref="DA12:DB12"/>
    <mergeCell ref="DC12:DD12"/>
    <mergeCell ref="CA12:CB12"/>
    <mergeCell ref="CC12:CD12"/>
    <mergeCell ref="CN12:CO12"/>
    <mergeCell ref="AN12:AO12"/>
    <mergeCell ref="AP12:AQ12"/>
    <mergeCell ref="N12:O12"/>
    <mergeCell ref="P12:Q12"/>
    <mergeCell ref="AA12:AB12"/>
    <mergeCell ref="U12:X12"/>
    <mergeCell ref="AF12:AG12"/>
    <mergeCell ref="AH12:AK12"/>
    <mergeCell ref="AC12:AD12"/>
  </mergeCells>
  <conditionalFormatting sqref="I99:J138">
    <cfRule type="expression" dxfId="39" priority="32">
      <formula>I99&lt;&gt;0</formula>
    </cfRule>
  </conditionalFormatting>
  <conditionalFormatting sqref="I140:J141">
    <cfRule type="expression" dxfId="38" priority="22">
      <formula>I140&lt;&gt;0</formula>
    </cfRule>
  </conditionalFormatting>
  <conditionalFormatting sqref="I170:J209">
    <cfRule type="expression" dxfId="37" priority="20">
      <formula>I170&lt;&gt;0</formula>
    </cfRule>
  </conditionalFormatting>
  <conditionalFormatting sqref="I211:J212">
    <cfRule type="expression" dxfId="36" priority="11">
      <formula>I211&lt;&gt;0</formula>
    </cfRule>
  </conditionalFormatting>
  <conditionalFormatting sqref="I241:J280">
    <cfRule type="expression" dxfId="35" priority="10">
      <formula>I241&lt;&gt;0</formula>
    </cfRule>
  </conditionalFormatting>
  <conditionalFormatting sqref="I282:J283">
    <cfRule type="expression" dxfId="34" priority="1">
      <formula>I282&lt;&gt;0</formula>
    </cfRule>
  </conditionalFormatting>
  <conditionalFormatting sqref="I312:J351">
    <cfRule type="expression" dxfId="33" priority="21">
      <formula>I312&lt;&gt;0</formula>
    </cfRule>
  </conditionalFormatting>
  <conditionalFormatting sqref="K28:K67 I28:J70">
    <cfRule type="expression" dxfId="32" priority="54">
      <formula>I28&lt;&gt;0</formula>
    </cfRule>
  </conditionalFormatting>
  <conditionalFormatting sqref="V28:W67">
    <cfRule type="expression" dxfId="31" priority="40">
      <formula>V28&lt;&gt;0</formula>
    </cfRule>
  </conditionalFormatting>
  <conditionalFormatting sqref="V99:W138">
    <cfRule type="expression" dxfId="30" priority="30">
      <formula>V99&lt;&gt;0</formula>
    </cfRule>
  </conditionalFormatting>
  <conditionalFormatting sqref="V170:W209">
    <cfRule type="expression" dxfId="29" priority="19">
      <formula>V170&lt;&gt;0</formula>
    </cfRule>
  </conditionalFormatting>
  <conditionalFormatting sqref="V241:W280">
    <cfRule type="expression" dxfId="28" priority="9">
      <formula>V241&lt;&gt;0</formula>
    </cfRule>
  </conditionalFormatting>
  <conditionalFormatting sqref="AI28:AK67">
    <cfRule type="expression" dxfId="27" priority="39">
      <formula>AI28&lt;&gt;0</formula>
    </cfRule>
  </conditionalFormatting>
  <conditionalFormatting sqref="AI99:AK138">
    <cfRule type="expression" dxfId="26" priority="29">
      <formula>AI99&lt;&gt;0</formula>
    </cfRule>
  </conditionalFormatting>
  <conditionalFormatting sqref="AI170:AK209">
    <cfRule type="expression" dxfId="25" priority="18">
      <formula>AI170&lt;&gt;0</formula>
    </cfRule>
  </conditionalFormatting>
  <conditionalFormatting sqref="AI241:AK280">
    <cfRule type="expression" dxfId="24" priority="8">
      <formula>AI241&lt;&gt;0</formula>
    </cfRule>
  </conditionalFormatting>
  <conditionalFormatting sqref="AV28:AX67">
    <cfRule type="expression" dxfId="23" priority="38">
      <formula>AV28&lt;&gt;0</formula>
    </cfRule>
  </conditionalFormatting>
  <conditionalFormatting sqref="AV99:AX138">
    <cfRule type="expression" dxfId="22" priority="28">
      <formula>AV99&lt;&gt;0</formula>
    </cfRule>
  </conditionalFormatting>
  <conditionalFormatting sqref="AV170:AX209">
    <cfRule type="expression" dxfId="21" priority="17">
      <formula>AV170&lt;&gt;0</formula>
    </cfRule>
  </conditionalFormatting>
  <conditionalFormatting sqref="AV241:AX280">
    <cfRule type="expression" dxfId="20" priority="7">
      <formula>AV241&lt;&gt;0</formula>
    </cfRule>
  </conditionalFormatting>
  <conditionalFormatting sqref="BI28:BK67">
    <cfRule type="expression" dxfId="19" priority="37">
      <formula>BI28&lt;&gt;0</formula>
    </cfRule>
  </conditionalFormatting>
  <conditionalFormatting sqref="BI99:BK138">
    <cfRule type="expression" dxfId="18" priority="27">
      <formula>BI99&lt;&gt;0</formula>
    </cfRule>
  </conditionalFormatting>
  <conditionalFormatting sqref="BI170:BK209">
    <cfRule type="expression" dxfId="17" priority="16">
      <formula>BI170&lt;&gt;0</formula>
    </cfRule>
  </conditionalFormatting>
  <conditionalFormatting sqref="BI241:BK280">
    <cfRule type="expression" dxfId="16" priority="6">
      <formula>BI241&lt;&gt;0</formula>
    </cfRule>
  </conditionalFormatting>
  <conditionalFormatting sqref="BV28:BX67">
    <cfRule type="expression" dxfId="15" priority="36">
      <formula>BV28&lt;&gt;0</formula>
    </cfRule>
  </conditionalFormatting>
  <conditionalFormatting sqref="BV99:BX138">
    <cfRule type="expression" dxfId="14" priority="26">
      <formula>BV99&lt;&gt;0</formula>
    </cfRule>
  </conditionalFormatting>
  <conditionalFormatting sqref="BV170:BX209">
    <cfRule type="expression" dxfId="13" priority="15">
      <formula>BV170&lt;&gt;0</formula>
    </cfRule>
  </conditionalFormatting>
  <conditionalFormatting sqref="BV241:BX280">
    <cfRule type="expression" dxfId="12" priority="5">
      <formula>BV241&lt;&gt;0</formula>
    </cfRule>
  </conditionalFormatting>
  <conditionalFormatting sqref="CI28:CK67">
    <cfRule type="expression" dxfId="11" priority="35">
      <formula>CI28&lt;&gt;0</formula>
    </cfRule>
  </conditionalFormatting>
  <conditionalFormatting sqref="CI99:CK138">
    <cfRule type="expression" dxfId="10" priority="25">
      <formula>CI99&lt;&gt;0</formula>
    </cfRule>
  </conditionalFormatting>
  <conditionalFormatting sqref="CI170:CK209">
    <cfRule type="expression" dxfId="9" priority="14">
      <formula>CI170&lt;&gt;0</formula>
    </cfRule>
  </conditionalFormatting>
  <conditionalFormatting sqref="CI241:CK280">
    <cfRule type="expression" dxfId="8" priority="4">
      <formula>CI241&lt;&gt;0</formula>
    </cfRule>
  </conditionalFormatting>
  <conditionalFormatting sqref="CV28:CX67">
    <cfRule type="expression" dxfId="7" priority="34">
      <formula>CV28&lt;&gt;0</formula>
    </cfRule>
  </conditionalFormatting>
  <conditionalFormatting sqref="CV99:CX138">
    <cfRule type="expression" dxfId="6" priority="24">
      <formula>CV99&lt;&gt;0</formula>
    </cfRule>
  </conditionalFormatting>
  <conditionalFormatting sqref="CV170:CX209">
    <cfRule type="expression" dxfId="5" priority="13">
      <formula>CV170&lt;&gt;0</formula>
    </cfRule>
  </conditionalFormatting>
  <conditionalFormatting sqref="CV241:CX280">
    <cfRule type="expression" dxfId="4" priority="3">
      <formula>CV241&lt;&gt;0</formula>
    </cfRule>
  </conditionalFormatting>
  <conditionalFormatting sqref="DI28:DK67">
    <cfRule type="expression" dxfId="3" priority="33">
      <formula>DI28&lt;&gt;0</formula>
    </cfRule>
  </conditionalFormatting>
  <conditionalFormatting sqref="DI99:DK138">
    <cfRule type="expression" dxfId="2" priority="23">
      <formula>DI99&lt;&gt;0</formula>
    </cfRule>
  </conditionalFormatting>
  <conditionalFormatting sqref="DI170:DK209">
    <cfRule type="expression" dxfId="1" priority="12">
      <formula>DI170&lt;&gt;0</formula>
    </cfRule>
  </conditionalFormatting>
  <conditionalFormatting sqref="DI241:DK280">
    <cfRule type="expression" dxfId="0" priority="2">
      <formula>DI241&lt;&gt;0</formula>
    </cfRule>
  </conditionalFormatting>
  <dataValidations count="1">
    <dataValidation type="list" allowBlank="1" showInputMessage="1" showErrorMessage="1" sqref="F5" xr:uid="{53108696-4D9A-4011-A183-385DFA73F64C}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3F53-1243-4F5A-BD04-65C974356A6B}">
  <dimension ref="A1:P7449"/>
  <sheetViews>
    <sheetView topLeftCell="A8" workbookViewId="0">
      <selection activeCell="I10" sqref="I10"/>
    </sheetView>
  </sheetViews>
  <sheetFormatPr defaultRowHeight="15" x14ac:dyDescent="0.25"/>
  <cols>
    <col min="9" max="9" width="13.28515625" bestFit="1" customWidth="1"/>
    <col min="10" max="10" width="10.28515625" bestFit="1" customWidth="1"/>
  </cols>
  <sheetData>
    <row r="1" spans="1:16" x14ac:dyDescent="0.25">
      <c r="A1" t="s">
        <v>9</v>
      </c>
      <c r="B1" t="s">
        <v>33</v>
      </c>
      <c r="C1" t="s">
        <v>34</v>
      </c>
      <c r="D1" t="s">
        <v>35</v>
      </c>
      <c r="E1" t="s">
        <v>36</v>
      </c>
    </row>
    <row r="2" spans="1:16" x14ac:dyDescent="0.25">
      <c r="A2" s="7">
        <f>Bootstrap!A85</f>
        <v>0</v>
      </c>
      <c r="B2" s="11">
        <f>Bootstrap!H298</f>
        <v>2.1795524777026124E-2</v>
      </c>
      <c r="C2" s="11">
        <f>Bootstrap!I298</f>
        <v>-2.4519965374154389E-2</v>
      </c>
      <c r="D2" s="11">
        <f>Bootstrap!J298</f>
        <v>0</v>
      </c>
      <c r="E2" s="11">
        <f>Bootstrap!K298</f>
        <v>2.53E-2</v>
      </c>
    </row>
    <row r="3" spans="1:16" x14ac:dyDescent="0.25">
      <c r="A3" s="7">
        <f>Bootstrap!A86</f>
        <v>0.75</v>
      </c>
      <c r="B3" s="11">
        <f>Bootstrap!H299</f>
        <v>-3.7060713183952494E-3</v>
      </c>
      <c r="C3" s="11">
        <f>Bootstrap!I299</f>
        <v>1.5057782665666767E-2</v>
      </c>
      <c r="D3" s="11">
        <f>Bootstrap!J299</f>
        <v>-1.6332678648708167E-2</v>
      </c>
      <c r="E3" s="11">
        <f>Bootstrap!K299</f>
        <v>2.6045511566887617E-2</v>
      </c>
    </row>
    <row r="4" spans="1:16" x14ac:dyDescent="0.25">
      <c r="A4" s="7">
        <f>Bootstrap!A87</f>
        <v>1.75</v>
      </c>
      <c r="B4" s="11">
        <f>Bootstrap!H300</f>
        <v>2.736059530777761E-4</v>
      </c>
      <c r="C4" s="11">
        <f>Bootstrap!I300</f>
        <v>-2.4030576442491429E-3</v>
      </c>
      <c r="D4" s="11">
        <f>Bootstrap!J300</f>
        <v>8.2169775043390968E-3</v>
      </c>
      <c r="E4" s="11">
        <f>Bootstrap!K300</f>
        <v>1.5228853871371632E-2</v>
      </c>
    </row>
    <row r="5" spans="1:16" x14ac:dyDescent="0.25">
      <c r="A5" s="7">
        <f>Bootstrap!A88</f>
        <v>2.75</v>
      </c>
      <c r="B5" s="11">
        <f>Bootstrap!H301</f>
        <v>7.6954098051831149E-4</v>
      </c>
      <c r="C5" s="11">
        <f>Bootstrap!I301</f>
        <v>-7.5376685542296474E-3</v>
      </c>
      <c r="D5" s="11">
        <f>Bootstrap!J301</f>
        <v>2.5205811574174723E-2</v>
      </c>
      <c r="E5" s="11">
        <f>Bootstrap!K301</f>
        <v>-2.9738435877511571E-3</v>
      </c>
    </row>
    <row r="6" spans="1:16" x14ac:dyDescent="0.25">
      <c r="A6" s="7">
        <f>Bootstrap!A89</f>
        <v>3.75</v>
      </c>
      <c r="B6" s="11">
        <f>Bootstrap!H302</f>
        <v>-9.9382572676861604E-4</v>
      </c>
      <c r="C6" s="11">
        <f>Bootstrap!I302</f>
        <v>1.2524491648998591E-2</v>
      </c>
      <c r="D6" s="11">
        <f>Bootstrap!J302</f>
        <v>-5.0868356986369802E-2</v>
      </c>
      <c r="E6" s="11">
        <f>Bootstrap!K302</f>
        <v>9.3170201860977769E-2</v>
      </c>
    </row>
    <row r="7" spans="1:16" x14ac:dyDescent="0.25">
      <c r="A7" s="7">
        <f>Bootstrap!A90</f>
        <v>4.75</v>
      </c>
      <c r="B7" s="11">
        <f>Bootstrap!H303</f>
        <v>2.714864453332381E-4</v>
      </c>
      <c r="C7" s="11">
        <f>Bootstrap!I303</f>
        <v>-4.7335043520079041E-3</v>
      </c>
      <c r="D7" s="11">
        <f>Bootstrap!J303</f>
        <v>2.7436787374047648E-2</v>
      </c>
      <c r="E7" s="11">
        <f>Bootstrap!K303</f>
        <v>-2.5001577022774474E-2</v>
      </c>
    </row>
    <row r="8" spans="1:16" x14ac:dyDescent="0.25">
      <c r="A8" s="7">
        <f>Bootstrap!A91</f>
        <v>6.75</v>
      </c>
      <c r="B8" s="11">
        <f>Bootstrap!H304</f>
        <v>-1.0944565390944813E-4</v>
      </c>
      <c r="C8" s="11">
        <f>Bootstrap!I304</f>
        <v>2.6920269702771296E-3</v>
      </c>
      <c r="D8" s="11">
        <f>Bootstrap!J304</f>
        <v>-2.0739229161565641E-2</v>
      </c>
      <c r="E8" s="11">
        <f>Bootstrap!K304</f>
        <v>7.9015240430281408E-2</v>
      </c>
    </row>
    <row r="9" spans="1:16" x14ac:dyDescent="0.25">
      <c r="A9" s="7">
        <f>Bootstrap!A92</f>
        <v>9.75</v>
      </c>
      <c r="B9" s="11">
        <f>Bootstrap!H305</f>
        <v>6.6637221572904032E-8</v>
      </c>
      <c r="C9" s="11">
        <f>Bootstrap!I305</f>
        <v>-1.3977157224916621E-5</v>
      </c>
      <c r="D9" s="11">
        <f>Bootstrap!J305</f>
        <v>7.9631479779620324E-4</v>
      </c>
      <c r="E9" s="11">
        <f>Bootstrap!K305</f>
        <v>2.4780710484650505E-2</v>
      </c>
    </row>
    <row r="10" spans="1:16" x14ac:dyDescent="0.25">
      <c r="J10" s="17"/>
    </row>
    <row r="11" spans="1:16" x14ac:dyDescent="0.25">
      <c r="A11" t="s">
        <v>9</v>
      </c>
      <c r="B11" t="s">
        <v>18</v>
      </c>
      <c r="C11" t="s">
        <v>33</v>
      </c>
      <c r="D11" t="s">
        <v>34</v>
      </c>
      <c r="E11" t="s">
        <v>35</v>
      </c>
      <c r="F11" t="s">
        <v>36</v>
      </c>
      <c r="G11" t="s">
        <v>10</v>
      </c>
      <c r="I11" t="s">
        <v>106</v>
      </c>
      <c r="J11" t="s">
        <v>9</v>
      </c>
      <c r="K11" t="s">
        <v>18</v>
      </c>
      <c r="L11" t="s">
        <v>33</v>
      </c>
      <c r="M11" t="s">
        <v>34</v>
      </c>
      <c r="N11" t="s">
        <v>35</v>
      </c>
      <c r="O11" t="s">
        <v>36</v>
      </c>
      <c r="P11" t="s">
        <v>107</v>
      </c>
    </row>
    <row r="12" spans="1:16" x14ac:dyDescent="0.25">
      <c r="A12" s="11">
        <v>0</v>
      </c>
      <c r="B12" s="7">
        <f t="array" ref="B12:B1012">INDEX(A2:A9, MATCH(A12:A1012, A2:A9, 1))</f>
        <v>0</v>
      </c>
      <c r="C12" s="11">
        <f t="array" ref="C12:C1012">VLOOKUP($B12:$B1012, $A$1:$E$9, COLUMN(B2) - COLUMN($A2)+1, FALSE)</f>
        <v>2.1795524777026124E-2</v>
      </c>
      <c r="D12" s="11">
        <f t="array" ref="D12:D1012">VLOOKUP($B12:$B1012, $A$1:$E$9, COLUMN(C2) - COLUMN($A2)+1, FALSE)</f>
        <v>-2.4519965374154389E-2</v>
      </c>
      <c r="E12" s="11">
        <f t="array" ref="E12:E1012">VLOOKUP($B12:$B1012, $A$1:$E$9, COLUMN(D2) - COLUMN($A2)+1, FALSE)</f>
        <v>0</v>
      </c>
      <c r="F12" s="11">
        <f t="array" ref="F12:F1012">VLOOKUP($B12:$B1012, $A$1:$E$9, COLUMN(E2) - COLUMN($A2)+1, FALSE)</f>
        <v>2.53E-2</v>
      </c>
      <c r="G12" s="3">
        <f>C12*A12^3 + D12*A12^2 + E12*A12 + F12</f>
        <v>2.53E-2</v>
      </c>
      <c r="H12" s="11"/>
      <c r="I12" s="17">
        <v>46097</v>
      </c>
      <c r="J12" s="18">
        <f>(I12-$I$12)/365.25</f>
        <v>0</v>
      </c>
      <c r="K12" s="7">
        <f t="array" ref="K12:K816">INDEX(A2:A9, MATCH(J12:J816, A2:A9, 1))</f>
        <v>0</v>
      </c>
      <c r="L12" s="7">
        <f t="array" ref="L12:L816">VLOOKUP($K12:$K816, $A$1:$E$9, COLUMN(B2) - COLUMN($A2)+1, FALSE)</f>
        <v>2.1795524777026124E-2</v>
      </c>
      <c r="M12" s="7">
        <f t="array" ref="M12:M816">VLOOKUP($K12:$K816, $A$1:$E$9, COLUMN(C2) - COLUMN($A2)+1, FALSE)</f>
        <v>-2.4519965374154389E-2</v>
      </c>
      <c r="N12" s="7">
        <f t="array" ref="N12:N816">VLOOKUP($K12:$K816, $A$1:$E$9, COLUMN(D2) - COLUMN($A2)+1, FALSE)</f>
        <v>0</v>
      </c>
      <c r="O12" s="7">
        <f t="array" ref="O12:O816">VLOOKUP($K12:$K816, $A$1:$E$9, COLUMN(E2) - COLUMN($A2)+1, FALSE)</f>
        <v>2.53E-2</v>
      </c>
      <c r="P12" s="11">
        <f>100*(L12*J12^3 + M12*J12^2 + N12*J12 + O12)</f>
        <v>2.5299999999999998</v>
      </c>
    </row>
    <row r="13" spans="1:16" x14ac:dyDescent="0.25">
      <c r="A13" s="11">
        <v>0.01</v>
      </c>
      <c r="B13" s="7">
        <v>0</v>
      </c>
      <c r="C13" s="11">
        <v>2.1795524777026124E-2</v>
      </c>
      <c r="D13" s="11">
        <v>-2.4519965374154389E-2</v>
      </c>
      <c r="E13" s="11">
        <v>0</v>
      </c>
      <c r="F13" s="11">
        <v>2.53E-2</v>
      </c>
      <c r="G13" s="3">
        <f t="shared" ref="G13:G76" si="0">C13*A13^3 + D13*A13^2 + E13*A13 + F13</f>
        <v>2.5297569798987361E-2</v>
      </c>
      <c r="H13" s="11"/>
      <c r="I13" s="17">
        <f>I12+5</f>
        <v>46102</v>
      </c>
      <c r="J13" s="18">
        <f t="shared" ref="J13:J76" si="1">(I13-$I$12)/365.25</f>
        <v>1.3689253935660506E-2</v>
      </c>
      <c r="K13" s="7">
        <v>0</v>
      </c>
      <c r="L13" s="7">
        <v>2.1795524777026124E-2</v>
      </c>
      <c r="M13" s="7">
        <v>-2.4519965374154389E-2</v>
      </c>
      <c r="N13" s="7">
        <v>0</v>
      </c>
      <c r="O13" s="7">
        <v>2.53E-2</v>
      </c>
      <c r="P13" s="11">
        <f t="shared" ref="P13:P76" si="2">100*(L13*J13^3 + M13*J13^2 + N13*J13 + O13)</f>
        <v>2.529546097679042</v>
      </c>
    </row>
    <row r="14" spans="1:16" x14ac:dyDescent="0.25">
      <c r="A14" s="11">
        <v>0.02</v>
      </c>
      <c r="B14" s="7">
        <v>0</v>
      </c>
      <c r="C14" s="11">
        <v>2.1795524777026124E-2</v>
      </c>
      <c r="D14" s="11">
        <v>-2.4519965374154389E-2</v>
      </c>
      <c r="E14" s="11">
        <v>0</v>
      </c>
      <c r="F14" s="11">
        <v>2.53E-2</v>
      </c>
      <c r="G14" s="3">
        <f t="shared" si="0"/>
        <v>2.5290366378048552E-2</v>
      </c>
      <c r="H14" s="11"/>
      <c r="I14" s="17">
        <f t="shared" ref="I14:I77" si="3">I13+5</f>
        <v>46107</v>
      </c>
      <c r="J14" s="18">
        <f t="shared" si="1"/>
        <v>2.7378507871321012E-2</v>
      </c>
      <c r="K14" s="7">
        <v>0</v>
      </c>
      <c r="L14" s="7">
        <v>2.1795524777026124E-2</v>
      </c>
      <c r="M14" s="7">
        <v>-2.4519965374154389E-2</v>
      </c>
      <c r="N14" s="7">
        <v>0</v>
      </c>
      <c r="O14" s="7">
        <v>2.53E-2</v>
      </c>
      <c r="P14" s="11">
        <f t="shared" si="2"/>
        <v>2.5282067556007188</v>
      </c>
    </row>
    <row r="15" spans="1:16" x14ac:dyDescent="0.25">
      <c r="A15" s="11">
        <v>0.03</v>
      </c>
      <c r="B15" s="7">
        <v>0</v>
      </c>
      <c r="C15" s="11">
        <v>2.1795524777026124E-2</v>
      </c>
      <c r="D15" s="11">
        <v>-2.4519965374154389E-2</v>
      </c>
      <c r="E15" s="11">
        <v>0</v>
      </c>
      <c r="F15" s="11">
        <v>2.53E-2</v>
      </c>
      <c r="G15" s="3">
        <f t="shared" si="0"/>
        <v>2.5278520510332241E-2</v>
      </c>
      <c r="H15" s="11"/>
      <c r="I15" s="17">
        <f t="shared" si="3"/>
        <v>46112</v>
      </c>
      <c r="J15" s="18">
        <f t="shared" si="1"/>
        <v>4.1067761806981518E-2</v>
      </c>
      <c r="K15" s="7">
        <v>0</v>
      </c>
      <c r="L15" s="7">
        <v>2.1795524777026124E-2</v>
      </c>
      <c r="M15" s="7">
        <v>-2.4519965374154389E-2</v>
      </c>
      <c r="N15" s="7">
        <v>0</v>
      </c>
      <c r="O15" s="7">
        <v>2.53E-2</v>
      </c>
      <c r="P15" s="11">
        <f t="shared" si="2"/>
        <v>2.5260155210918538</v>
      </c>
    </row>
    <row r="16" spans="1:16" x14ac:dyDescent="0.25">
      <c r="A16" s="11">
        <v>0.04</v>
      </c>
      <c r="B16" s="7">
        <v>0</v>
      </c>
      <c r="C16" s="11">
        <v>2.1795524777026124E-2</v>
      </c>
      <c r="D16" s="11">
        <v>-2.4519965374154389E-2</v>
      </c>
      <c r="E16" s="11">
        <v>0</v>
      </c>
      <c r="F16" s="11">
        <v>2.53E-2</v>
      </c>
      <c r="G16" s="3">
        <f t="shared" si="0"/>
        <v>2.5262162968987083E-2</v>
      </c>
      <c r="H16" s="11"/>
      <c r="I16" s="17">
        <f t="shared" si="3"/>
        <v>46117</v>
      </c>
      <c r="J16" s="18">
        <f t="shared" si="1"/>
        <v>5.4757015742642023E-2</v>
      </c>
      <c r="K16" s="7">
        <v>0</v>
      </c>
      <c r="L16" s="7">
        <v>2.1795524777026124E-2</v>
      </c>
      <c r="M16" s="7">
        <v>-2.4519965374154389E-2</v>
      </c>
      <c r="N16" s="7">
        <v>0</v>
      </c>
      <c r="O16" s="7">
        <v>2.53E-2</v>
      </c>
      <c r="P16" s="11">
        <f t="shared" si="2"/>
        <v>2.5230059414792714</v>
      </c>
    </row>
    <row r="17" spans="1:16" x14ac:dyDescent="0.25">
      <c r="A17" s="11">
        <v>0.05</v>
      </c>
      <c r="B17" s="7">
        <v>0</v>
      </c>
      <c r="C17" s="11">
        <v>2.1795524777026124E-2</v>
      </c>
      <c r="D17" s="11">
        <v>-2.4519965374154389E-2</v>
      </c>
      <c r="E17" s="11">
        <v>0</v>
      </c>
      <c r="F17" s="11">
        <v>2.53E-2</v>
      </c>
      <c r="G17" s="3">
        <f t="shared" si="0"/>
        <v>2.5241424527161743E-2</v>
      </c>
      <c r="H17" s="11"/>
      <c r="I17" s="17">
        <f t="shared" si="3"/>
        <v>46122</v>
      </c>
      <c r="J17" s="18">
        <f t="shared" si="1"/>
        <v>6.8446269678302529E-2</v>
      </c>
      <c r="K17" s="7">
        <v>0</v>
      </c>
      <c r="L17" s="7">
        <v>2.1795524777026124E-2</v>
      </c>
      <c r="M17" s="7">
        <v>-2.4519965374154389E-2</v>
      </c>
      <c r="N17" s="7">
        <v>0</v>
      </c>
      <c r="O17" s="7">
        <v>2.53E-2</v>
      </c>
      <c r="P17" s="11">
        <f t="shared" si="2"/>
        <v>2.5192115640897952</v>
      </c>
    </row>
    <row r="18" spans="1:16" x14ac:dyDescent="0.25">
      <c r="A18" s="11">
        <v>0.06</v>
      </c>
      <c r="B18" s="7">
        <v>0</v>
      </c>
      <c r="C18" s="11">
        <v>2.1795524777026124E-2</v>
      </c>
      <c r="D18" s="11">
        <v>-2.4519965374154389E-2</v>
      </c>
      <c r="E18" s="11">
        <v>0</v>
      </c>
      <c r="F18" s="11">
        <v>2.53E-2</v>
      </c>
      <c r="G18" s="3">
        <f t="shared" si="0"/>
        <v>2.5216435958004883E-2</v>
      </c>
      <c r="H18" s="11"/>
      <c r="I18" s="17">
        <f t="shared" si="3"/>
        <v>46127</v>
      </c>
      <c r="J18" s="18">
        <f t="shared" si="1"/>
        <v>8.2135523613963035E-2</v>
      </c>
      <c r="K18" s="7">
        <v>0</v>
      </c>
      <c r="L18" s="7">
        <v>2.1795524777026124E-2</v>
      </c>
      <c r="M18" s="7">
        <v>-2.4519965374154389E-2</v>
      </c>
      <c r="N18" s="7">
        <v>0</v>
      </c>
      <c r="O18" s="7">
        <v>2.53E-2</v>
      </c>
      <c r="P18" s="11">
        <f t="shared" si="2"/>
        <v>2.5146659362502506</v>
      </c>
    </row>
    <row r="19" spans="1:16" x14ac:dyDescent="0.25">
      <c r="A19" s="11">
        <v>7.0000000000000007E-2</v>
      </c>
      <c r="B19" s="7">
        <v>0</v>
      </c>
      <c r="C19" s="11">
        <v>2.1795524777026124E-2</v>
      </c>
      <c r="D19" s="11">
        <v>-2.4519965374154389E-2</v>
      </c>
      <c r="E19" s="11">
        <v>0</v>
      </c>
      <c r="F19" s="11">
        <v>2.53E-2</v>
      </c>
      <c r="G19" s="3">
        <f t="shared" si="0"/>
        <v>2.5187328034665162E-2</v>
      </c>
      <c r="H19" s="11"/>
      <c r="I19" s="17">
        <f t="shared" si="3"/>
        <v>46132</v>
      </c>
      <c r="J19" s="18">
        <f t="shared" si="1"/>
        <v>9.5824777549623541E-2</v>
      </c>
      <c r="K19" s="7">
        <v>0</v>
      </c>
      <c r="L19" s="7">
        <v>2.1795524777026124E-2</v>
      </c>
      <c r="M19" s="7">
        <v>-2.4519965374154389E-2</v>
      </c>
      <c r="N19" s="7">
        <v>0</v>
      </c>
      <c r="O19" s="7">
        <v>2.53E-2</v>
      </c>
      <c r="P19" s="11">
        <f t="shared" si="2"/>
        <v>2.5094026052874607</v>
      </c>
    </row>
    <row r="20" spans="1:16" x14ac:dyDescent="0.25">
      <c r="A20" s="11">
        <v>0.08</v>
      </c>
      <c r="B20" s="7">
        <v>0</v>
      </c>
      <c r="C20" s="11">
        <v>2.1795524777026124E-2</v>
      </c>
      <c r="D20" s="11">
        <v>-2.4519965374154389E-2</v>
      </c>
      <c r="E20" s="11">
        <v>0</v>
      </c>
      <c r="F20" s="11">
        <v>2.53E-2</v>
      </c>
      <c r="G20" s="3">
        <f t="shared" si="0"/>
        <v>2.5154231530291248E-2</v>
      </c>
      <c r="H20" s="11"/>
      <c r="I20" s="17">
        <f t="shared" si="3"/>
        <v>46137</v>
      </c>
      <c r="J20" s="18">
        <f t="shared" si="1"/>
        <v>0.10951403148528405</v>
      </c>
      <c r="K20" s="7">
        <v>0</v>
      </c>
      <c r="L20" s="7">
        <v>2.1795524777026124E-2</v>
      </c>
      <c r="M20" s="7">
        <v>-2.4519965374154389E-2</v>
      </c>
      <c r="N20" s="7">
        <v>0</v>
      </c>
      <c r="O20" s="7">
        <v>2.53E-2</v>
      </c>
      <c r="P20" s="11">
        <f t="shared" si="2"/>
        <v>2.5034551185282501</v>
      </c>
    </row>
    <row r="21" spans="1:16" x14ac:dyDescent="0.25">
      <c r="A21" s="11">
        <v>0.09</v>
      </c>
      <c r="B21" s="7">
        <v>0</v>
      </c>
      <c r="C21" s="11">
        <v>2.1795524777026124E-2</v>
      </c>
      <c r="D21" s="11">
        <v>-2.4519965374154389E-2</v>
      </c>
      <c r="E21" s="11">
        <v>0</v>
      </c>
      <c r="F21" s="11">
        <v>2.53E-2</v>
      </c>
      <c r="G21" s="3">
        <f t="shared" si="0"/>
        <v>2.5117277218031801E-2</v>
      </c>
      <c r="H21" s="11"/>
      <c r="I21" s="17">
        <f t="shared" si="3"/>
        <v>46142</v>
      </c>
      <c r="J21" s="18">
        <f t="shared" si="1"/>
        <v>0.12320328542094455</v>
      </c>
      <c r="K21" s="7">
        <v>0</v>
      </c>
      <c r="L21" s="7">
        <v>2.1795524777026124E-2</v>
      </c>
      <c r="M21" s="7">
        <v>-2.4519965374154389E-2</v>
      </c>
      <c r="N21" s="7">
        <v>0</v>
      </c>
      <c r="O21" s="7">
        <v>2.53E-2</v>
      </c>
      <c r="P21" s="11">
        <f t="shared" si="2"/>
        <v>2.4968570232994427</v>
      </c>
    </row>
    <row r="22" spans="1:16" x14ac:dyDescent="0.25">
      <c r="A22" s="11">
        <v>0.1</v>
      </c>
      <c r="B22" s="7">
        <v>0</v>
      </c>
      <c r="C22" s="11">
        <v>2.1795524777026124E-2</v>
      </c>
      <c r="D22" s="11">
        <v>-2.4519965374154389E-2</v>
      </c>
      <c r="E22" s="11">
        <v>0</v>
      </c>
      <c r="F22" s="11">
        <v>2.53E-2</v>
      </c>
      <c r="G22" s="3">
        <f t="shared" si="0"/>
        <v>2.5076595871035483E-2</v>
      </c>
      <c r="H22" s="11"/>
      <c r="I22" s="17">
        <f t="shared" si="3"/>
        <v>46147</v>
      </c>
      <c r="J22" s="18">
        <f t="shared" si="1"/>
        <v>0.13689253935660506</v>
      </c>
      <c r="K22" s="7">
        <v>0</v>
      </c>
      <c r="L22" s="7">
        <v>2.1795524777026124E-2</v>
      </c>
      <c r="M22" s="7">
        <v>-2.4519965374154389E-2</v>
      </c>
      <c r="N22" s="7">
        <v>0</v>
      </c>
      <c r="O22" s="7">
        <v>2.53E-2</v>
      </c>
      <c r="P22" s="11">
        <f t="shared" si="2"/>
        <v>2.4896418669278635</v>
      </c>
    </row>
    <row r="23" spans="1:16" x14ac:dyDescent="0.25">
      <c r="A23" s="11">
        <v>0.11</v>
      </c>
      <c r="B23" s="7">
        <v>0</v>
      </c>
      <c r="C23" s="11">
        <v>2.1795524777026124E-2</v>
      </c>
      <c r="D23" s="11">
        <v>-2.4519965374154389E-2</v>
      </c>
      <c r="E23" s="11">
        <v>0</v>
      </c>
      <c r="F23" s="11">
        <v>2.53E-2</v>
      </c>
      <c r="G23" s="3">
        <f t="shared" si="0"/>
        <v>2.5032318262450955E-2</v>
      </c>
      <c r="H23" s="11"/>
      <c r="I23" s="17">
        <f t="shared" si="3"/>
        <v>46152</v>
      </c>
      <c r="J23" s="18">
        <f t="shared" si="1"/>
        <v>0.15058179329226556</v>
      </c>
      <c r="K23" s="7">
        <v>0</v>
      </c>
      <c r="L23" s="7">
        <v>2.1795524777026124E-2</v>
      </c>
      <c r="M23" s="7">
        <v>-2.4519965374154389E-2</v>
      </c>
      <c r="N23" s="7">
        <v>0</v>
      </c>
      <c r="O23" s="7">
        <v>2.53E-2</v>
      </c>
      <c r="P23" s="11">
        <f t="shared" si="2"/>
        <v>2.4818431967403356</v>
      </c>
    </row>
    <row r="24" spans="1:16" x14ac:dyDescent="0.25">
      <c r="A24" s="11">
        <v>0.12</v>
      </c>
      <c r="B24" s="7">
        <v>0</v>
      </c>
      <c r="C24" s="11">
        <v>2.1795524777026124E-2</v>
      </c>
      <c r="D24" s="11">
        <v>-2.4519965374154389E-2</v>
      </c>
      <c r="E24" s="11">
        <v>0</v>
      </c>
      <c r="F24" s="11">
        <v>2.53E-2</v>
      </c>
      <c r="G24" s="3">
        <f t="shared" si="0"/>
        <v>2.4984575165426879E-2</v>
      </c>
      <c r="H24" s="11"/>
      <c r="I24" s="17">
        <f t="shared" si="3"/>
        <v>46157</v>
      </c>
      <c r="J24" s="18">
        <f t="shared" si="1"/>
        <v>0.16427104722792607</v>
      </c>
      <c r="K24" s="7">
        <v>0</v>
      </c>
      <c r="L24" s="7">
        <v>2.1795524777026124E-2</v>
      </c>
      <c r="M24" s="7">
        <v>-2.4519965374154389E-2</v>
      </c>
      <c r="N24" s="7">
        <v>0</v>
      </c>
      <c r="O24" s="7">
        <v>2.53E-2</v>
      </c>
      <c r="P24" s="11">
        <f t="shared" si="2"/>
        <v>2.4734945600636844</v>
      </c>
    </row>
    <row r="25" spans="1:16" x14ac:dyDescent="0.25">
      <c r="A25" s="11">
        <v>0.13</v>
      </c>
      <c r="B25" s="7">
        <v>0</v>
      </c>
      <c r="C25" s="11">
        <v>2.1795524777026124E-2</v>
      </c>
      <c r="D25" s="11">
        <v>-2.4519965374154389E-2</v>
      </c>
      <c r="E25" s="11">
        <v>0</v>
      </c>
      <c r="F25" s="11">
        <v>2.53E-2</v>
      </c>
      <c r="G25" s="3">
        <f t="shared" si="0"/>
        <v>2.4933497353111917E-2</v>
      </c>
      <c r="H25" s="11"/>
      <c r="I25" s="17">
        <f t="shared" si="3"/>
        <v>46162</v>
      </c>
      <c r="J25" s="18">
        <f t="shared" si="1"/>
        <v>0.17796030116358658</v>
      </c>
      <c r="K25" s="7">
        <v>0</v>
      </c>
      <c r="L25" s="7">
        <v>2.1795524777026124E-2</v>
      </c>
      <c r="M25" s="7">
        <v>-2.4519965374154389E-2</v>
      </c>
      <c r="N25" s="7">
        <v>0</v>
      </c>
      <c r="O25" s="7">
        <v>2.53E-2</v>
      </c>
      <c r="P25" s="11">
        <f t="shared" si="2"/>
        <v>2.464629504224733</v>
      </c>
    </row>
    <row r="26" spans="1:16" x14ac:dyDescent="0.25">
      <c r="A26" s="11">
        <v>0.14000000000000001</v>
      </c>
      <c r="B26" s="7">
        <v>0</v>
      </c>
      <c r="C26" s="11">
        <v>2.1795524777026124E-2</v>
      </c>
      <c r="D26" s="11">
        <v>-2.4519965374154389E-2</v>
      </c>
      <c r="E26" s="11">
        <v>0</v>
      </c>
      <c r="F26" s="11">
        <v>2.53E-2</v>
      </c>
      <c r="G26" s="3">
        <f t="shared" si="0"/>
        <v>2.4879215598654733E-2</v>
      </c>
      <c r="H26" s="11"/>
      <c r="I26" s="17">
        <f t="shared" si="3"/>
        <v>46167</v>
      </c>
      <c r="J26" s="18">
        <f t="shared" si="1"/>
        <v>0.19164955509924708</v>
      </c>
      <c r="K26" s="7">
        <v>0</v>
      </c>
      <c r="L26" s="7">
        <v>2.1795524777026124E-2</v>
      </c>
      <c r="M26" s="7">
        <v>-2.4519965374154389E-2</v>
      </c>
      <c r="N26" s="7">
        <v>0</v>
      </c>
      <c r="O26" s="7">
        <v>2.53E-2</v>
      </c>
      <c r="P26" s="11">
        <f t="shared" si="2"/>
        <v>2.455281576550306</v>
      </c>
    </row>
    <row r="27" spans="1:16" x14ac:dyDescent="0.25">
      <c r="A27" s="11">
        <v>0.15</v>
      </c>
      <c r="B27" s="7">
        <v>0</v>
      </c>
      <c r="C27" s="11">
        <v>2.1795524777026124E-2</v>
      </c>
      <c r="D27" s="11">
        <v>-2.4519965374154389E-2</v>
      </c>
      <c r="E27" s="11">
        <v>0</v>
      </c>
      <c r="F27" s="11">
        <v>2.53E-2</v>
      </c>
      <c r="G27" s="3">
        <f t="shared" si="0"/>
        <v>2.4821860675203988E-2</v>
      </c>
      <c r="H27" s="11"/>
      <c r="I27" s="17">
        <f t="shared" si="3"/>
        <v>46172</v>
      </c>
      <c r="J27" s="18">
        <f t="shared" si="1"/>
        <v>0.20533880903490759</v>
      </c>
      <c r="K27" s="7">
        <v>0</v>
      </c>
      <c r="L27" s="7">
        <v>2.1795524777026124E-2</v>
      </c>
      <c r="M27" s="7">
        <v>-2.4519965374154389E-2</v>
      </c>
      <c r="N27" s="7">
        <v>0</v>
      </c>
      <c r="O27" s="7">
        <v>2.53E-2</v>
      </c>
      <c r="P27" s="11">
        <f t="shared" si="2"/>
        <v>2.4454843243672273</v>
      </c>
    </row>
    <row r="28" spans="1:16" x14ac:dyDescent="0.25">
      <c r="A28" s="11">
        <v>0.16</v>
      </c>
      <c r="B28" s="7">
        <v>0</v>
      </c>
      <c r="C28" s="11">
        <v>2.1795524777026124E-2</v>
      </c>
      <c r="D28" s="11">
        <v>-2.4519965374154389E-2</v>
      </c>
      <c r="E28" s="11">
        <v>0</v>
      </c>
      <c r="F28" s="11">
        <v>2.53E-2</v>
      </c>
      <c r="G28" s="3">
        <f t="shared" si="0"/>
        <v>2.4761563355908345E-2</v>
      </c>
      <c r="H28" s="11"/>
      <c r="I28" s="17">
        <f t="shared" si="3"/>
        <v>46177</v>
      </c>
      <c r="J28" s="18">
        <f t="shared" si="1"/>
        <v>0.21902806297056809</v>
      </c>
      <c r="K28" s="7">
        <v>0</v>
      </c>
      <c r="L28" s="7">
        <v>2.1795524777026124E-2</v>
      </c>
      <c r="M28" s="7">
        <v>-2.4519965374154389E-2</v>
      </c>
      <c r="N28" s="7">
        <v>0</v>
      </c>
      <c r="O28" s="7">
        <v>2.53E-2</v>
      </c>
      <c r="P28" s="11">
        <f t="shared" si="2"/>
        <v>2.4352712950023219</v>
      </c>
    </row>
    <row r="29" spans="1:16" x14ac:dyDescent="0.25">
      <c r="A29" s="11">
        <v>0.17</v>
      </c>
      <c r="B29" s="7">
        <v>0</v>
      </c>
      <c r="C29" s="11">
        <v>2.1795524777026124E-2</v>
      </c>
      <c r="D29" s="11">
        <v>-2.4519965374154389E-2</v>
      </c>
      <c r="E29" s="11">
        <v>0</v>
      </c>
      <c r="F29" s="11">
        <v>2.53E-2</v>
      </c>
      <c r="G29" s="3">
        <f t="shared" si="0"/>
        <v>2.4698454413916465E-2</v>
      </c>
      <c r="H29" s="11"/>
      <c r="I29" s="17">
        <f t="shared" si="3"/>
        <v>46182</v>
      </c>
      <c r="J29" s="18">
        <f t="shared" si="1"/>
        <v>0.2327173169062286</v>
      </c>
      <c r="K29" s="7">
        <v>0</v>
      </c>
      <c r="L29" s="7">
        <v>2.1795524777026124E-2</v>
      </c>
      <c r="M29" s="7">
        <v>-2.4519965374154389E-2</v>
      </c>
      <c r="N29" s="7">
        <v>0</v>
      </c>
      <c r="O29" s="7">
        <v>2.53E-2</v>
      </c>
      <c r="P29" s="11">
        <f t="shared" si="2"/>
        <v>2.4246760357824129</v>
      </c>
    </row>
    <row r="30" spans="1:16" x14ac:dyDescent="0.25">
      <c r="A30" s="11">
        <v>0.18</v>
      </c>
      <c r="B30" s="7">
        <v>0</v>
      </c>
      <c r="C30" s="11">
        <v>2.1795524777026124E-2</v>
      </c>
      <c r="D30" s="11">
        <v>-2.4519965374154389E-2</v>
      </c>
      <c r="E30" s="11">
        <v>0</v>
      </c>
      <c r="F30" s="11">
        <v>2.53E-2</v>
      </c>
      <c r="G30" s="3">
        <f t="shared" si="0"/>
        <v>2.4632664622377013E-2</v>
      </c>
      <c r="H30" s="11"/>
      <c r="I30" s="17">
        <f t="shared" si="3"/>
        <v>46187</v>
      </c>
      <c r="J30" s="18">
        <f t="shared" si="1"/>
        <v>0.24640657084188911</v>
      </c>
      <c r="K30" s="7">
        <v>0</v>
      </c>
      <c r="L30" s="7">
        <v>2.1795524777026124E-2</v>
      </c>
      <c r="M30" s="7">
        <v>-2.4519965374154389E-2</v>
      </c>
      <c r="N30" s="7">
        <v>0</v>
      </c>
      <c r="O30" s="7">
        <v>2.53E-2</v>
      </c>
      <c r="P30" s="11">
        <f t="shared" si="2"/>
        <v>2.4137320940343256</v>
      </c>
    </row>
    <row r="31" spans="1:16" x14ac:dyDescent="0.25">
      <c r="A31" s="11">
        <v>0.19</v>
      </c>
      <c r="B31" s="7">
        <v>0</v>
      </c>
      <c r="C31" s="11">
        <v>2.1795524777026124E-2</v>
      </c>
      <c r="D31" s="11">
        <v>-2.4519965374154389E-2</v>
      </c>
      <c r="E31" s="11">
        <v>0</v>
      </c>
      <c r="F31" s="11">
        <v>2.53E-2</v>
      </c>
      <c r="G31" s="3">
        <f t="shared" si="0"/>
        <v>2.4564324754438649E-2</v>
      </c>
      <c r="H31" s="11"/>
      <c r="I31" s="17">
        <f t="shared" si="3"/>
        <v>46192</v>
      </c>
      <c r="J31" s="18">
        <f t="shared" si="1"/>
        <v>0.26009582477754961</v>
      </c>
      <c r="K31" s="7">
        <v>0</v>
      </c>
      <c r="L31" s="7">
        <v>2.1795524777026124E-2</v>
      </c>
      <c r="M31" s="7">
        <v>-2.4519965374154389E-2</v>
      </c>
      <c r="N31" s="7">
        <v>0</v>
      </c>
      <c r="O31" s="7">
        <v>2.53E-2</v>
      </c>
      <c r="P31" s="11">
        <f t="shared" si="2"/>
        <v>2.4024730170848834</v>
      </c>
    </row>
    <row r="32" spans="1:16" x14ac:dyDescent="0.25">
      <c r="A32" s="11">
        <v>0.2</v>
      </c>
      <c r="B32" s="7">
        <v>0</v>
      </c>
      <c r="C32" s="11">
        <v>2.1795524777026124E-2</v>
      </c>
      <c r="D32" s="11">
        <v>-2.4519965374154389E-2</v>
      </c>
      <c r="E32" s="11">
        <v>0</v>
      </c>
      <c r="F32" s="11">
        <v>2.53E-2</v>
      </c>
      <c r="G32" s="3">
        <f t="shared" si="0"/>
        <v>2.4493565583250033E-2</v>
      </c>
      <c r="H32" s="11"/>
      <c r="I32" s="17">
        <f t="shared" si="3"/>
        <v>46197</v>
      </c>
      <c r="J32" s="18">
        <f t="shared" si="1"/>
        <v>0.27378507871321012</v>
      </c>
      <c r="K32" s="7">
        <v>0</v>
      </c>
      <c r="L32" s="7">
        <v>2.1795524777026124E-2</v>
      </c>
      <c r="M32" s="7">
        <v>-2.4519965374154389E-2</v>
      </c>
      <c r="N32" s="7">
        <v>0</v>
      </c>
      <c r="O32" s="7">
        <v>2.53E-2</v>
      </c>
      <c r="P32" s="11">
        <f t="shared" si="2"/>
        <v>2.3909323522609105</v>
      </c>
    </row>
    <row r="33" spans="1:16" x14ac:dyDescent="0.25">
      <c r="A33" s="11">
        <v>0.21</v>
      </c>
      <c r="B33" s="7">
        <v>0</v>
      </c>
      <c r="C33" s="11">
        <v>2.1795524777026124E-2</v>
      </c>
      <c r="D33" s="11">
        <v>-2.4519965374154389E-2</v>
      </c>
      <c r="E33" s="11">
        <v>0</v>
      </c>
      <c r="F33" s="11">
        <v>2.53E-2</v>
      </c>
      <c r="G33" s="3">
        <f t="shared" si="0"/>
        <v>2.4420517881959831E-2</v>
      </c>
      <c r="H33" s="11"/>
      <c r="I33" s="17">
        <f t="shared" si="3"/>
        <v>46202</v>
      </c>
      <c r="J33" s="18">
        <f t="shared" si="1"/>
        <v>0.28747433264887062</v>
      </c>
      <c r="K33" s="7">
        <v>0</v>
      </c>
      <c r="L33" s="7">
        <v>2.1795524777026124E-2</v>
      </c>
      <c r="M33" s="7">
        <v>-2.4519965374154389E-2</v>
      </c>
      <c r="N33" s="7">
        <v>0</v>
      </c>
      <c r="O33" s="7">
        <v>2.53E-2</v>
      </c>
      <c r="P33" s="11">
        <f t="shared" si="2"/>
        <v>2.3791436468892311</v>
      </c>
    </row>
    <row r="34" spans="1:16" x14ac:dyDescent="0.25">
      <c r="A34" s="11">
        <v>0.22</v>
      </c>
      <c r="B34" s="7">
        <v>0</v>
      </c>
      <c r="C34" s="11">
        <v>2.1795524777026124E-2</v>
      </c>
      <c r="D34" s="11">
        <v>-2.4519965374154389E-2</v>
      </c>
      <c r="E34" s="11">
        <v>0</v>
      </c>
      <c r="F34" s="11">
        <v>2.53E-2</v>
      </c>
      <c r="G34" s="3">
        <f t="shared" si="0"/>
        <v>2.4345312423716702E-2</v>
      </c>
      <c r="H34" s="11"/>
      <c r="I34" s="17">
        <f t="shared" si="3"/>
        <v>46207</v>
      </c>
      <c r="J34" s="18">
        <f t="shared" si="1"/>
        <v>0.30116358658453113</v>
      </c>
      <c r="K34" s="7">
        <v>0</v>
      </c>
      <c r="L34" s="7">
        <v>2.1795524777026124E-2</v>
      </c>
      <c r="M34" s="7">
        <v>-2.4519965374154389E-2</v>
      </c>
      <c r="N34" s="7">
        <v>0</v>
      </c>
      <c r="O34" s="7">
        <v>2.53E-2</v>
      </c>
      <c r="P34" s="11">
        <f t="shared" si="2"/>
        <v>2.36714044829667</v>
      </c>
    </row>
    <row r="35" spans="1:16" x14ac:dyDescent="0.25">
      <c r="A35" s="11">
        <v>0.23</v>
      </c>
      <c r="B35" s="7">
        <v>0</v>
      </c>
      <c r="C35" s="11">
        <v>2.1795524777026124E-2</v>
      </c>
      <c r="D35" s="11">
        <v>-2.4519965374154389E-2</v>
      </c>
      <c r="E35" s="11">
        <v>0</v>
      </c>
      <c r="F35" s="11">
        <v>2.53E-2</v>
      </c>
      <c r="G35" s="3">
        <f t="shared" si="0"/>
        <v>2.426807998166931E-2</v>
      </c>
      <c r="H35" s="11"/>
      <c r="I35" s="17">
        <f t="shared" si="3"/>
        <v>46212</v>
      </c>
      <c r="J35" s="18">
        <f t="shared" si="1"/>
        <v>0.31485284052019163</v>
      </c>
      <c r="K35" s="7">
        <v>0</v>
      </c>
      <c r="L35" s="7">
        <v>2.1795524777026124E-2</v>
      </c>
      <c r="M35" s="7">
        <v>-2.4519965374154389E-2</v>
      </c>
      <c r="N35" s="7">
        <v>0</v>
      </c>
      <c r="O35" s="7">
        <v>2.53E-2</v>
      </c>
      <c r="P35" s="11">
        <f t="shared" si="2"/>
        <v>2.3549563038100509</v>
      </c>
    </row>
    <row r="36" spans="1:16" x14ac:dyDescent="0.25">
      <c r="A36" s="11">
        <v>0.24</v>
      </c>
      <c r="B36" s="7">
        <v>0</v>
      </c>
      <c r="C36" s="11">
        <v>2.1795524777026124E-2</v>
      </c>
      <c r="D36" s="11">
        <v>-2.4519965374154389E-2</v>
      </c>
      <c r="E36" s="11">
        <v>0</v>
      </c>
      <c r="F36" s="11">
        <v>2.53E-2</v>
      </c>
      <c r="G36" s="3">
        <f t="shared" si="0"/>
        <v>2.4188951328966316E-2</v>
      </c>
      <c r="H36" s="11"/>
      <c r="I36" s="17">
        <f t="shared" si="3"/>
        <v>46217</v>
      </c>
      <c r="J36" s="18">
        <f t="shared" si="1"/>
        <v>0.32854209445585214</v>
      </c>
      <c r="K36" s="7">
        <v>0</v>
      </c>
      <c r="L36" s="7">
        <v>2.1795524777026124E-2</v>
      </c>
      <c r="M36" s="7">
        <v>-2.4519965374154389E-2</v>
      </c>
      <c r="N36" s="7">
        <v>0</v>
      </c>
      <c r="O36" s="7">
        <v>2.53E-2</v>
      </c>
      <c r="P36" s="11">
        <f t="shared" si="2"/>
        <v>2.3426247607561979</v>
      </c>
    </row>
    <row r="37" spans="1:16" x14ac:dyDescent="0.25">
      <c r="A37" s="11">
        <v>0.25</v>
      </c>
      <c r="B37" s="7">
        <v>0</v>
      </c>
      <c r="C37" s="11">
        <v>2.1795524777026124E-2</v>
      </c>
      <c r="D37" s="11">
        <v>-2.4519965374154389E-2</v>
      </c>
      <c r="E37" s="11">
        <v>0</v>
      </c>
      <c r="F37" s="11">
        <v>2.53E-2</v>
      </c>
      <c r="G37" s="3">
        <f t="shared" si="0"/>
        <v>2.4108057238756385E-2</v>
      </c>
      <c r="H37" s="11"/>
      <c r="I37" s="17">
        <f t="shared" si="3"/>
        <v>46222</v>
      </c>
      <c r="J37" s="18">
        <f t="shared" si="1"/>
        <v>0.34223134839151265</v>
      </c>
      <c r="K37" s="7">
        <v>0</v>
      </c>
      <c r="L37" s="7">
        <v>2.1795524777026124E-2</v>
      </c>
      <c r="M37" s="7">
        <v>-2.4519965374154389E-2</v>
      </c>
      <c r="N37" s="7">
        <v>0</v>
      </c>
      <c r="O37" s="7">
        <v>2.53E-2</v>
      </c>
      <c r="P37" s="11">
        <f t="shared" si="2"/>
        <v>2.3301793664619352</v>
      </c>
    </row>
    <row r="38" spans="1:16" x14ac:dyDescent="0.25">
      <c r="A38" s="11">
        <v>0.26</v>
      </c>
      <c r="B38" s="7">
        <v>0</v>
      </c>
      <c r="C38" s="11">
        <v>2.1795524777026124E-2</v>
      </c>
      <c r="D38" s="11">
        <v>-2.4519965374154389E-2</v>
      </c>
      <c r="E38" s="11">
        <v>0</v>
      </c>
      <c r="F38" s="11">
        <v>2.53E-2</v>
      </c>
      <c r="G38" s="3">
        <f t="shared" si="0"/>
        <v>2.4025528484188173E-2</v>
      </c>
      <c r="H38" s="11"/>
      <c r="I38" s="17">
        <f t="shared" si="3"/>
        <v>46227</v>
      </c>
      <c r="J38" s="18">
        <f t="shared" si="1"/>
        <v>0.35592060232717315</v>
      </c>
      <c r="K38" s="7">
        <v>0</v>
      </c>
      <c r="L38" s="7">
        <v>2.1795524777026124E-2</v>
      </c>
      <c r="M38" s="7">
        <v>-2.4519965374154389E-2</v>
      </c>
      <c r="N38" s="7">
        <v>0</v>
      </c>
      <c r="O38" s="7">
        <v>2.53E-2</v>
      </c>
      <c r="P38" s="11">
        <f t="shared" si="2"/>
        <v>2.3176536682540876</v>
      </c>
    </row>
    <row r="39" spans="1:16" x14ac:dyDescent="0.25">
      <c r="A39" s="11">
        <v>0.27</v>
      </c>
      <c r="B39" s="7">
        <v>0</v>
      </c>
      <c r="C39" s="11">
        <v>2.1795524777026124E-2</v>
      </c>
      <c r="D39" s="11">
        <v>-2.4519965374154389E-2</v>
      </c>
      <c r="E39" s="11">
        <v>0</v>
      </c>
      <c r="F39" s="11">
        <v>2.53E-2</v>
      </c>
      <c r="G39" s="3">
        <f t="shared" si="0"/>
        <v>2.3941495838410348E-2</v>
      </c>
      <c r="H39" s="11"/>
      <c r="I39" s="17">
        <f t="shared" si="3"/>
        <v>46232</v>
      </c>
      <c r="J39" s="18">
        <f t="shared" si="1"/>
        <v>0.36960985626283366</v>
      </c>
      <c r="K39" s="7">
        <v>0</v>
      </c>
      <c r="L39" s="7">
        <v>2.1795524777026124E-2</v>
      </c>
      <c r="M39" s="7">
        <v>-2.4519965374154389E-2</v>
      </c>
      <c r="N39" s="7">
        <v>0</v>
      </c>
      <c r="O39" s="7">
        <v>2.53E-2</v>
      </c>
      <c r="P39" s="11">
        <f t="shared" si="2"/>
        <v>2.3050812134594785</v>
      </c>
    </row>
    <row r="40" spans="1:16" x14ac:dyDescent="0.25">
      <c r="A40" s="11">
        <v>0.28000000000000003</v>
      </c>
      <c r="B40" s="7">
        <v>0</v>
      </c>
      <c r="C40" s="11">
        <v>2.1795524777026124E-2</v>
      </c>
      <c r="D40" s="11">
        <v>-2.4519965374154389E-2</v>
      </c>
      <c r="E40" s="11">
        <v>0</v>
      </c>
      <c r="F40" s="11">
        <v>2.53E-2</v>
      </c>
      <c r="G40" s="3">
        <f t="shared" si="0"/>
        <v>2.3856090074571575E-2</v>
      </c>
      <c r="H40" s="11"/>
      <c r="I40" s="17">
        <f t="shared" si="3"/>
        <v>46237</v>
      </c>
      <c r="J40" s="18">
        <f t="shared" si="1"/>
        <v>0.38329911019849416</v>
      </c>
      <c r="K40" s="7">
        <v>0</v>
      </c>
      <c r="L40" s="7">
        <v>2.1795524777026124E-2</v>
      </c>
      <c r="M40" s="7">
        <v>-2.4519965374154389E-2</v>
      </c>
      <c r="N40" s="7">
        <v>0</v>
      </c>
      <c r="O40" s="7">
        <v>2.53E-2</v>
      </c>
      <c r="P40" s="11">
        <f t="shared" si="2"/>
        <v>2.2924955494049324</v>
      </c>
    </row>
    <row r="41" spans="1:16" x14ac:dyDescent="0.25">
      <c r="A41" s="11">
        <v>0.28999999999999998</v>
      </c>
      <c r="B41" s="7">
        <v>0</v>
      </c>
      <c r="C41" s="11">
        <v>2.1795524777026124E-2</v>
      </c>
      <c r="D41" s="11">
        <v>-2.4519965374154389E-2</v>
      </c>
      <c r="E41" s="11">
        <v>0</v>
      </c>
      <c r="F41" s="11">
        <v>2.53E-2</v>
      </c>
      <c r="G41" s="3">
        <f t="shared" si="0"/>
        <v>2.3769441965820506E-2</v>
      </c>
      <c r="H41" s="11"/>
      <c r="I41" s="17">
        <f t="shared" si="3"/>
        <v>46242</v>
      </c>
      <c r="J41" s="18">
        <f t="shared" si="1"/>
        <v>0.39698836413415467</v>
      </c>
      <c r="K41" s="7">
        <v>0</v>
      </c>
      <c r="L41" s="7">
        <v>2.1795524777026124E-2</v>
      </c>
      <c r="M41" s="7">
        <v>-2.4519965374154389E-2</v>
      </c>
      <c r="N41" s="7">
        <v>0</v>
      </c>
      <c r="O41" s="7">
        <v>2.53E-2</v>
      </c>
      <c r="P41" s="11">
        <f t="shared" si="2"/>
        <v>2.2799302234172734</v>
      </c>
    </row>
    <row r="42" spans="1:16" x14ac:dyDescent="0.25">
      <c r="A42" s="11">
        <v>0.3</v>
      </c>
      <c r="B42" s="7">
        <v>0</v>
      </c>
      <c r="C42" s="11">
        <v>2.1795524777026124E-2</v>
      </c>
      <c r="D42" s="11">
        <v>-2.4519965374154389E-2</v>
      </c>
      <c r="E42" s="11">
        <v>0</v>
      </c>
      <c r="F42" s="11">
        <v>2.53E-2</v>
      </c>
      <c r="G42" s="3">
        <f t="shared" si="0"/>
        <v>2.3681682285305809E-2</v>
      </c>
      <c r="H42" s="11"/>
      <c r="I42" s="17">
        <f t="shared" si="3"/>
        <v>46247</v>
      </c>
      <c r="J42" s="18">
        <f t="shared" si="1"/>
        <v>0.41067761806981518</v>
      </c>
      <c r="K42" s="7">
        <v>0</v>
      </c>
      <c r="L42" s="7">
        <v>2.1795524777026124E-2</v>
      </c>
      <c r="M42" s="7">
        <v>-2.4519965374154389E-2</v>
      </c>
      <c r="N42" s="7">
        <v>0</v>
      </c>
      <c r="O42" s="7">
        <v>2.53E-2</v>
      </c>
      <c r="P42" s="11">
        <f t="shared" si="2"/>
        <v>2.2674187828233259</v>
      </c>
    </row>
    <row r="43" spans="1:16" x14ac:dyDescent="0.25">
      <c r="A43" s="11">
        <v>0.31</v>
      </c>
      <c r="B43" s="7">
        <v>0</v>
      </c>
      <c r="C43" s="11">
        <v>2.1795524777026124E-2</v>
      </c>
      <c r="D43" s="11">
        <v>-2.4519965374154389E-2</v>
      </c>
      <c r="E43" s="11">
        <v>0</v>
      </c>
      <c r="F43" s="11">
        <v>2.53E-2</v>
      </c>
      <c r="G43" s="3">
        <f t="shared" si="0"/>
        <v>2.3592941806176146E-2</v>
      </c>
      <c r="H43" s="11"/>
      <c r="I43" s="17">
        <f t="shared" si="3"/>
        <v>46252</v>
      </c>
      <c r="J43" s="18">
        <f t="shared" si="1"/>
        <v>0.42436687200547568</v>
      </c>
      <c r="K43" s="7">
        <v>0</v>
      </c>
      <c r="L43" s="7">
        <v>2.1795524777026124E-2</v>
      </c>
      <c r="M43" s="7">
        <v>-2.4519965374154389E-2</v>
      </c>
      <c r="N43" s="7">
        <v>0</v>
      </c>
      <c r="O43" s="7">
        <v>2.53E-2</v>
      </c>
      <c r="P43" s="11">
        <f t="shared" si="2"/>
        <v>2.2549947749499135</v>
      </c>
    </row>
    <row r="44" spans="1:16" x14ac:dyDescent="0.25">
      <c r="A44" s="11">
        <v>0.32</v>
      </c>
      <c r="B44" s="7">
        <v>0</v>
      </c>
      <c r="C44" s="11">
        <v>2.1795524777026124E-2</v>
      </c>
      <c r="D44" s="11">
        <v>-2.4519965374154389E-2</v>
      </c>
      <c r="E44" s="11">
        <v>0</v>
      </c>
      <c r="F44" s="11">
        <v>2.53E-2</v>
      </c>
      <c r="G44" s="3">
        <f t="shared" si="0"/>
        <v>2.3503351301580183E-2</v>
      </c>
      <c r="H44" s="11"/>
      <c r="I44" s="17">
        <f t="shared" si="3"/>
        <v>46257</v>
      </c>
      <c r="J44" s="18">
        <f t="shared" si="1"/>
        <v>0.43805612594113619</v>
      </c>
      <c r="K44" s="7">
        <v>0</v>
      </c>
      <c r="L44" s="7">
        <v>2.1795524777026124E-2</v>
      </c>
      <c r="M44" s="7">
        <v>-2.4519965374154389E-2</v>
      </c>
      <c r="N44" s="7">
        <v>0</v>
      </c>
      <c r="O44" s="7">
        <v>2.53E-2</v>
      </c>
      <c r="P44" s="11">
        <f t="shared" si="2"/>
        <v>2.2426917471238617</v>
      </c>
    </row>
    <row r="45" spans="1:16" x14ac:dyDescent="0.25">
      <c r="A45" s="11">
        <v>0.33</v>
      </c>
      <c r="B45" s="7">
        <v>0</v>
      </c>
      <c r="C45" s="11">
        <v>2.1795524777026124E-2</v>
      </c>
      <c r="D45" s="11">
        <v>-2.4519965374154389E-2</v>
      </c>
      <c r="E45" s="11">
        <v>0</v>
      </c>
      <c r="F45" s="11">
        <v>2.53E-2</v>
      </c>
      <c r="G45" s="3">
        <f t="shared" si="0"/>
        <v>2.3413041544666575E-2</v>
      </c>
      <c r="H45" s="11"/>
      <c r="I45" s="17">
        <f t="shared" si="3"/>
        <v>46262</v>
      </c>
      <c r="J45" s="18">
        <f t="shared" si="1"/>
        <v>0.45174537987679669</v>
      </c>
      <c r="K45" s="7">
        <v>0</v>
      </c>
      <c r="L45" s="7">
        <v>2.1795524777026124E-2</v>
      </c>
      <c r="M45" s="7">
        <v>-2.4519965374154389E-2</v>
      </c>
      <c r="N45" s="7">
        <v>0</v>
      </c>
      <c r="O45" s="7">
        <v>2.53E-2</v>
      </c>
      <c r="P45" s="11">
        <f t="shared" si="2"/>
        <v>2.2305432466719926</v>
      </c>
    </row>
    <row r="46" spans="1:16" x14ac:dyDescent="0.25">
      <c r="A46" s="11">
        <v>0.34</v>
      </c>
      <c r="B46" s="7">
        <v>0</v>
      </c>
      <c r="C46" s="11">
        <v>2.1795524777026124E-2</v>
      </c>
      <c r="D46" s="11">
        <v>-2.4519965374154389E-2</v>
      </c>
      <c r="E46" s="11">
        <v>0</v>
      </c>
      <c r="F46" s="11">
        <v>2.53E-2</v>
      </c>
      <c r="G46" s="3">
        <f t="shared" si="0"/>
        <v>2.3322143308583988E-2</v>
      </c>
      <c r="H46" s="11"/>
      <c r="I46" s="17">
        <f t="shared" si="3"/>
        <v>46267</v>
      </c>
      <c r="J46" s="18">
        <f t="shared" si="1"/>
        <v>0.4654346338124572</v>
      </c>
      <c r="K46" s="7">
        <v>0</v>
      </c>
      <c r="L46" s="7">
        <v>2.1795524777026124E-2</v>
      </c>
      <c r="M46" s="7">
        <v>-2.4519965374154389E-2</v>
      </c>
      <c r="N46" s="7">
        <v>0</v>
      </c>
      <c r="O46" s="7">
        <v>2.53E-2</v>
      </c>
      <c r="P46" s="11">
        <f t="shared" si="2"/>
        <v>2.2185828209211325</v>
      </c>
    </row>
    <row r="47" spans="1:16" x14ac:dyDescent="0.25">
      <c r="A47" s="11">
        <v>0.35</v>
      </c>
      <c r="B47" s="7">
        <v>0</v>
      </c>
      <c r="C47" s="11">
        <v>2.1795524777026124E-2</v>
      </c>
      <c r="D47" s="11">
        <v>-2.4519965374154389E-2</v>
      </c>
      <c r="E47" s="11">
        <v>0</v>
      </c>
      <c r="F47" s="11">
        <v>2.53E-2</v>
      </c>
      <c r="G47" s="3">
        <f t="shared" si="0"/>
        <v>2.3230787366481081E-2</v>
      </c>
      <c r="H47" s="11"/>
      <c r="I47" s="17">
        <f t="shared" si="3"/>
        <v>46272</v>
      </c>
      <c r="J47" s="18">
        <f t="shared" si="1"/>
        <v>0.4791238877481177</v>
      </c>
      <c r="K47" s="7">
        <v>0</v>
      </c>
      <c r="L47" s="7">
        <v>2.1795524777026124E-2</v>
      </c>
      <c r="M47" s="7">
        <v>-2.4519965374154389E-2</v>
      </c>
      <c r="N47" s="7">
        <v>0</v>
      </c>
      <c r="O47" s="7">
        <v>2.53E-2</v>
      </c>
      <c r="P47" s="11">
        <f t="shared" si="2"/>
        <v>2.2068440171981041</v>
      </c>
    </row>
    <row r="48" spans="1:16" x14ac:dyDescent="0.25">
      <c r="A48" s="11">
        <v>0.36</v>
      </c>
      <c r="B48" s="7">
        <v>0</v>
      </c>
      <c r="C48" s="11">
        <v>2.1795524777026124E-2</v>
      </c>
      <c r="D48" s="11">
        <v>-2.4519965374154389E-2</v>
      </c>
      <c r="E48" s="11">
        <v>0</v>
      </c>
      <c r="F48" s="11">
        <v>2.53E-2</v>
      </c>
      <c r="G48" s="3">
        <f t="shared" si="0"/>
        <v>2.3139104491506524E-2</v>
      </c>
      <c r="H48" s="11"/>
      <c r="I48" s="17">
        <f t="shared" si="3"/>
        <v>46277</v>
      </c>
      <c r="J48" s="18">
        <f t="shared" si="1"/>
        <v>0.49281314168377821</v>
      </c>
      <c r="K48" s="7">
        <v>0</v>
      </c>
      <c r="L48" s="7">
        <v>2.1795524777026124E-2</v>
      </c>
      <c r="M48" s="7">
        <v>-2.4519965374154389E-2</v>
      </c>
      <c r="N48" s="7">
        <v>0</v>
      </c>
      <c r="O48" s="7">
        <v>2.53E-2</v>
      </c>
      <c r="P48" s="11">
        <f t="shared" si="2"/>
        <v>2.1953603828297323</v>
      </c>
    </row>
    <row r="49" spans="1:16" x14ac:dyDescent="0.25">
      <c r="A49" s="11">
        <v>0.37</v>
      </c>
      <c r="B49" s="7">
        <v>0</v>
      </c>
      <c r="C49" s="11">
        <v>2.1795524777026124E-2</v>
      </c>
      <c r="D49" s="11">
        <v>-2.4519965374154389E-2</v>
      </c>
      <c r="E49" s="11">
        <v>0</v>
      </c>
      <c r="F49" s="11">
        <v>2.53E-2</v>
      </c>
      <c r="G49" s="3">
        <f t="shared" si="0"/>
        <v>2.3047225456808967E-2</v>
      </c>
      <c r="H49" s="11"/>
      <c r="I49" s="17">
        <f t="shared" si="3"/>
        <v>46282</v>
      </c>
      <c r="J49" s="18">
        <f t="shared" si="1"/>
        <v>0.50650239561943877</v>
      </c>
      <c r="K49" s="7">
        <v>0</v>
      </c>
      <c r="L49" s="7">
        <v>2.1795524777026124E-2</v>
      </c>
      <c r="M49" s="7">
        <v>-2.4519965374154389E-2</v>
      </c>
      <c r="N49" s="7">
        <v>0</v>
      </c>
      <c r="O49" s="7">
        <v>2.53E-2</v>
      </c>
      <c r="P49" s="11">
        <f t="shared" si="2"/>
        <v>2.1841654651428417</v>
      </c>
    </row>
    <row r="50" spans="1:16" x14ac:dyDescent="0.25">
      <c r="A50" s="11">
        <v>0.38</v>
      </c>
      <c r="B50" s="7">
        <v>0</v>
      </c>
      <c r="C50" s="11">
        <v>2.1795524777026124E-2</v>
      </c>
      <c r="D50" s="11">
        <v>-2.4519965374154389E-2</v>
      </c>
      <c r="E50" s="11">
        <v>0</v>
      </c>
      <c r="F50" s="11">
        <v>2.53E-2</v>
      </c>
      <c r="G50" s="3">
        <f t="shared" si="0"/>
        <v>2.2955281035537085E-2</v>
      </c>
      <c r="H50" s="11"/>
      <c r="I50" s="17">
        <f t="shared" si="3"/>
        <v>46287</v>
      </c>
      <c r="J50" s="18">
        <f t="shared" si="1"/>
        <v>0.52019164955509922</v>
      </c>
      <c r="K50" s="7">
        <v>0</v>
      </c>
      <c r="L50" s="7">
        <v>2.1795524777026124E-2</v>
      </c>
      <c r="M50" s="7">
        <v>-2.4519965374154389E-2</v>
      </c>
      <c r="N50" s="7">
        <v>0</v>
      </c>
      <c r="O50" s="7">
        <v>2.53E-2</v>
      </c>
      <c r="P50" s="11">
        <f t="shared" si="2"/>
        <v>2.1732928114642553</v>
      </c>
    </row>
    <row r="51" spans="1:16" x14ac:dyDescent="0.25">
      <c r="A51" s="11">
        <v>0.39</v>
      </c>
      <c r="B51" s="7">
        <v>0</v>
      </c>
      <c r="C51" s="11">
        <v>2.1795524777026124E-2</v>
      </c>
      <c r="D51" s="11">
        <v>-2.4519965374154389E-2</v>
      </c>
      <c r="E51" s="11">
        <v>0</v>
      </c>
      <c r="F51" s="11">
        <v>2.53E-2</v>
      </c>
      <c r="G51" s="3">
        <f t="shared" si="0"/>
        <v>2.2863402000839528E-2</v>
      </c>
      <c r="H51" s="11"/>
      <c r="I51" s="17">
        <f t="shared" si="3"/>
        <v>46292</v>
      </c>
      <c r="J51" s="18">
        <f t="shared" si="1"/>
        <v>0.53388090349075978</v>
      </c>
      <c r="K51" s="7">
        <v>0</v>
      </c>
      <c r="L51" s="7">
        <v>2.1795524777026124E-2</v>
      </c>
      <c r="M51" s="7">
        <v>-2.4519965374154389E-2</v>
      </c>
      <c r="N51" s="7">
        <v>0</v>
      </c>
      <c r="O51" s="7">
        <v>2.53E-2</v>
      </c>
      <c r="P51" s="11">
        <f t="shared" si="2"/>
        <v>2.1627759691207982</v>
      </c>
    </row>
    <row r="52" spans="1:16" x14ac:dyDescent="0.25">
      <c r="A52" s="11">
        <v>0.4</v>
      </c>
      <c r="B52" s="7">
        <v>0</v>
      </c>
      <c r="C52" s="11">
        <v>2.1795524777026124E-2</v>
      </c>
      <c r="D52" s="11">
        <v>-2.4519965374154389E-2</v>
      </c>
      <c r="E52" s="11">
        <v>0</v>
      </c>
      <c r="F52" s="11">
        <v>2.53E-2</v>
      </c>
      <c r="G52" s="3">
        <f t="shared" si="0"/>
        <v>2.2771719125864967E-2</v>
      </c>
      <c r="H52" s="11"/>
      <c r="I52" s="17">
        <f t="shared" si="3"/>
        <v>46297</v>
      </c>
      <c r="J52" s="18">
        <f t="shared" si="1"/>
        <v>0.54757015742642023</v>
      </c>
      <c r="K52" s="7">
        <v>0</v>
      </c>
      <c r="L52" s="7">
        <v>2.1795524777026124E-2</v>
      </c>
      <c r="M52" s="7">
        <v>-2.4519965374154389E-2</v>
      </c>
      <c r="N52" s="7">
        <v>0</v>
      </c>
      <c r="O52" s="7">
        <v>2.53E-2</v>
      </c>
      <c r="P52" s="11">
        <f t="shared" si="2"/>
        <v>2.1526484854392942</v>
      </c>
    </row>
    <row r="53" spans="1:16" x14ac:dyDescent="0.25">
      <c r="A53" s="11">
        <v>0.41</v>
      </c>
      <c r="B53" s="7">
        <v>0</v>
      </c>
      <c r="C53" s="11">
        <v>2.1795524777026124E-2</v>
      </c>
      <c r="D53" s="11">
        <v>-2.4519965374154389E-2</v>
      </c>
      <c r="E53" s="11">
        <v>0</v>
      </c>
      <c r="F53" s="11">
        <v>2.53E-2</v>
      </c>
      <c r="G53" s="3">
        <f t="shared" si="0"/>
        <v>2.2680363183762063E-2</v>
      </c>
      <c r="H53" s="11"/>
      <c r="I53" s="17">
        <f t="shared" si="3"/>
        <v>46302</v>
      </c>
      <c r="J53" s="18">
        <f t="shared" si="1"/>
        <v>0.5612594113620808</v>
      </c>
      <c r="K53" s="7">
        <v>0</v>
      </c>
      <c r="L53" s="7">
        <v>2.1795524777026124E-2</v>
      </c>
      <c r="M53" s="7">
        <v>-2.4519965374154389E-2</v>
      </c>
      <c r="N53" s="7">
        <v>0</v>
      </c>
      <c r="O53" s="7">
        <v>2.53E-2</v>
      </c>
      <c r="P53" s="11">
        <f t="shared" si="2"/>
        <v>2.1429439077465675</v>
      </c>
    </row>
    <row r="54" spans="1:16" x14ac:dyDescent="0.25">
      <c r="A54" s="11">
        <v>0.42</v>
      </c>
      <c r="B54" s="7">
        <v>0</v>
      </c>
      <c r="C54" s="11">
        <v>2.1795524777026124E-2</v>
      </c>
      <c r="D54" s="11">
        <v>-2.4519965374154389E-2</v>
      </c>
      <c r="E54" s="11">
        <v>0</v>
      </c>
      <c r="F54" s="11">
        <v>2.53E-2</v>
      </c>
      <c r="G54" s="3">
        <f t="shared" si="0"/>
        <v>2.2589464947679477E-2</v>
      </c>
      <c r="H54" s="11"/>
      <c r="I54" s="17">
        <f t="shared" si="3"/>
        <v>46307</v>
      </c>
      <c r="J54" s="18">
        <f t="shared" si="1"/>
        <v>0.57494866529774125</v>
      </c>
      <c r="K54" s="7">
        <v>0</v>
      </c>
      <c r="L54" s="7">
        <v>2.1795524777026124E-2</v>
      </c>
      <c r="M54" s="7">
        <v>-2.4519965374154389E-2</v>
      </c>
      <c r="N54" s="7">
        <v>0</v>
      </c>
      <c r="O54" s="7">
        <v>2.53E-2</v>
      </c>
      <c r="P54" s="11">
        <f t="shared" si="2"/>
        <v>2.1336957833694425</v>
      </c>
    </row>
    <row r="55" spans="1:16" x14ac:dyDescent="0.25">
      <c r="A55" s="11">
        <v>0.43</v>
      </c>
      <c r="B55" s="7">
        <v>0</v>
      </c>
      <c r="C55" s="11">
        <v>2.1795524777026124E-2</v>
      </c>
      <c r="D55" s="11">
        <v>-2.4519965374154389E-2</v>
      </c>
      <c r="E55" s="11">
        <v>0</v>
      </c>
      <c r="F55" s="11">
        <v>2.53E-2</v>
      </c>
      <c r="G55" s="3">
        <f t="shared" si="0"/>
        <v>2.2499155190765868E-2</v>
      </c>
      <c r="H55" s="11"/>
      <c r="I55" s="17">
        <f t="shared" si="3"/>
        <v>46312</v>
      </c>
      <c r="J55" s="18">
        <f t="shared" si="1"/>
        <v>0.58863791923340181</v>
      </c>
      <c r="K55" s="7">
        <v>0</v>
      </c>
      <c r="L55" s="7">
        <v>2.1795524777026124E-2</v>
      </c>
      <c r="M55" s="7">
        <v>-2.4519965374154389E-2</v>
      </c>
      <c r="N55" s="7">
        <v>0</v>
      </c>
      <c r="O55" s="7">
        <v>2.53E-2</v>
      </c>
      <c r="P55" s="11">
        <f t="shared" si="2"/>
        <v>2.1249376596347429</v>
      </c>
    </row>
    <row r="56" spans="1:16" x14ac:dyDescent="0.25">
      <c r="A56" s="11">
        <v>0.44</v>
      </c>
      <c r="B56" s="7">
        <v>0</v>
      </c>
      <c r="C56" s="11">
        <v>2.1795524777026124E-2</v>
      </c>
      <c r="D56" s="11">
        <v>-2.4519965374154389E-2</v>
      </c>
      <c r="E56" s="11">
        <v>0</v>
      </c>
      <c r="F56" s="11">
        <v>2.53E-2</v>
      </c>
      <c r="G56" s="3">
        <f t="shared" si="0"/>
        <v>2.2409564686169902E-2</v>
      </c>
      <c r="H56" s="11"/>
      <c r="I56" s="17">
        <f t="shared" si="3"/>
        <v>46317</v>
      </c>
      <c r="J56" s="18">
        <f t="shared" si="1"/>
        <v>0.60232717316906226</v>
      </c>
      <c r="K56" s="7">
        <v>0</v>
      </c>
      <c r="L56" s="7">
        <v>2.1795524777026124E-2</v>
      </c>
      <c r="M56" s="7">
        <v>-2.4519965374154389E-2</v>
      </c>
      <c r="N56" s="7">
        <v>0</v>
      </c>
      <c r="O56" s="7">
        <v>2.53E-2</v>
      </c>
      <c r="P56" s="11">
        <f t="shared" si="2"/>
        <v>2.116703083869294</v>
      </c>
    </row>
    <row r="57" spans="1:16" x14ac:dyDescent="0.25">
      <c r="A57" s="11">
        <v>0.45</v>
      </c>
      <c r="B57" s="7">
        <v>0</v>
      </c>
      <c r="C57" s="11">
        <v>2.1795524777026124E-2</v>
      </c>
      <c r="D57" s="11">
        <v>-2.4519965374154389E-2</v>
      </c>
      <c r="E57" s="11">
        <v>0</v>
      </c>
      <c r="F57" s="11">
        <v>2.53E-2</v>
      </c>
      <c r="G57" s="3">
        <f t="shared" si="0"/>
        <v>2.2320824207040242E-2</v>
      </c>
      <c r="H57" s="11"/>
      <c r="I57" s="17">
        <f t="shared" si="3"/>
        <v>46322</v>
      </c>
      <c r="J57" s="18">
        <f t="shared" si="1"/>
        <v>0.61601642710472282</v>
      </c>
      <c r="K57" s="7">
        <v>0</v>
      </c>
      <c r="L57" s="7">
        <v>2.1795524777026124E-2</v>
      </c>
      <c r="M57" s="7">
        <v>-2.4519965374154389E-2</v>
      </c>
      <c r="N57" s="7">
        <v>0</v>
      </c>
      <c r="O57" s="7">
        <v>2.53E-2</v>
      </c>
      <c r="P57" s="11">
        <f t="shared" si="2"/>
        <v>2.1090256033999188</v>
      </c>
    </row>
    <row r="58" spans="1:16" x14ac:dyDescent="0.25">
      <c r="A58" s="11">
        <v>0.46</v>
      </c>
      <c r="B58" s="7">
        <v>0</v>
      </c>
      <c r="C58" s="11">
        <v>2.1795524777026124E-2</v>
      </c>
      <c r="D58" s="11">
        <v>-2.4519965374154389E-2</v>
      </c>
      <c r="E58" s="11">
        <v>0</v>
      </c>
      <c r="F58" s="11">
        <v>2.53E-2</v>
      </c>
      <c r="G58" s="3">
        <f t="shared" si="0"/>
        <v>2.2233064526525546E-2</v>
      </c>
      <c r="H58" s="11"/>
      <c r="I58" s="17">
        <f t="shared" si="3"/>
        <v>46327</v>
      </c>
      <c r="J58" s="18">
        <f t="shared" si="1"/>
        <v>0.62970568104038327</v>
      </c>
      <c r="K58" s="7">
        <v>0</v>
      </c>
      <c r="L58" s="7">
        <v>2.1795524777026124E-2</v>
      </c>
      <c r="M58" s="7">
        <v>-2.4519965374154389E-2</v>
      </c>
      <c r="N58" s="7">
        <v>0</v>
      </c>
      <c r="O58" s="7">
        <v>2.53E-2</v>
      </c>
      <c r="P58" s="11">
        <f t="shared" si="2"/>
        <v>2.1019387655534421</v>
      </c>
    </row>
    <row r="59" spans="1:16" x14ac:dyDescent="0.25">
      <c r="A59" s="11">
        <v>0.47</v>
      </c>
      <c r="B59" s="7">
        <v>0</v>
      </c>
      <c r="C59" s="11">
        <v>2.1795524777026124E-2</v>
      </c>
      <c r="D59" s="11">
        <v>-2.4519965374154389E-2</v>
      </c>
      <c r="E59" s="11">
        <v>0</v>
      </c>
      <c r="F59" s="11">
        <v>2.53E-2</v>
      </c>
      <c r="G59" s="3">
        <f t="shared" si="0"/>
        <v>2.2146416417774477E-2</v>
      </c>
      <c r="H59" s="11"/>
      <c r="I59" s="17">
        <f t="shared" si="3"/>
        <v>46332</v>
      </c>
      <c r="J59" s="18">
        <f t="shared" si="1"/>
        <v>0.64339493497604383</v>
      </c>
      <c r="K59" s="7">
        <v>0</v>
      </c>
      <c r="L59" s="7">
        <v>2.1795524777026124E-2</v>
      </c>
      <c r="M59" s="7">
        <v>-2.4519965374154389E-2</v>
      </c>
      <c r="N59" s="7">
        <v>0</v>
      </c>
      <c r="O59" s="7">
        <v>2.53E-2</v>
      </c>
      <c r="P59" s="11">
        <f t="shared" si="2"/>
        <v>2.0954761176566876</v>
      </c>
    </row>
    <row r="60" spans="1:16" x14ac:dyDescent="0.25">
      <c r="A60" s="11">
        <v>0.48</v>
      </c>
      <c r="B60" s="7">
        <v>0</v>
      </c>
      <c r="C60" s="11">
        <v>2.1795524777026124E-2</v>
      </c>
      <c r="D60" s="11">
        <v>-2.4519965374154389E-2</v>
      </c>
      <c r="E60" s="11">
        <v>0</v>
      </c>
      <c r="F60" s="11">
        <v>2.53E-2</v>
      </c>
      <c r="G60" s="3">
        <f t="shared" si="0"/>
        <v>2.20610106539357E-2</v>
      </c>
      <c r="H60" s="11"/>
      <c r="I60" s="17">
        <f t="shared" si="3"/>
        <v>46337</v>
      </c>
      <c r="J60" s="18">
        <f t="shared" si="1"/>
        <v>0.65708418891170428</v>
      </c>
      <c r="K60" s="7">
        <v>0</v>
      </c>
      <c r="L60" s="7">
        <v>2.1795524777026124E-2</v>
      </c>
      <c r="M60" s="7">
        <v>-2.4519965374154389E-2</v>
      </c>
      <c r="N60" s="7">
        <v>0</v>
      </c>
      <c r="O60" s="7">
        <v>2.53E-2</v>
      </c>
      <c r="P60" s="11">
        <f t="shared" si="2"/>
        <v>2.0896712070364796</v>
      </c>
    </row>
    <row r="61" spans="1:16" x14ac:dyDescent="0.25">
      <c r="A61" s="11">
        <v>0.49</v>
      </c>
      <c r="B61" s="7">
        <v>0</v>
      </c>
      <c r="C61" s="11">
        <v>2.1795524777026124E-2</v>
      </c>
      <c r="D61" s="11">
        <v>-2.4519965374154389E-2</v>
      </c>
      <c r="E61" s="11">
        <v>0</v>
      </c>
      <c r="F61" s="11">
        <v>2.53E-2</v>
      </c>
      <c r="G61" s="3">
        <f t="shared" si="0"/>
        <v>2.1976978008157878E-2</v>
      </c>
      <c r="H61" s="11"/>
      <c r="I61" s="17">
        <f t="shared" si="3"/>
        <v>46342</v>
      </c>
      <c r="J61" s="18">
        <f t="shared" si="1"/>
        <v>0.67077344284736484</v>
      </c>
      <c r="K61" s="7">
        <v>0</v>
      </c>
      <c r="L61" s="7">
        <v>2.1795524777026124E-2</v>
      </c>
      <c r="M61" s="7">
        <v>-2.4519965374154389E-2</v>
      </c>
      <c r="N61" s="7">
        <v>0</v>
      </c>
      <c r="O61" s="7">
        <v>2.53E-2</v>
      </c>
      <c r="P61" s="11">
        <f t="shared" si="2"/>
        <v>2.0845575810196424</v>
      </c>
    </row>
    <row r="62" spans="1:16" x14ac:dyDescent="0.25">
      <c r="A62" s="11">
        <v>0.5</v>
      </c>
      <c r="B62" s="7">
        <v>0</v>
      </c>
      <c r="C62" s="11">
        <v>2.1795524777026124E-2</v>
      </c>
      <c r="D62" s="11">
        <v>-2.4519965374154389E-2</v>
      </c>
      <c r="E62" s="11">
        <v>0</v>
      </c>
      <c r="F62" s="11">
        <v>2.53E-2</v>
      </c>
      <c r="G62" s="3">
        <f t="shared" si="0"/>
        <v>2.1894449253589666E-2</v>
      </c>
      <c r="H62" s="11"/>
      <c r="I62" s="17">
        <f t="shared" si="3"/>
        <v>46347</v>
      </c>
      <c r="J62" s="18">
        <f t="shared" si="1"/>
        <v>0.68446269678302529</v>
      </c>
      <c r="K62" s="7">
        <v>0</v>
      </c>
      <c r="L62" s="7">
        <v>2.1795524777026124E-2</v>
      </c>
      <c r="M62" s="7">
        <v>-2.4519965374154389E-2</v>
      </c>
      <c r="N62" s="7">
        <v>0</v>
      </c>
      <c r="O62" s="7">
        <v>2.53E-2</v>
      </c>
      <c r="P62" s="11">
        <f t="shared" si="2"/>
        <v>2.0801687869330006</v>
      </c>
    </row>
    <row r="63" spans="1:16" x14ac:dyDescent="0.25">
      <c r="A63" s="11">
        <v>0.51</v>
      </c>
      <c r="B63" s="7">
        <v>0</v>
      </c>
      <c r="C63" s="11">
        <v>2.1795524777026124E-2</v>
      </c>
      <c r="D63" s="11">
        <v>-2.4519965374154389E-2</v>
      </c>
      <c r="E63" s="11">
        <v>0</v>
      </c>
      <c r="F63" s="11">
        <v>2.53E-2</v>
      </c>
      <c r="G63" s="3">
        <f t="shared" si="0"/>
        <v>2.1813555163379735E-2</v>
      </c>
      <c r="H63" s="11"/>
      <c r="I63" s="17">
        <f t="shared" si="3"/>
        <v>46352</v>
      </c>
      <c r="J63" s="18">
        <f t="shared" si="1"/>
        <v>0.69815195071868585</v>
      </c>
      <c r="K63" s="7">
        <v>0</v>
      </c>
      <c r="L63" s="7">
        <v>2.1795524777026124E-2</v>
      </c>
      <c r="M63" s="7">
        <v>-2.4519965374154389E-2</v>
      </c>
      <c r="N63" s="7">
        <v>0</v>
      </c>
      <c r="O63" s="7">
        <v>2.53E-2</v>
      </c>
      <c r="P63" s="11">
        <f t="shared" si="2"/>
        <v>2.0765383721033781</v>
      </c>
    </row>
    <row r="64" spans="1:16" x14ac:dyDescent="0.25">
      <c r="A64" s="11">
        <v>0.52</v>
      </c>
      <c r="B64" s="7">
        <v>0</v>
      </c>
      <c r="C64" s="11">
        <v>2.1795524777026124E-2</v>
      </c>
      <c r="D64" s="11">
        <v>-2.4519965374154389E-2</v>
      </c>
      <c r="E64" s="11">
        <v>0</v>
      </c>
      <c r="F64" s="11">
        <v>2.53E-2</v>
      </c>
      <c r="G64" s="3">
        <f t="shared" si="0"/>
        <v>2.1734426510676742E-2</v>
      </c>
      <c r="H64" s="11"/>
      <c r="I64" s="17">
        <f t="shared" si="3"/>
        <v>46357</v>
      </c>
      <c r="J64" s="18">
        <f t="shared" si="1"/>
        <v>0.7118412046543463</v>
      </c>
      <c r="K64" s="7">
        <v>0</v>
      </c>
      <c r="L64" s="7">
        <v>2.1795524777026124E-2</v>
      </c>
      <c r="M64" s="7">
        <v>-2.4519965374154389E-2</v>
      </c>
      <c r="N64" s="7">
        <v>0</v>
      </c>
      <c r="O64" s="7">
        <v>2.53E-2</v>
      </c>
      <c r="P64" s="11">
        <f t="shared" si="2"/>
        <v>2.0736998838575991</v>
      </c>
    </row>
    <row r="65" spans="1:16" x14ac:dyDescent="0.25">
      <c r="A65" s="11">
        <v>0.53</v>
      </c>
      <c r="B65" s="7">
        <v>0</v>
      </c>
      <c r="C65" s="11">
        <v>2.1795524777026124E-2</v>
      </c>
      <c r="D65" s="11">
        <v>-2.4519965374154389E-2</v>
      </c>
      <c r="E65" s="11">
        <v>0</v>
      </c>
      <c r="F65" s="11">
        <v>2.53E-2</v>
      </c>
      <c r="G65" s="3">
        <f t="shared" si="0"/>
        <v>2.165719406862935E-2</v>
      </c>
      <c r="H65" s="11"/>
      <c r="I65" s="17">
        <f t="shared" si="3"/>
        <v>46362</v>
      </c>
      <c r="J65" s="18">
        <f t="shared" si="1"/>
        <v>0.72553045859000687</v>
      </c>
      <c r="K65" s="7">
        <v>0</v>
      </c>
      <c r="L65" s="7">
        <v>2.1795524777026124E-2</v>
      </c>
      <c r="M65" s="7">
        <v>-2.4519965374154389E-2</v>
      </c>
      <c r="N65" s="7">
        <v>0</v>
      </c>
      <c r="O65" s="7">
        <v>2.53E-2</v>
      </c>
      <c r="P65" s="11">
        <f t="shared" si="2"/>
        <v>2.071686869522487</v>
      </c>
    </row>
    <row r="66" spans="1:16" x14ac:dyDescent="0.25">
      <c r="A66" s="11">
        <v>0.54</v>
      </c>
      <c r="B66" s="7">
        <v>0</v>
      </c>
      <c r="C66" s="11">
        <v>2.1795524777026124E-2</v>
      </c>
      <c r="D66" s="11">
        <v>-2.4519965374154389E-2</v>
      </c>
      <c r="E66" s="11">
        <v>0</v>
      </c>
      <c r="F66" s="11">
        <v>2.53E-2</v>
      </c>
      <c r="G66" s="3">
        <f t="shared" si="0"/>
        <v>2.1581988610386221E-2</v>
      </c>
      <c r="H66" s="11"/>
      <c r="I66" s="17">
        <f t="shared" si="3"/>
        <v>46367</v>
      </c>
      <c r="J66" s="18">
        <f t="shared" si="1"/>
        <v>0.73921971252566732</v>
      </c>
      <c r="K66" s="7">
        <v>0</v>
      </c>
      <c r="L66" s="7">
        <v>2.1795524777026124E-2</v>
      </c>
      <c r="M66" s="7">
        <v>-2.4519965374154389E-2</v>
      </c>
      <c r="N66" s="7">
        <v>0</v>
      </c>
      <c r="O66" s="7">
        <v>2.53E-2</v>
      </c>
      <c r="P66" s="11">
        <f t="shared" si="2"/>
        <v>2.0705328764248674</v>
      </c>
    </row>
    <row r="67" spans="1:16" x14ac:dyDescent="0.25">
      <c r="A67" s="11">
        <v>0.55000000000000004</v>
      </c>
      <c r="B67" s="7">
        <v>0</v>
      </c>
      <c r="C67" s="11">
        <v>2.1795524777026124E-2</v>
      </c>
      <c r="D67" s="11">
        <v>-2.4519965374154389E-2</v>
      </c>
      <c r="E67" s="11">
        <v>0</v>
      </c>
      <c r="F67" s="11">
        <v>2.53E-2</v>
      </c>
      <c r="G67" s="3">
        <f t="shared" si="0"/>
        <v>2.1508940909096018E-2</v>
      </c>
      <c r="H67" s="11"/>
      <c r="I67" s="17">
        <f t="shared" si="3"/>
        <v>46372</v>
      </c>
      <c r="J67" s="18">
        <f t="shared" si="1"/>
        <v>0.75290896646132788</v>
      </c>
      <c r="K67" s="7">
        <v>0.75</v>
      </c>
      <c r="L67" s="7">
        <v>-3.7060713183952494E-3</v>
      </c>
      <c r="M67" s="7">
        <v>1.5057782665666767E-2</v>
      </c>
      <c r="N67" s="7">
        <v>-1.6332678648708167E-2</v>
      </c>
      <c r="O67" s="7">
        <v>2.6045511566887617E-2</v>
      </c>
      <c r="P67" s="11">
        <f t="shared" si="2"/>
        <v>2.0702563258906728</v>
      </c>
    </row>
    <row r="68" spans="1:16" x14ac:dyDescent="0.25">
      <c r="A68" s="11">
        <v>0.56000000000000005</v>
      </c>
      <c r="B68" s="7">
        <v>0</v>
      </c>
      <c r="C68" s="11">
        <v>2.1795524777026124E-2</v>
      </c>
      <c r="D68" s="11">
        <v>-2.4519965374154389E-2</v>
      </c>
      <c r="E68" s="11">
        <v>0</v>
      </c>
      <c r="F68" s="11">
        <v>2.53E-2</v>
      </c>
      <c r="G68" s="3">
        <f t="shared" si="0"/>
        <v>2.1438181737907402E-2</v>
      </c>
      <c r="H68" s="11"/>
      <c r="I68" s="17">
        <f t="shared" si="3"/>
        <v>46377</v>
      </c>
      <c r="J68" s="18">
        <f t="shared" si="1"/>
        <v>0.76659822039698833</v>
      </c>
      <c r="K68" s="7">
        <v>0.75</v>
      </c>
      <c r="L68" s="7">
        <v>-3.7060713183952494E-3</v>
      </c>
      <c r="M68" s="7">
        <v>1.5057782665666767E-2</v>
      </c>
      <c r="N68" s="7">
        <v>-1.6332678648708167E-2</v>
      </c>
      <c r="O68" s="7">
        <v>2.6045511566887617E-2</v>
      </c>
      <c r="P68" s="11">
        <f t="shared" si="2"/>
        <v>2.0704340669480317</v>
      </c>
    </row>
    <row r="69" spans="1:16" x14ac:dyDescent="0.25">
      <c r="A69" s="11">
        <v>0.56999999999999995</v>
      </c>
      <c r="B69" s="7">
        <v>0</v>
      </c>
      <c r="C69" s="11">
        <v>2.1795524777026124E-2</v>
      </c>
      <c r="D69" s="11">
        <v>-2.4519965374154389E-2</v>
      </c>
      <c r="E69" s="11">
        <v>0</v>
      </c>
      <c r="F69" s="11">
        <v>2.53E-2</v>
      </c>
      <c r="G69" s="3">
        <f t="shared" si="0"/>
        <v>2.1369841869969038E-2</v>
      </c>
      <c r="H69" s="11"/>
      <c r="I69" s="17">
        <f t="shared" si="3"/>
        <v>46382</v>
      </c>
      <c r="J69" s="18">
        <f t="shared" si="1"/>
        <v>0.78028747433264889</v>
      </c>
      <c r="K69" s="7">
        <v>0.75</v>
      </c>
      <c r="L69" s="7">
        <v>-3.7060713183952494E-3</v>
      </c>
      <c r="M69" s="7">
        <v>1.5057782665666767E-2</v>
      </c>
      <c r="N69" s="7">
        <v>-1.6332678648708167E-2</v>
      </c>
      <c r="O69" s="7">
        <v>2.6045511566887617E-2</v>
      </c>
      <c r="P69" s="11">
        <f t="shared" si="2"/>
        <v>2.0708567183954458</v>
      </c>
    </row>
    <row r="70" spans="1:16" x14ac:dyDescent="0.25">
      <c r="A70" s="11">
        <v>0.57999999999999996</v>
      </c>
      <c r="B70" s="7">
        <v>0</v>
      </c>
      <c r="C70" s="11">
        <v>2.1795524777026124E-2</v>
      </c>
      <c r="D70" s="11">
        <v>-2.4519965374154389E-2</v>
      </c>
      <c r="E70" s="11">
        <v>0</v>
      </c>
      <c r="F70" s="11">
        <v>2.53E-2</v>
      </c>
      <c r="G70" s="3">
        <f t="shared" si="0"/>
        <v>2.1304052078429586E-2</v>
      </c>
      <c r="H70" s="11"/>
      <c r="I70" s="17">
        <f t="shared" si="3"/>
        <v>46387</v>
      </c>
      <c r="J70" s="18">
        <f t="shared" si="1"/>
        <v>0.79397672826830934</v>
      </c>
      <c r="K70" s="7">
        <v>0.75</v>
      </c>
      <c r="L70" s="7">
        <v>-3.7060713183952494E-3</v>
      </c>
      <c r="M70" s="7">
        <v>1.5057782665666767E-2</v>
      </c>
      <c r="N70" s="7">
        <v>-1.6332678648708167E-2</v>
      </c>
      <c r="O70" s="7">
        <v>2.6045511566887617E-2</v>
      </c>
      <c r="P70" s="11">
        <f t="shared" si="2"/>
        <v>2.0715185759065897</v>
      </c>
    </row>
    <row r="71" spans="1:16" x14ac:dyDescent="0.25">
      <c r="A71" s="11">
        <v>0.59</v>
      </c>
      <c r="B71" s="7">
        <v>0</v>
      </c>
      <c r="C71" s="11">
        <v>2.1795524777026124E-2</v>
      </c>
      <c r="D71" s="11">
        <v>-2.4519965374154389E-2</v>
      </c>
      <c r="E71" s="11">
        <v>0</v>
      </c>
      <c r="F71" s="11">
        <v>2.53E-2</v>
      </c>
      <c r="G71" s="3">
        <f t="shared" si="0"/>
        <v>2.1240943136437707E-2</v>
      </c>
      <c r="H71" s="11"/>
      <c r="I71" s="17">
        <f t="shared" si="3"/>
        <v>46392</v>
      </c>
      <c r="J71" s="18">
        <f t="shared" si="1"/>
        <v>0.8076659822039699</v>
      </c>
      <c r="K71" s="7">
        <v>0.75</v>
      </c>
      <c r="L71" s="7">
        <v>-3.7060713183952494E-3</v>
      </c>
      <c r="M71" s="7">
        <v>1.5057782665666767E-2</v>
      </c>
      <c r="N71" s="7">
        <v>-1.6332678648708167E-2</v>
      </c>
      <c r="O71" s="7">
        <v>2.6045511566887617E-2</v>
      </c>
      <c r="P71" s="11">
        <f t="shared" si="2"/>
        <v>2.0724139351551387</v>
      </c>
    </row>
    <row r="72" spans="1:16" x14ac:dyDescent="0.25">
      <c r="A72" s="11">
        <v>0.6</v>
      </c>
      <c r="B72" s="7">
        <v>0</v>
      </c>
      <c r="C72" s="11">
        <v>2.1795524777026124E-2</v>
      </c>
      <c r="D72" s="11">
        <v>-2.4519965374154389E-2</v>
      </c>
      <c r="E72" s="11">
        <v>0</v>
      </c>
      <c r="F72" s="11">
        <v>2.53E-2</v>
      </c>
      <c r="G72" s="3">
        <f t="shared" si="0"/>
        <v>2.1180645817142064E-2</v>
      </c>
      <c r="H72" s="11"/>
      <c r="I72" s="17">
        <f t="shared" si="3"/>
        <v>46397</v>
      </c>
      <c r="J72" s="18">
        <f t="shared" si="1"/>
        <v>0.82135523613963035</v>
      </c>
      <c r="K72" s="7">
        <v>0.75</v>
      </c>
      <c r="L72" s="7">
        <v>-3.7060713183952494E-3</v>
      </c>
      <c r="M72" s="7">
        <v>1.5057782665666767E-2</v>
      </c>
      <c r="N72" s="7">
        <v>-1.6332678648708167E-2</v>
      </c>
      <c r="O72" s="7">
        <v>2.6045511566887617E-2</v>
      </c>
      <c r="P72" s="11">
        <f t="shared" si="2"/>
        <v>2.0735370918147678</v>
      </c>
    </row>
    <row r="73" spans="1:16" x14ac:dyDescent="0.25">
      <c r="A73" s="11">
        <v>0.61</v>
      </c>
      <c r="B73" s="7">
        <v>0</v>
      </c>
      <c r="C73" s="11">
        <v>2.1795524777026124E-2</v>
      </c>
      <c r="D73" s="11">
        <v>-2.4519965374154389E-2</v>
      </c>
      <c r="E73" s="11">
        <v>0</v>
      </c>
      <c r="F73" s="11">
        <v>2.53E-2</v>
      </c>
      <c r="G73" s="3">
        <f t="shared" si="0"/>
        <v>2.1123290893691318E-2</v>
      </c>
      <c r="H73" s="11"/>
      <c r="I73" s="17">
        <f t="shared" si="3"/>
        <v>46402</v>
      </c>
      <c r="J73" s="18">
        <f t="shared" si="1"/>
        <v>0.83504449007529091</v>
      </c>
      <c r="K73" s="7">
        <v>0.75</v>
      </c>
      <c r="L73" s="7">
        <v>-3.7060713183952494E-3</v>
      </c>
      <c r="M73" s="7">
        <v>1.5057782665666767E-2</v>
      </c>
      <c r="N73" s="7">
        <v>-1.6332678648708167E-2</v>
      </c>
      <c r="O73" s="7">
        <v>2.6045511566887617E-2</v>
      </c>
      <c r="P73" s="11">
        <f t="shared" si="2"/>
        <v>2.0748823415591517</v>
      </c>
    </row>
    <row r="74" spans="1:16" x14ac:dyDescent="0.25">
      <c r="A74" s="11">
        <v>0.62</v>
      </c>
      <c r="B74" s="7">
        <v>0</v>
      </c>
      <c r="C74" s="11">
        <v>2.1795524777026124E-2</v>
      </c>
      <c r="D74" s="11">
        <v>-2.4519965374154389E-2</v>
      </c>
      <c r="E74" s="11">
        <v>0</v>
      </c>
      <c r="F74" s="11">
        <v>2.53E-2</v>
      </c>
      <c r="G74" s="3">
        <f t="shared" si="0"/>
        <v>2.1069009139234134E-2</v>
      </c>
      <c r="H74" s="11"/>
      <c r="I74" s="17">
        <f t="shared" si="3"/>
        <v>46407</v>
      </c>
      <c r="J74" s="18">
        <f t="shared" si="1"/>
        <v>0.84873374401095136</v>
      </c>
      <c r="K74" s="7">
        <v>0.75</v>
      </c>
      <c r="L74" s="7">
        <v>-3.7060713183952494E-3</v>
      </c>
      <c r="M74" s="7">
        <v>1.5057782665666767E-2</v>
      </c>
      <c r="N74" s="7">
        <v>-1.6332678648708167E-2</v>
      </c>
      <c r="O74" s="7">
        <v>2.6045511566887617E-2</v>
      </c>
      <c r="P74" s="11">
        <f t="shared" si="2"/>
        <v>2.0764439800619656</v>
      </c>
    </row>
    <row r="75" spans="1:16" x14ac:dyDescent="0.25">
      <c r="A75" s="11">
        <v>0.63</v>
      </c>
      <c r="B75" s="7">
        <v>0</v>
      </c>
      <c r="C75" s="11">
        <v>2.1795524777026124E-2</v>
      </c>
      <c r="D75" s="11">
        <v>-2.4519965374154389E-2</v>
      </c>
      <c r="E75" s="11">
        <v>0</v>
      </c>
      <c r="F75" s="11">
        <v>2.53E-2</v>
      </c>
      <c r="G75" s="3">
        <f t="shared" si="0"/>
        <v>2.1017931326919176E-2</v>
      </c>
      <c r="H75" s="11"/>
      <c r="I75" s="17">
        <f t="shared" si="3"/>
        <v>46412</v>
      </c>
      <c r="J75" s="18">
        <f t="shared" si="1"/>
        <v>0.86242299794661192</v>
      </c>
      <c r="K75" s="7">
        <v>0.75</v>
      </c>
      <c r="L75" s="7">
        <v>-3.7060713183952494E-3</v>
      </c>
      <c r="M75" s="7">
        <v>1.5057782665666767E-2</v>
      </c>
      <c r="N75" s="7">
        <v>-1.6332678648708167E-2</v>
      </c>
      <c r="O75" s="7">
        <v>2.6045511566887617E-2</v>
      </c>
      <c r="P75" s="11">
        <f t="shared" si="2"/>
        <v>2.0782163029968848</v>
      </c>
    </row>
    <row r="76" spans="1:16" x14ac:dyDescent="0.25">
      <c r="A76" s="11">
        <v>0.64</v>
      </c>
      <c r="B76" s="7">
        <v>0</v>
      </c>
      <c r="C76" s="11">
        <v>2.1795524777026124E-2</v>
      </c>
      <c r="D76" s="11">
        <v>-2.4519965374154389E-2</v>
      </c>
      <c r="E76" s="11">
        <v>0</v>
      </c>
      <c r="F76" s="11">
        <v>2.53E-2</v>
      </c>
      <c r="G76" s="3">
        <f t="shared" si="0"/>
        <v>2.0970188229895097E-2</v>
      </c>
      <c r="H76" s="11"/>
      <c r="I76" s="17">
        <f t="shared" si="3"/>
        <v>46417</v>
      </c>
      <c r="J76" s="18">
        <f t="shared" si="1"/>
        <v>0.87611225188227237</v>
      </c>
      <c r="K76" s="7">
        <v>0.75</v>
      </c>
      <c r="L76" s="7">
        <v>-3.7060713183952494E-3</v>
      </c>
      <c r="M76" s="7">
        <v>1.5057782665666767E-2</v>
      </c>
      <c r="N76" s="7">
        <v>-1.6332678648708167E-2</v>
      </c>
      <c r="O76" s="7">
        <v>2.6045511566887617E-2</v>
      </c>
      <c r="P76" s="11">
        <f t="shared" si="2"/>
        <v>2.0801936060375836</v>
      </c>
    </row>
    <row r="77" spans="1:16" x14ac:dyDescent="0.25">
      <c r="A77" s="11">
        <v>0.65</v>
      </c>
      <c r="B77" s="7">
        <v>0</v>
      </c>
      <c r="C77" s="11">
        <v>2.1795524777026124E-2</v>
      </c>
      <c r="D77" s="11">
        <v>-2.4519965374154389E-2</v>
      </c>
      <c r="E77" s="11">
        <v>0</v>
      </c>
      <c r="F77" s="11">
        <v>2.53E-2</v>
      </c>
      <c r="G77" s="3">
        <f t="shared" ref="G77:G140" si="4">C77*A77^3 + D77*A77^2 + E77*A77 + F77</f>
        <v>2.0925910621310571E-2</v>
      </c>
      <c r="H77" s="11"/>
      <c r="I77" s="17">
        <f t="shared" si="3"/>
        <v>46422</v>
      </c>
      <c r="J77" s="18">
        <f t="shared" ref="J77:J140" si="5">(I77-$I$12)/365.25</f>
        <v>0.88980150581793294</v>
      </c>
      <c r="K77" s="7">
        <v>0.75</v>
      </c>
      <c r="L77" s="7">
        <v>-3.7060713183952494E-3</v>
      </c>
      <c r="M77" s="7">
        <v>1.5057782665666767E-2</v>
      </c>
      <c r="N77" s="7">
        <v>-1.6332678648708167E-2</v>
      </c>
      <c r="O77" s="7">
        <v>2.6045511566887617E-2</v>
      </c>
      <c r="P77" s="11">
        <f t="shared" ref="P77:P140" si="6">100*(L77*J77^3 + M77*J77^2 + N77*J77 + O77)</f>
        <v>2.0823701848577381</v>
      </c>
    </row>
    <row r="78" spans="1:16" x14ac:dyDescent="0.25">
      <c r="A78" s="11">
        <v>0.66</v>
      </c>
      <c r="B78" s="7">
        <v>0</v>
      </c>
      <c r="C78" s="11">
        <v>2.1795524777026124E-2</v>
      </c>
      <c r="D78" s="11">
        <v>-2.4519965374154389E-2</v>
      </c>
      <c r="E78" s="11">
        <v>0</v>
      </c>
      <c r="F78" s="11">
        <v>2.53E-2</v>
      </c>
      <c r="G78" s="3">
        <f t="shared" si="4"/>
        <v>2.088522927431425E-2</v>
      </c>
      <c r="H78" s="11"/>
      <c r="I78" s="17">
        <f t="shared" ref="I78:I141" si="7">I77+5</f>
        <v>46427</v>
      </c>
      <c r="J78" s="18">
        <f t="shared" si="5"/>
        <v>0.90349075975359339</v>
      </c>
      <c r="K78" s="7">
        <v>0.75</v>
      </c>
      <c r="L78" s="7">
        <v>-3.7060713183952494E-3</v>
      </c>
      <c r="M78" s="7">
        <v>1.5057782665666767E-2</v>
      </c>
      <c r="N78" s="7">
        <v>-1.6332678648708167E-2</v>
      </c>
      <c r="O78" s="7">
        <v>2.6045511566887617E-2</v>
      </c>
      <c r="P78" s="11">
        <f t="shared" si="6"/>
        <v>2.0847403351310225</v>
      </c>
    </row>
    <row r="79" spans="1:16" x14ac:dyDescent="0.25">
      <c r="A79" s="11">
        <v>0.67</v>
      </c>
      <c r="B79" s="7">
        <v>0</v>
      </c>
      <c r="C79" s="11">
        <v>2.1795524777026124E-2</v>
      </c>
      <c r="D79" s="11">
        <v>-2.4519965374154389E-2</v>
      </c>
      <c r="E79" s="11">
        <v>0</v>
      </c>
      <c r="F79" s="11">
        <v>2.53E-2</v>
      </c>
      <c r="G79" s="3">
        <f t="shared" si="4"/>
        <v>2.08482749620548E-2</v>
      </c>
      <c r="H79" s="11"/>
      <c r="I79" s="17">
        <f t="shared" si="7"/>
        <v>46432</v>
      </c>
      <c r="J79" s="18">
        <f t="shared" si="5"/>
        <v>0.91718001368925395</v>
      </c>
      <c r="K79" s="7">
        <v>0.75</v>
      </c>
      <c r="L79" s="7">
        <v>-3.7060713183952494E-3</v>
      </c>
      <c r="M79" s="7">
        <v>1.5057782665666767E-2</v>
      </c>
      <c r="N79" s="7">
        <v>-1.6332678648708167E-2</v>
      </c>
      <c r="O79" s="7">
        <v>2.6045511566887617E-2</v>
      </c>
      <c r="P79" s="11">
        <f t="shared" si="6"/>
        <v>2.0872983525311124</v>
      </c>
    </row>
    <row r="80" spans="1:16" x14ac:dyDescent="0.25">
      <c r="A80" s="11">
        <v>0.68</v>
      </c>
      <c r="B80" s="7">
        <v>0</v>
      </c>
      <c r="C80" s="11">
        <v>2.1795524777026124E-2</v>
      </c>
      <c r="D80" s="11">
        <v>-2.4519965374154389E-2</v>
      </c>
      <c r="E80" s="11">
        <v>0</v>
      </c>
      <c r="F80" s="11">
        <v>2.53E-2</v>
      </c>
      <c r="G80" s="3">
        <f t="shared" si="4"/>
        <v>2.081517845768089E-2</v>
      </c>
      <c r="H80" s="11"/>
      <c r="I80" s="17">
        <f t="shared" si="7"/>
        <v>46437</v>
      </c>
      <c r="J80" s="18">
        <f t="shared" si="5"/>
        <v>0.9308692676249144</v>
      </c>
      <c r="K80" s="7">
        <v>0.75</v>
      </c>
      <c r="L80" s="7">
        <v>-3.7060713183952494E-3</v>
      </c>
      <c r="M80" s="7">
        <v>1.5057782665666767E-2</v>
      </c>
      <c r="N80" s="7">
        <v>-1.6332678648708167E-2</v>
      </c>
      <c r="O80" s="7">
        <v>2.6045511566887617E-2</v>
      </c>
      <c r="P80" s="11">
        <f t="shared" si="6"/>
        <v>2.0900385327316822</v>
      </c>
    </row>
    <row r="81" spans="1:16" x14ac:dyDescent="0.25">
      <c r="A81" s="11">
        <v>0.69</v>
      </c>
      <c r="B81" s="7">
        <v>0</v>
      </c>
      <c r="C81" s="11">
        <v>2.1795524777026124E-2</v>
      </c>
      <c r="D81" s="11">
        <v>-2.4519965374154389E-2</v>
      </c>
      <c r="E81" s="11">
        <v>0</v>
      </c>
      <c r="F81" s="11">
        <v>2.53E-2</v>
      </c>
      <c r="G81" s="3">
        <f t="shared" si="4"/>
        <v>2.0786070534341172E-2</v>
      </c>
      <c r="H81" s="11"/>
      <c r="I81" s="17">
        <f t="shared" si="7"/>
        <v>46442</v>
      </c>
      <c r="J81" s="18">
        <f t="shared" si="5"/>
        <v>0.94455852156057496</v>
      </c>
      <c r="K81" s="7">
        <v>0.75</v>
      </c>
      <c r="L81" s="7">
        <v>-3.7060713183952494E-3</v>
      </c>
      <c r="M81" s="7">
        <v>1.5057782665666767E-2</v>
      </c>
      <c r="N81" s="7">
        <v>-1.6332678648708167E-2</v>
      </c>
      <c r="O81" s="7">
        <v>2.6045511566887617E-2</v>
      </c>
      <c r="P81" s="11">
        <f t="shared" si="6"/>
        <v>2.0929551714064076</v>
      </c>
    </row>
    <row r="82" spans="1:16" x14ac:dyDescent="0.25">
      <c r="A82" s="11">
        <v>0.7</v>
      </c>
      <c r="B82" s="7">
        <v>0</v>
      </c>
      <c r="C82" s="11">
        <v>2.1795524777026124E-2</v>
      </c>
      <c r="D82" s="11">
        <v>-2.4519965374154389E-2</v>
      </c>
      <c r="E82" s="11">
        <v>0</v>
      </c>
      <c r="F82" s="11">
        <v>2.53E-2</v>
      </c>
      <c r="G82" s="3">
        <f t="shared" si="4"/>
        <v>2.0761081965184308E-2</v>
      </c>
      <c r="H82" s="11"/>
      <c r="I82" s="17">
        <f t="shared" si="7"/>
        <v>46447</v>
      </c>
      <c r="J82" s="18">
        <f t="shared" si="5"/>
        <v>0.95824777549623541</v>
      </c>
      <c r="K82" s="7">
        <v>0.75</v>
      </c>
      <c r="L82" s="7">
        <v>-3.7060713183952494E-3</v>
      </c>
      <c r="M82" s="7">
        <v>1.5057782665666767E-2</v>
      </c>
      <c r="N82" s="7">
        <v>-1.6332678648708167E-2</v>
      </c>
      <c r="O82" s="7">
        <v>2.6045511566887617E-2</v>
      </c>
      <c r="P82" s="11">
        <f t="shared" si="6"/>
        <v>2.0960425642289633</v>
      </c>
    </row>
    <row r="83" spans="1:16" x14ac:dyDescent="0.25">
      <c r="A83" s="11">
        <v>0.71</v>
      </c>
      <c r="B83" s="7">
        <v>0</v>
      </c>
      <c r="C83" s="11">
        <v>2.1795524777026124E-2</v>
      </c>
      <c r="D83" s="11">
        <v>-2.4519965374154389E-2</v>
      </c>
      <c r="E83" s="11">
        <v>0</v>
      </c>
      <c r="F83" s="11">
        <v>2.53E-2</v>
      </c>
      <c r="G83" s="3">
        <f t="shared" si="4"/>
        <v>2.0740343523358969E-2</v>
      </c>
      <c r="H83" s="11"/>
      <c r="I83" s="17">
        <f t="shared" si="7"/>
        <v>46452</v>
      </c>
      <c r="J83" s="18">
        <f t="shared" si="5"/>
        <v>0.97193702943189597</v>
      </c>
      <c r="K83" s="7">
        <v>0.75</v>
      </c>
      <c r="L83" s="7">
        <v>-3.7060713183952494E-3</v>
      </c>
      <c r="M83" s="7">
        <v>1.5057782665666767E-2</v>
      </c>
      <c r="N83" s="7">
        <v>-1.6332678648708167E-2</v>
      </c>
      <c r="O83" s="7">
        <v>2.6045511566887617E-2</v>
      </c>
      <c r="P83" s="11">
        <f t="shared" si="6"/>
        <v>2.0992950068730245</v>
      </c>
    </row>
    <row r="84" spans="1:16" x14ac:dyDescent="0.25">
      <c r="A84" s="11">
        <v>0.72</v>
      </c>
      <c r="B84" s="7">
        <v>0</v>
      </c>
      <c r="C84" s="11">
        <v>2.1795524777026124E-2</v>
      </c>
      <c r="D84" s="11">
        <v>-2.4519965374154389E-2</v>
      </c>
      <c r="E84" s="11">
        <v>0</v>
      </c>
      <c r="F84" s="11">
        <v>2.53E-2</v>
      </c>
      <c r="G84" s="3">
        <f t="shared" si="4"/>
        <v>2.0723985982013811E-2</v>
      </c>
      <c r="H84" s="11"/>
      <c r="I84" s="17">
        <f t="shared" si="7"/>
        <v>46457</v>
      </c>
      <c r="J84" s="18">
        <f t="shared" si="5"/>
        <v>0.98562628336755642</v>
      </c>
      <c r="K84" s="7">
        <v>0.75</v>
      </c>
      <c r="L84" s="7">
        <v>-3.7060713183952494E-3</v>
      </c>
      <c r="M84" s="7">
        <v>1.5057782665666767E-2</v>
      </c>
      <c r="N84" s="7">
        <v>-1.6332678648708167E-2</v>
      </c>
      <c r="O84" s="7">
        <v>2.6045511566887617E-2</v>
      </c>
      <c r="P84" s="11">
        <f t="shared" si="6"/>
        <v>2.1027067950122662</v>
      </c>
    </row>
    <row r="85" spans="1:16" x14ac:dyDescent="0.25">
      <c r="A85" s="11">
        <v>0.73</v>
      </c>
      <c r="B85" s="7">
        <v>0</v>
      </c>
      <c r="C85" s="11">
        <v>2.1795524777026124E-2</v>
      </c>
      <c r="D85" s="11">
        <v>-2.4519965374154389E-2</v>
      </c>
      <c r="E85" s="11">
        <v>0</v>
      </c>
      <c r="F85" s="11">
        <v>2.53E-2</v>
      </c>
      <c r="G85" s="3">
        <f t="shared" si="4"/>
        <v>2.0712140114297499E-2</v>
      </c>
      <c r="H85" s="11"/>
      <c r="I85" s="17">
        <f t="shared" si="7"/>
        <v>46462</v>
      </c>
      <c r="J85" s="18">
        <f t="shared" si="5"/>
        <v>0.99931553730321698</v>
      </c>
      <c r="K85" s="7">
        <v>0.75</v>
      </c>
      <c r="L85" s="7">
        <v>-3.7060713183952494E-3</v>
      </c>
      <c r="M85" s="7">
        <v>1.5057782665666767E-2</v>
      </c>
      <c r="N85" s="7">
        <v>-1.6332678648708167E-2</v>
      </c>
      <c r="O85" s="7">
        <v>2.6045511566887617E-2</v>
      </c>
      <c r="P85" s="11">
        <f t="shared" si="6"/>
        <v>2.1062722243203629</v>
      </c>
    </row>
    <row r="86" spans="1:16" x14ac:dyDescent="0.25">
      <c r="A86" s="11">
        <v>0.74</v>
      </c>
      <c r="B86" s="7">
        <v>0</v>
      </c>
      <c r="C86" s="11">
        <v>2.1795524777026124E-2</v>
      </c>
      <c r="D86" s="11">
        <v>-2.4519965374154389E-2</v>
      </c>
      <c r="E86" s="11">
        <v>0</v>
      </c>
      <c r="F86" s="11">
        <v>2.53E-2</v>
      </c>
      <c r="G86" s="3">
        <f t="shared" si="4"/>
        <v>2.070493669335869E-2</v>
      </c>
      <c r="H86" s="11"/>
      <c r="I86" s="17">
        <f t="shared" si="7"/>
        <v>46467</v>
      </c>
      <c r="J86" s="18">
        <f t="shared" si="5"/>
        <v>1.0130047912388775</v>
      </c>
      <c r="K86" s="7">
        <v>0.75</v>
      </c>
      <c r="L86" s="7">
        <v>-3.7060713183952494E-3</v>
      </c>
      <c r="M86" s="7">
        <v>1.5057782665666767E-2</v>
      </c>
      <c r="N86" s="7">
        <v>-1.6332678648708167E-2</v>
      </c>
      <c r="O86" s="7">
        <v>2.6045511566887617E-2</v>
      </c>
      <c r="P86" s="11">
        <f t="shared" si="6"/>
        <v>2.1099855904709903</v>
      </c>
    </row>
    <row r="87" spans="1:16" x14ac:dyDescent="0.25">
      <c r="A87" s="11">
        <v>0.75</v>
      </c>
      <c r="B87" s="7">
        <v>0.75</v>
      </c>
      <c r="C87" s="11">
        <v>-3.7060713183952494E-3</v>
      </c>
      <c r="D87" s="11">
        <v>1.5057782665666767E-2</v>
      </c>
      <c r="E87" s="11">
        <v>-1.6332678648708167E-2</v>
      </c>
      <c r="F87" s="11">
        <v>2.6045511566887617E-2</v>
      </c>
      <c r="G87" s="3">
        <f t="shared" si="4"/>
        <v>2.0702506492346052E-2</v>
      </c>
      <c r="H87" s="11"/>
      <c r="I87" s="17">
        <f t="shared" si="7"/>
        <v>46472</v>
      </c>
      <c r="J87" s="18">
        <f t="shared" si="5"/>
        <v>1.0266940451745379</v>
      </c>
      <c r="K87" s="7">
        <v>0.75</v>
      </c>
      <c r="L87" s="7">
        <v>-3.7060713183952494E-3</v>
      </c>
      <c r="M87" s="7">
        <v>1.5057782665666767E-2</v>
      </c>
      <c r="N87" s="7">
        <v>-1.6332678648708167E-2</v>
      </c>
      <c r="O87" s="7">
        <v>2.6045511566887617E-2</v>
      </c>
      <c r="P87" s="11">
        <f t="shared" si="6"/>
        <v>2.1138411891378235</v>
      </c>
    </row>
    <row r="88" spans="1:16" x14ac:dyDescent="0.25">
      <c r="A88" s="11">
        <v>0.76</v>
      </c>
      <c r="B88" s="7">
        <v>0.75</v>
      </c>
      <c r="C88" s="11">
        <v>-3.7060713183952494E-3</v>
      </c>
      <c r="D88" s="11">
        <v>1.5057782665666767E-2</v>
      </c>
      <c r="E88" s="11">
        <v>-1.6332678648708167E-2</v>
      </c>
      <c r="F88" s="11">
        <v>2.6045511566887617E-2</v>
      </c>
      <c r="G88" s="3">
        <f t="shared" si="4"/>
        <v>2.0703174698494663E-2</v>
      </c>
      <c r="H88" s="11"/>
      <c r="I88" s="17">
        <f t="shared" si="7"/>
        <v>46477</v>
      </c>
      <c r="J88" s="18">
        <f t="shared" si="5"/>
        <v>1.0403832991101984</v>
      </c>
      <c r="K88" s="7">
        <v>0.75</v>
      </c>
      <c r="L88" s="7">
        <v>-3.7060713183952494E-3</v>
      </c>
      <c r="M88" s="7">
        <v>1.5057782665666767E-2</v>
      </c>
      <c r="N88" s="7">
        <v>-1.6332678648708167E-2</v>
      </c>
      <c r="O88" s="7">
        <v>2.6045511566887617E-2</v>
      </c>
      <c r="P88" s="11">
        <f t="shared" si="6"/>
        <v>2.1178333159945368</v>
      </c>
    </row>
    <row r="89" spans="1:16" x14ac:dyDescent="0.25">
      <c r="A89" s="11">
        <v>0.77</v>
      </c>
      <c r="B89" s="7">
        <v>0.75</v>
      </c>
      <c r="C89" s="11">
        <v>-3.7060713183952494E-3</v>
      </c>
      <c r="D89" s="11">
        <v>1.5057782665666767E-2</v>
      </c>
      <c r="E89" s="11">
        <v>-1.6332678648708167E-2</v>
      </c>
      <c r="F89" s="11">
        <v>2.6045511566887617E-2</v>
      </c>
      <c r="G89" s="3">
        <f t="shared" si="4"/>
        <v>2.0705164492655213E-2</v>
      </c>
      <c r="H89" s="11"/>
      <c r="I89" s="17">
        <f t="shared" si="7"/>
        <v>46482</v>
      </c>
      <c r="J89" s="18">
        <f t="shared" si="5"/>
        <v>1.054072553045859</v>
      </c>
      <c r="K89" s="7">
        <v>0.75</v>
      </c>
      <c r="L89" s="7">
        <v>-3.7060713183952494E-3</v>
      </c>
      <c r="M89" s="7">
        <v>1.5057782665666767E-2</v>
      </c>
      <c r="N89" s="7">
        <v>-1.6332678648708167E-2</v>
      </c>
      <c r="O89" s="7">
        <v>2.6045511566887617E-2</v>
      </c>
      <c r="P89" s="11">
        <f t="shared" si="6"/>
        <v>2.1219562667148062</v>
      </c>
    </row>
    <row r="90" spans="1:16" x14ac:dyDescent="0.25">
      <c r="A90" s="11">
        <v>0.78</v>
      </c>
      <c r="B90" s="7">
        <v>0.75</v>
      </c>
      <c r="C90" s="11">
        <v>-3.7060713183952494E-3</v>
      </c>
      <c r="D90" s="11">
        <v>1.5057782665666767E-2</v>
      </c>
      <c r="E90" s="11">
        <v>-1.6332678648708167E-2</v>
      </c>
      <c r="F90" s="11">
        <v>2.6045511566887617E-2</v>
      </c>
      <c r="G90" s="3">
        <f t="shared" si="4"/>
        <v>2.0708453638399807E-2</v>
      </c>
      <c r="H90" s="11"/>
      <c r="I90" s="17">
        <f t="shared" si="7"/>
        <v>46487</v>
      </c>
      <c r="J90" s="18">
        <f t="shared" si="5"/>
        <v>1.0677618069815196</v>
      </c>
      <c r="K90" s="7">
        <v>0.75</v>
      </c>
      <c r="L90" s="7">
        <v>-3.7060713183952494E-3</v>
      </c>
      <c r="M90" s="7">
        <v>1.5057782665666767E-2</v>
      </c>
      <c r="N90" s="7">
        <v>-1.6332678648708167E-2</v>
      </c>
      <c r="O90" s="7">
        <v>2.6045511566887617E-2</v>
      </c>
      <c r="P90" s="11">
        <f t="shared" si="6"/>
        <v>2.126204336972306</v>
      </c>
    </row>
    <row r="91" spans="1:16" x14ac:dyDescent="0.25">
      <c r="A91" s="11">
        <v>0.79</v>
      </c>
      <c r="B91" s="7">
        <v>0.75</v>
      </c>
      <c r="C91" s="11">
        <v>-3.7060713183952494E-3</v>
      </c>
      <c r="D91" s="11">
        <v>1.5057782665666767E-2</v>
      </c>
      <c r="E91" s="11">
        <v>-1.6332678648708167E-2</v>
      </c>
      <c r="F91" s="11">
        <v>2.6045511566887617E-2</v>
      </c>
      <c r="G91" s="3">
        <f t="shared" si="4"/>
        <v>2.0713019899300522E-2</v>
      </c>
      <c r="H91" s="11"/>
      <c r="I91" s="17">
        <f t="shared" si="7"/>
        <v>46492</v>
      </c>
      <c r="J91" s="18">
        <f t="shared" si="5"/>
        <v>1.0814510609171799</v>
      </c>
      <c r="K91" s="7">
        <v>0.75</v>
      </c>
      <c r="L91" s="7">
        <v>-3.7060713183952494E-3</v>
      </c>
      <c r="M91" s="7">
        <v>1.5057782665666767E-2</v>
      </c>
      <c r="N91" s="7">
        <v>-1.6332678648708167E-2</v>
      </c>
      <c r="O91" s="7">
        <v>2.6045511566887617E-2</v>
      </c>
      <c r="P91" s="11">
        <f t="shared" si="6"/>
        <v>2.1305718224407117</v>
      </c>
    </row>
    <row r="92" spans="1:16" x14ac:dyDescent="0.25">
      <c r="A92" s="11">
        <v>0.8</v>
      </c>
      <c r="B92" s="7">
        <v>0.75</v>
      </c>
      <c r="C92" s="11">
        <v>-3.7060713183952494E-3</v>
      </c>
      <c r="D92" s="11">
        <v>1.5057782665666767E-2</v>
      </c>
      <c r="E92" s="11">
        <v>-1.6332678648708167E-2</v>
      </c>
      <c r="F92" s="11">
        <v>2.6045511566887617E-2</v>
      </c>
      <c r="G92" s="3">
        <f t="shared" si="4"/>
        <v>2.0718841038929448E-2</v>
      </c>
      <c r="H92" s="11"/>
      <c r="I92" s="17">
        <f t="shared" si="7"/>
        <v>46497</v>
      </c>
      <c r="J92" s="18">
        <f t="shared" si="5"/>
        <v>1.0951403148528405</v>
      </c>
      <c r="K92" s="7">
        <v>0.75</v>
      </c>
      <c r="L92" s="7">
        <v>-3.7060713183952494E-3</v>
      </c>
      <c r="M92" s="7">
        <v>1.5057782665666767E-2</v>
      </c>
      <c r="N92" s="7">
        <v>-1.6332678648708167E-2</v>
      </c>
      <c r="O92" s="7">
        <v>2.6045511566887617E-2</v>
      </c>
      <c r="P92" s="11">
        <f t="shared" si="6"/>
        <v>2.1350530187936982</v>
      </c>
    </row>
    <row r="93" spans="1:16" x14ac:dyDescent="0.25">
      <c r="A93" s="11">
        <v>0.81</v>
      </c>
      <c r="B93" s="7">
        <v>0.75</v>
      </c>
      <c r="C93" s="11">
        <v>-3.7060713183952494E-3</v>
      </c>
      <c r="D93" s="11">
        <v>1.5057782665666767E-2</v>
      </c>
      <c r="E93" s="11">
        <v>-1.6332678648708167E-2</v>
      </c>
      <c r="F93" s="11">
        <v>2.6045511566887617E-2</v>
      </c>
      <c r="G93" s="3">
        <f t="shared" si="4"/>
        <v>2.0725894820858678E-2</v>
      </c>
      <c r="H93" s="11"/>
      <c r="I93" s="17">
        <f t="shared" si="7"/>
        <v>46502</v>
      </c>
      <c r="J93" s="18">
        <f t="shared" si="5"/>
        <v>1.108829568788501</v>
      </c>
      <c r="K93" s="7">
        <v>0.75</v>
      </c>
      <c r="L93" s="7">
        <v>-3.7060713183952494E-3</v>
      </c>
      <c r="M93" s="7">
        <v>1.5057782665666767E-2</v>
      </c>
      <c r="N93" s="7">
        <v>-1.6332678648708167E-2</v>
      </c>
      <c r="O93" s="7">
        <v>2.6045511566887617E-2</v>
      </c>
      <c r="P93" s="11">
        <f t="shared" si="6"/>
        <v>2.1396422217049396</v>
      </c>
    </row>
    <row r="94" spans="1:16" x14ac:dyDescent="0.25">
      <c r="A94" s="11">
        <v>0.82</v>
      </c>
      <c r="B94" s="7">
        <v>0.75</v>
      </c>
      <c r="C94" s="11">
        <v>-3.7060713183952494E-3</v>
      </c>
      <c r="D94" s="11">
        <v>1.5057782665666767E-2</v>
      </c>
      <c r="E94" s="11">
        <v>-1.6332678648708167E-2</v>
      </c>
      <c r="F94" s="11">
        <v>2.6045511566887617E-2</v>
      </c>
      <c r="G94" s="3">
        <f t="shared" si="4"/>
        <v>2.0734159008660304E-2</v>
      </c>
      <c r="H94" s="11"/>
      <c r="I94" s="17">
        <f t="shared" si="7"/>
        <v>46507</v>
      </c>
      <c r="J94" s="18">
        <f t="shared" si="5"/>
        <v>1.1225188227241616</v>
      </c>
      <c r="K94" s="7">
        <v>0.75</v>
      </c>
      <c r="L94" s="7">
        <v>-3.7060713183952494E-3</v>
      </c>
      <c r="M94" s="7">
        <v>1.5057782665666767E-2</v>
      </c>
      <c r="N94" s="7">
        <v>-1.6332678648708167E-2</v>
      </c>
      <c r="O94" s="7">
        <v>2.6045511566887617E-2</v>
      </c>
      <c r="P94" s="11">
        <f t="shared" si="6"/>
        <v>2.1443337268481133</v>
      </c>
    </row>
    <row r="95" spans="1:16" x14ac:dyDescent="0.25">
      <c r="A95" s="11">
        <v>0.83</v>
      </c>
      <c r="B95" s="7">
        <v>0.75</v>
      </c>
      <c r="C95" s="11">
        <v>-3.7060713183952494E-3</v>
      </c>
      <c r="D95" s="11">
        <v>1.5057782665666767E-2</v>
      </c>
      <c r="E95" s="11">
        <v>-1.6332678648708167E-2</v>
      </c>
      <c r="F95" s="11">
        <v>2.6045511566887617E-2</v>
      </c>
      <c r="G95" s="3">
        <f t="shared" si="4"/>
        <v>2.0743611365906411E-2</v>
      </c>
      <c r="H95" s="11"/>
      <c r="I95" s="17">
        <f t="shared" si="7"/>
        <v>46512</v>
      </c>
      <c r="J95" s="18">
        <f t="shared" si="5"/>
        <v>1.1362080766598219</v>
      </c>
      <c r="K95" s="7">
        <v>0.75</v>
      </c>
      <c r="L95" s="7">
        <v>-3.7060713183952494E-3</v>
      </c>
      <c r="M95" s="7">
        <v>1.5057782665666767E-2</v>
      </c>
      <c r="N95" s="7">
        <v>-1.6332678648708167E-2</v>
      </c>
      <c r="O95" s="7">
        <v>2.6045511566887617E-2</v>
      </c>
      <c r="P95" s="11">
        <f t="shared" si="6"/>
        <v>2.1491218298968917</v>
      </c>
    </row>
    <row r="96" spans="1:16" x14ac:dyDescent="0.25">
      <c r="A96" s="11">
        <v>0.84</v>
      </c>
      <c r="B96" s="7">
        <v>0.75</v>
      </c>
      <c r="C96" s="11">
        <v>-3.7060713183952494E-3</v>
      </c>
      <c r="D96" s="11">
        <v>1.5057782665666767E-2</v>
      </c>
      <c r="E96" s="11">
        <v>-1.6332678648708167E-2</v>
      </c>
      <c r="F96" s="11">
        <v>2.6045511566887617E-2</v>
      </c>
      <c r="G96" s="3">
        <f t="shared" si="4"/>
        <v>2.075422965616909E-2</v>
      </c>
      <c r="H96" s="11"/>
      <c r="I96" s="17">
        <f t="shared" si="7"/>
        <v>46517</v>
      </c>
      <c r="J96" s="18">
        <f t="shared" si="5"/>
        <v>1.1498973305954825</v>
      </c>
      <c r="K96" s="7">
        <v>0.75</v>
      </c>
      <c r="L96" s="7">
        <v>-3.7060713183952494E-3</v>
      </c>
      <c r="M96" s="7">
        <v>1.5057782665666767E-2</v>
      </c>
      <c r="N96" s="7">
        <v>-1.6332678648708167E-2</v>
      </c>
      <c r="O96" s="7">
        <v>2.6045511566887617E-2</v>
      </c>
      <c r="P96" s="11">
        <f t="shared" si="6"/>
        <v>2.1540008265249511</v>
      </c>
    </row>
    <row r="97" spans="1:16" x14ac:dyDescent="0.25">
      <c r="A97" s="11">
        <v>0.85</v>
      </c>
      <c r="B97" s="7">
        <v>0.75</v>
      </c>
      <c r="C97" s="11">
        <v>-3.7060713183952494E-3</v>
      </c>
      <c r="D97" s="11">
        <v>1.5057782665666767E-2</v>
      </c>
      <c r="E97" s="11">
        <v>-1.6332678648708167E-2</v>
      </c>
      <c r="F97" s="11">
        <v>2.6045511566887617E-2</v>
      </c>
      <c r="G97" s="3">
        <f t="shared" si="4"/>
        <v>2.0765991643020433E-2</v>
      </c>
      <c r="H97" s="11"/>
      <c r="I97" s="17">
        <f t="shared" si="7"/>
        <v>46522</v>
      </c>
      <c r="J97" s="18">
        <f t="shared" si="5"/>
        <v>1.1635865845311431</v>
      </c>
      <c r="K97" s="7">
        <v>0.75</v>
      </c>
      <c r="L97" s="7">
        <v>-3.7060713183952494E-3</v>
      </c>
      <c r="M97" s="7">
        <v>1.5057782665666767E-2</v>
      </c>
      <c r="N97" s="7">
        <v>-1.6332678648708167E-2</v>
      </c>
      <c r="O97" s="7">
        <v>2.6045511566887617E-2</v>
      </c>
      <c r="P97" s="11">
        <f t="shared" si="6"/>
        <v>2.1589650124059667</v>
      </c>
    </row>
    <row r="98" spans="1:16" x14ac:dyDescent="0.25">
      <c r="A98" s="11">
        <v>0.86</v>
      </c>
      <c r="B98" s="7">
        <v>0.75</v>
      </c>
      <c r="C98" s="11">
        <v>-3.7060713183952494E-3</v>
      </c>
      <c r="D98" s="11">
        <v>1.5057782665666767E-2</v>
      </c>
      <c r="E98" s="11">
        <v>-1.6332678648708167E-2</v>
      </c>
      <c r="F98" s="11">
        <v>2.6045511566887617E-2</v>
      </c>
      <c r="G98" s="3">
        <f t="shared" si="4"/>
        <v>2.0778875090032525E-2</v>
      </c>
      <c r="H98" s="11"/>
      <c r="I98" s="17">
        <f t="shared" si="7"/>
        <v>46527</v>
      </c>
      <c r="J98" s="18">
        <f t="shared" si="5"/>
        <v>1.1772758384668036</v>
      </c>
      <c r="K98" s="7">
        <v>0.75</v>
      </c>
      <c r="L98" s="7">
        <v>-3.7060713183952494E-3</v>
      </c>
      <c r="M98" s="7">
        <v>1.5057782665666767E-2</v>
      </c>
      <c r="N98" s="7">
        <v>-1.6332678648708167E-2</v>
      </c>
      <c r="O98" s="7">
        <v>2.6045511566887617E-2</v>
      </c>
      <c r="P98" s="11">
        <f t="shared" si="6"/>
        <v>2.1640086832136132</v>
      </c>
    </row>
    <row r="99" spans="1:16" x14ac:dyDescent="0.25">
      <c r="A99" s="11">
        <v>0.87</v>
      </c>
      <c r="B99" s="7">
        <v>0.75</v>
      </c>
      <c r="C99" s="11">
        <v>-3.7060713183952494E-3</v>
      </c>
      <c r="D99" s="11">
        <v>1.5057782665666767E-2</v>
      </c>
      <c r="E99" s="11">
        <v>-1.6332678648708167E-2</v>
      </c>
      <c r="F99" s="11">
        <v>2.6045511566887617E-2</v>
      </c>
      <c r="G99" s="3">
        <f t="shared" si="4"/>
        <v>2.079285776077746E-2</v>
      </c>
      <c r="H99" s="11"/>
      <c r="I99" s="17">
        <f t="shared" si="7"/>
        <v>46532</v>
      </c>
      <c r="J99" s="18">
        <f t="shared" si="5"/>
        <v>1.1909650924024642</v>
      </c>
      <c r="K99" s="7">
        <v>0.75</v>
      </c>
      <c r="L99" s="7">
        <v>-3.7060713183952494E-3</v>
      </c>
      <c r="M99" s="7">
        <v>1.5057782665666767E-2</v>
      </c>
      <c r="N99" s="7">
        <v>-1.6332678648708167E-2</v>
      </c>
      <c r="O99" s="7">
        <v>2.6045511566887617E-2</v>
      </c>
      <c r="P99" s="11">
        <f t="shared" si="6"/>
        <v>2.1691261346215658</v>
      </c>
    </row>
    <row r="100" spans="1:16" x14ac:dyDescent="0.25">
      <c r="A100" s="11">
        <v>0.88</v>
      </c>
      <c r="B100" s="7">
        <v>0.75</v>
      </c>
      <c r="C100" s="11">
        <v>-3.7060713183952494E-3</v>
      </c>
      <c r="D100" s="11">
        <v>1.5057782665666767E-2</v>
      </c>
      <c r="E100" s="11">
        <v>-1.6332678648708167E-2</v>
      </c>
      <c r="F100" s="11">
        <v>2.6045511566887617E-2</v>
      </c>
      <c r="G100" s="3">
        <f t="shared" si="4"/>
        <v>2.0807917418827329E-2</v>
      </c>
      <c r="H100" s="11"/>
      <c r="I100" s="17">
        <f t="shared" si="7"/>
        <v>46537</v>
      </c>
      <c r="J100" s="18">
        <f t="shared" si="5"/>
        <v>1.2046543463381245</v>
      </c>
      <c r="K100" s="7">
        <v>0.75</v>
      </c>
      <c r="L100" s="7">
        <v>-3.7060713183952494E-3</v>
      </c>
      <c r="M100" s="7">
        <v>1.5057782665666767E-2</v>
      </c>
      <c r="N100" s="7">
        <v>-1.6332678648708167E-2</v>
      </c>
      <c r="O100" s="7">
        <v>2.6045511566887617E-2</v>
      </c>
      <c r="P100" s="11">
        <f t="shared" si="6"/>
        <v>2.174311662303499</v>
      </c>
    </row>
    <row r="101" spans="1:16" x14ac:dyDescent="0.25">
      <c r="A101" s="11">
        <v>0.89</v>
      </c>
      <c r="B101" s="7">
        <v>0.75</v>
      </c>
      <c r="C101" s="11">
        <v>-3.7060713183952494E-3</v>
      </c>
      <c r="D101" s="11">
        <v>1.5057782665666767E-2</v>
      </c>
      <c r="E101" s="11">
        <v>-1.6332678648708167E-2</v>
      </c>
      <c r="F101" s="11">
        <v>2.6045511566887617E-2</v>
      </c>
      <c r="G101" s="3">
        <f t="shared" si="4"/>
        <v>2.0824031827754212E-2</v>
      </c>
      <c r="H101" s="11"/>
      <c r="I101" s="17">
        <f t="shared" si="7"/>
        <v>46542</v>
      </c>
      <c r="J101" s="18">
        <f t="shared" si="5"/>
        <v>1.2183436002737851</v>
      </c>
      <c r="K101" s="7">
        <v>0.75</v>
      </c>
      <c r="L101" s="7">
        <v>-3.7060713183952494E-3</v>
      </c>
      <c r="M101" s="7">
        <v>1.5057782665666767E-2</v>
      </c>
      <c r="N101" s="7">
        <v>-1.6332678648708167E-2</v>
      </c>
      <c r="O101" s="7">
        <v>2.6045511566887617E-2</v>
      </c>
      <c r="P101" s="11">
        <f t="shared" si="6"/>
        <v>2.1795595619330892</v>
      </c>
    </row>
    <row r="102" spans="1:16" x14ac:dyDescent="0.25">
      <c r="A102" s="11">
        <v>0.9</v>
      </c>
      <c r="B102" s="7">
        <v>0.75</v>
      </c>
      <c r="C102" s="11">
        <v>-3.7060713183952494E-3</v>
      </c>
      <c r="D102" s="11">
        <v>1.5057782665666767E-2</v>
      </c>
      <c r="E102" s="11">
        <v>-1.6332678648708167E-2</v>
      </c>
      <c r="F102" s="11">
        <v>2.6045511566887617E-2</v>
      </c>
      <c r="G102" s="3">
        <f t="shared" si="4"/>
        <v>2.0841178751130212E-2</v>
      </c>
      <c r="H102" s="11"/>
      <c r="I102" s="17">
        <f t="shared" si="7"/>
        <v>46547</v>
      </c>
      <c r="J102" s="18">
        <f t="shared" si="5"/>
        <v>1.2320328542094456</v>
      </c>
      <c r="K102" s="7">
        <v>0.75</v>
      </c>
      <c r="L102" s="7">
        <v>-3.7060713183952494E-3</v>
      </c>
      <c r="M102" s="7">
        <v>1.5057782665666767E-2</v>
      </c>
      <c r="N102" s="7">
        <v>-1.6332678648708167E-2</v>
      </c>
      <c r="O102" s="7">
        <v>2.6045511566887617E-2</v>
      </c>
      <c r="P102" s="11">
        <f t="shared" si="6"/>
        <v>2.1848641291840099</v>
      </c>
    </row>
    <row r="103" spans="1:16" x14ac:dyDescent="0.25">
      <c r="A103" s="11">
        <v>0.91</v>
      </c>
      <c r="B103" s="7">
        <v>0.75</v>
      </c>
      <c r="C103" s="11">
        <v>-3.7060713183952494E-3</v>
      </c>
      <c r="D103" s="11">
        <v>1.5057782665666767E-2</v>
      </c>
      <c r="E103" s="11">
        <v>-1.6332678648708167E-2</v>
      </c>
      <c r="F103" s="11">
        <v>2.6045511566887617E-2</v>
      </c>
      <c r="G103" s="3">
        <f t="shared" si="4"/>
        <v>2.0859335952527411E-2</v>
      </c>
      <c r="H103" s="11"/>
      <c r="I103" s="17">
        <f t="shared" si="7"/>
        <v>46552</v>
      </c>
      <c r="J103" s="18">
        <f t="shared" si="5"/>
        <v>1.2457221081451062</v>
      </c>
      <c r="K103" s="7">
        <v>0.75</v>
      </c>
      <c r="L103" s="7">
        <v>-3.7060713183952494E-3</v>
      </c>
      <c r="M103" s="7">
        <v>1.5057782665666767E-2</v>
      </c>
      <c r="N103" s="7">
        <v>-1.6332678648708167E-2</v>
      </c>
      <c r="O103" s="7">
        <v>2.6045511566887617E-2</v>
      </c>
      <c r="P103" s="11">
        <f t="shared" si="6"/>
        <v>2.1902196597299368</v>
      </c>
    </row>
    <row r="104" spans="1:16" x14ac:dyDescent="0.25">
      <c r="A104" s="11">
        <v>0.92</v>
      </c>
      <c r="B104" s="7">
        <v>0.75</v>
      </c>
      <c r="C104" s="11">
        <v>-3.7060713183952494E-3</v>
      </c>
      <c r="D104" s="11">
        <v>1.5057782665666767E-2</v>
      </c>
      <c r="E104" s="11">
        <v>-1.6332678648708167E-2</v>
      </c>
      <c r="F104" s="11">
        <v>2.6045511566887617E-2</v>
      </c>
      <c r="G104" s="3">
        <f t="shared" si="4"/>
        <v>2.0878481195517894E-2</v>
      </c>
      <c r="H104" s="11"/>
      <c r="I104" s="17">
        <f t="shared" si="7"/>
        <v>46557</v>
      </c>
      <c r="J104" s="18">
        <f t="shared" si="5"/>
        <v>1.2594113620807665</v>
      </c>
      <c r="K104" s="7">
        <v>0.75</v>
      </c>
      <c r="L104" s="7">
        <v>-3.7060713183952494E-3</v>
      </c>
      <c r="M104" s="7">
        <v>1.5057782665666767E-2</v>
      </c>
      <c r="N104" s="7">
        <v>-1.6332678648708167E-2</v>
      </c>
      <c r="O104" s="7">
        <v>2.6045511566887617E-2</v>
      </c>
      <c r="P104" s="11">
        <f t="shared" si="6"/>
        <v>2.195620449244545</v>
      </c>
    </row>
    <row r="105" spans="1:16" x14ac:dyDescent="0.25">
      <c r="A105" s="11">
        <v>0.93</v>
      </c>
      <c r="B105" s="7">
        <v>0.75</v>
      </c>
      <c r="C105" s="11">
        <v>-3.7060713183952494E-3</v>
      </c>
      <c r="D105" s="11">
        <v>1.5057782665666767E-2</v>
      </c>
      <c r="E105" s="11">
        <v>-1.6332678648708167E-2</v>
      </c>
      <c r="F105" s="11">
        <v>2.6045511566887617E-2</v>
      </c>
      <c r="G105" s="3">
        <f t="shared" si="4"/>
        <v>2.0898592243673762E-2</v>
      </c>
      <c r="H105" s="11"/>
      <c r="I105" s="17">
        <f t="shared" si="7"/>
        <v>46562</v>
      </c>
      <c r="J105" s="18">
        <f t="shared" si="5"/>
        <v>1.2731006160164271</v>
      </c>
      <c r="K105" s="7">
        <v>0.75</v>
      </c>
      <c r="L105" s="7">
        <v>-3.7060713183952494E-3</v>
      </c>
      <c r="M105" s="7">
        <v>1.5057782665666767E-2</v>
      </c>
      <c r="N105" s="7">
        <v>-1.6332678648708167E-2</v>
      </c>
      <c r="O105" s="7">
        <v>2.6045511566887617E-2</v>
      </c>
      <c r="P105" s="11">
        <f t="shared" si="6"/>
        <v>2.2010607934015094</v>
      </c>
    </row>
    <row r="106" spans="1:16" x14ac:dyDescent="0.25">
      <c r="A106" s="11">
        <v>0.94</v>
      </c>
      <c r="B106" s="7">
        <v>0.75</v>
      </c>
      <c r="C106" s="11">
        <v>-3.7060713183952494E-3</v>
      </c>
      <c r="D106" s="11">
        <v>1.5057782665666767E-2</v>
      </c>
      <c r="E106" s="11">
        <v>-1.6332678648708167E-2</v>
      </c>
      <c r="F106" s="11">
        <v>2.6045511566887617E-2</v>
      </c>
      <c r="G106" s="3">
        <f t="shared" si="4"/>
        <v>2.0919646860567097E-2</v>
      </c>
      <c r="H106" s="11"/>
      <c r="I106" s="17">
        <f t="shared" si="7"/>
        <v>46567</v>
      </c>
      <c r="J106" s="18">
        <f t="shared" si="5"/>
        <v>1.2867898699520877</v>
      </c>
      <c r="K106" s="7">
        <v>0.75</v>
      </c>
      <c r="L106" s="7">
        <v>-3.7060713183952494E-3</v>
      </c>
      <c r="M106" s="7">
        <v>1.5057782665666767E-2</v>
      </c>
      <c r="N106" s="7">
        <v>-1.6332678648708167E-2</v>
      </c>
      <c r="O106" s="7">
        <v>2.6045511566887617E-2</v>
      </c>
      <c r="P106" s="11">
        <f t="shared" si="6"/>
        <v>2.2065349878745049</v>
      </c>
    </row>
    <row r="107" spans="1:16" x14ac:dyDescent="0.25">
      <c r="A107" s="11">
        <v>0.95</v>
      </c>
      <c r="B107" s="7">
        <v>0.75</v>
      </c>
      <c r="C107" s="11">
        <v>-3.7060713183952494E-3</v>
      </c>
      <c r="D107" s="11">
        <v>1.5057782665666767E-2</v>
      </c>
      <c r="E107" s="11">
        <v>-1.6332678648708167E-2</v>
      </c>
      <c r="F107" s="11">
        <v>2.6045511566887617E-2</v>
      </c>
      <c r="G107" s="3">
        <f t="shared" si="4"/>
        <v>2.0941622809769991E-2</v>
      </c>
      <c r="H107" s="11"/>
      <c r="I107" s="17">
        <f t="shared" si="7"/>
        <v>46572</v>
      </c>
      <c r="J107" s="18">
        <f t="shared" si="5"/>
        <v>1.3004791238877482</v>
      </c>
      <c r="K107" s="7">
        <v>0.75</v>
      </c>
      <c r="L107" s="7">
        <v>-3.7060713183952494E-3</v>
      </c>
      <c r="M107" s="7">
        <v>1.5057782665666767E-2</v>
      </c>
      <c r="N107" s="7">
        <v>-1.6332678648708167E-2</v>
      </c>
      <c r="O107" s="7">
        <v>2.6045511566887617E-2</v>
      </c>
      <c r="P107" s="11">
        <f t="shared" si="6"/>
        <v>2.2120373283372068</v>
      </c>
    </row>
    <row r="108" spans="1:16" x14ac:dyDescent="0.25">
      <c r="A108" s="11">
        <v>0.96</v>
      </c>
      <c r="B108" s="7">
        <v>0.75</v>
      </c>
      <c r="C108" s="11">
        <v>-3.7060713183952494E-3</v>
      </c>
      <c r="D108" s="11">
        <v>1.5057782665666767E-2</v>
      </c>
      <c r="E108" s="11">
        <v>-1.6332678648708167E-2</v>
      </c>
      <c r="F108" s="11">
        <v>2.6045511566887617E-2</v>
      </c>
      <c r="G108" s="3">
        <f t="shared" si="4"/>
        <v>2.0964497854854533E-2</v>
      </c>
      <c r="H108" s="11"/>
      <c r="I108" s="17">
        <f t="shared" si="7"/>
        <v>46577</v>
      </c>
      <c r="J108" s="18">
        <f t="shared" si="5"/>
        <v>1.3141683778234086</v>
      </c>
      <c r="K108" s="7">
        <v>0.75</v>
      </c>
      <c r="L108" s="7">
        <v>-3.7060713183952494E-3</v>
      </c>
      <c r="M108" s="7">
        <v>1.5057782665666767E-2</v>
      </c>
      <c r="N108" s="7">
        <v>-1.6332678648708167E-2</v>
      </c>
      <c r="O108" s="7">
        <v>2.6045511566887617E-2</v>
      </c>
      <c r="P108" s="11">
        <f t="shared" si="6"/>
        <v>2.2175621104632901</v>
      </c>
    </row>
    <row r="109" spans="1:16" x14ac:dyDescent="0.25">
      <c r="A109" s="11">
        <v>0.97</v>
      </c>
      <c r="B109" s="7">
        <v>0.75</v>
      </c>
      <c r="C109" s="11">
        <v>-3.7060713183952494E-3</v>
      </c>
      <c r="D109" s="11">
        <v>1.5057782665666767E-2</v>
      </c>
      <c r="E109" s="11">
        <v>-1.6332678648708167E-2</v>
      </c>
      <c r="F109" s="11">
        <v>2.6045511566887617E-2</v>
      </c>
      <c r="G109" s="3">
        <f t="shared" si="4"/>
        <v>2.098824975939281E-2</v>
      </c>
      <c r="H109" s="11"/>
      <c r="I109" s="17">
        <f t="shared" si="7"/>
        <v>46582</v>
      </c>
      <c r="J109" s="18">
        <f t="shared" si="5"/>
        <v>1.3278576317590691</v>
      </c>
      <c r="K109" s="7">
        <v>0.75</v>
      </c>
      <c r="L109" s="7">
        <v>-3.7060713183952494E-3</v>
      </c>
      <c r="M109" s="7">
        <v>1.5057782665666767E-2</v>
      </c>
      <c r="N109" s="7">
        <v>-1.6332678648708167E-2</v>
      </c>
      <c r="O109" s="7">
        <v>2.6045511566887617E-2</v>
      </c>
      <c r="P109" s="11">
        <f t="shared" si="6"/>
        <v>2.2231036299264302</v>
      </c>
    </row>
    <row r="110" spans="1:16" x14ac:dyDescent="0.25">
      <c r="A110" s="11">
        <v>0.98</v>
      </c>
      <c r="B110" s="7">
        <v>0.75</v>
      </c>
      <c r="C110" s="11">
        <v>-3.7060713183952494E-3</v>
      </c>
      <c r="D110" s="11">
        <v>1.5057782665666767E-2</v>
      </c>
      <c r="E110" s="11">
        <v>-1.6332678648708167E-2</v>
      </c>
      <c r="F110" s="11">
        <v>2.6045511566887617E-2</v>
      </c>
      <c r="G110" s="3">
        <f t="shared" si="4"/>
        <v>2.1012856286956913E-2</v>
      </c>
      <c r="H110" s="11"/>
      <c r="I110" s="17">
        <f t="shared" si="7"/>
        <v>46587</v>
      </c>
      <c r="J110" s="18">
        <f t="shared" si="5"/>
        <v>1.3415468856947297</v>
      </c>
      <c r="K110" s="7">
        <v>0.75</v>
      </c>
      <c r="L110" s="7">
        <v>-3.7060713183952494E-3</v>
      </c>
      <c r="M110" s="7">
        <v>1.5057782665666767E-2</v>
      </c>
      <c r="N110" s="7">
        <v>-1.6332678648708167E-2</v>
      </c>
      <c r="O110" s="7">
        <v>2.6045511566887617E-2</v>
      </c>
      <c r="P110" s="11">
        <f t="shared" si="6"/>
        <v>2.2286561824003011</v>
      </c>
    </row>
    <row r="111" spans="1:16" x14ac:dyDescent="0.25">
      <c r="A111" s="11">
        <v>0.99</v>
      </c>
      <c r="B111" s="7">
        <v>0.75</v>
      </c>
      <c r="C111" s="11">
        <v>-3.7060713183952494E-3</v>
      </c>
      <c r="D111" s="11">
        <v>1.5057782665666767E-2</v>
      </c>
      <c r="E111" s="11">
        <v>-1.6332678648708167E-2</v>
      </c>
      <c r="F111" s="11">
        <v>2.6045511566887617E-2</v>
      </c>
      <c r="G111" s="3">
        <f t="shared" si="4"/>
        <v>2.1038295201118939E-2</v>
      </c>
      <c r="H111" s="11"/>
      <c r="I111" s="17">
        <f t="shared" si="7"/>
        <v>46592</v>
      </c>
      <c r="J111" s="18">
        <f t="shared" si="5"/>
        <v>1.3552361396303902</v>
      </c>
      <c r="K111" s="7">
        <v>0.75</v>
      </c>
      <c r="L111" s="7">
        <v>-3.7060713183952494E-3</v>
      </c>
      <c r="M111" s="7">
        <v>1.5057782665666767E-2</v>
      </c>
      <c r="N111" s="7">
        <v>-1.6332678648708167E-2</v>
      </c>
      <c r="O111" s="7">
        <v>2.6045511566887617E-2</v>
      </c>
      <c r="P111" s="11">
        <f t="shared" si="6"/>
        <v>2.2342140635585785</v>
      </c>
    </row>
    <row r="112" spans="1:16" x14ac:dyDescent="0.25">
      <c r="A112" s="11">
        <v>1</v>
      </c>
      <c r="B112" s="7">
        <v>0.75</v>
      </c>
      <c r="C112" s="11">
        <v>-3.7060713183952494E-3</v>
      </c>
      <c r="D112" s="11">
        <v>1.5057782665666767E-2</v>
      </c>
      <c r="E112" s="11">
        <v>-1.6332678648708167E-2</v>
      </c>
      <c r="F112" s="11">
        <v>2.6045511566887617E-2</v>
      </c>
      <c r="G112" s="3">
        <f t="shared" si="4"/>
        <v>2.1064544265450968E-2</v>
      </c>
      <c r="H112" s="11"/>
      <c r="I112" s="17">
        <f t="shared" si="7"/>
        <v>46597</v>
      </c>
      <c r="J112" s="18">
        <f t="shared" si="5"/>
        <v>1.3689253935660506</v>
      </c>
      <c r="K112" s="7">
        <v>0.75</v>
      </c>
      <c r="L112" s="7">
        <v>-3.7060713183952494E-3</v>
      </c>
      <c r="M112" s="7">
        <v>1.5057782665666767E-2</v>
      </c>
      <c r="N112" s="7">
        <v>-1.6332678648708167E-2</v>
      </c>
      <c r="O112" s="7">
        <v>2.6045511566887617E-2</v>
      </c>
      <c r="P112" s="11">
        <f t="shared" si="6"/>
        <v>2.239771569074938</v>
      </c>
    </row>
    <row r="113" spans="1:16" x14ac:dyDescent="0.25">
      <c r="A113" s="11">
        <v>1.01</v>
      </c>
      <c r="B113" s="7">
        <v>0.75</v>
      </c>
      <c r="C113" s="11">
        <v>-3.7060713183952494E-3</v>
      </c>
      <c r="D113" s="11">
        <v>1.5057782665666767E-2</v>
      </c>
      <c r="E113" s="11">
        <v>-1.6332678648708167E-2</v>
      </c>
      <c r="F113" s="11">
        <v>2.6045511566887617E-2</v>
      </c>
      <c r="G113" s="3">
        <f t="shared" si="4"/>
        <v>2.1091581243525094E-2</v>
      </c>
      <c r="H113" s="11"/>
      <c r="I113" s="17">
        <f t="shared" si="7"/>
        <v>46602</v>
      </c>
      <c r="J113" s="18">
        <f t="shared" si="5"/>
        <v>1.3826146475017111</v>
      </c>
      <c r="K113" s="7">
        <v>0.75</v>
      </c>
      <c r="L113" s="7">
        <v>-3.7060713183952494E-3</v>
      </c>
      <c r="M113" s="7">
        <v>1.5057782665666767E-2</v>
      </c>
      <c r="N113" s="7">
        <v>-1.6332678648708167E-2</v>
      </c>
      <c r="O113" s="7">
        <v>2.6045511566887617E-2</v>
      </c>
      <c r="P113" s="11">
        <f t="shared" si="6"/>
        <v>2.2453229946230531</v>
      </c>
    </row>
    <row r="114" spans="1:16" x14ac:dyDescent="0.25">
      <c r="A114" s="11">
        <v>1.02</v>
      </c>
      <c r="B114" s="7">
        <v>0.75</v>
      </c>
      <c r="C114" s="11">
        <v>-3.7060713183952494E-3</v>
      </c>
      <c r="D114" s="11">
        <v>1.5057782665666767E-2</v>
      </c>
      <c r="E114" s="11">
        <v>-1.6332678648708167E-2</v>
      </c>
      <c r="F114" s="11">
        <v>2.6045511566887617E-2</v>
      </c>
      <c r="G114" s="3">
        <f t="shared" si="4"/>
        <v>2.1119383898913408E-2</v>
      </c>
      <c r="H114" s="11"/>
      <c r="I114" s="17">
        <f t="shared" si="7"/>
        <v>46607</v>
      </c>
      <c r="J114" s="18">
        <f t="shared" si="5"/>
        <v>1.3963039014373717</v>
      </c>
      <c r="K114" s="7">
        <v>0.75</v>
      </c>
      <c r="L114" s="7">
        <v>-3.7060713183952494E-3</v>
      </c>
      <c r="M114" s="7">
        <v>1.5057782665666767E-2</v>
      </c>
      <c r="N114" s="7">
        <v>-1.6332678648708167E-2</v>
      </c>
      <c r="O114" s="7">
        <v>2.6045511566887617E-2</v>
      </c>
      <c r="P114" s="11">
        <f t="shared" si="6"/>
        <v>2.2508626358766004</v>
      </c>
    </row>
    <row r="115" spans="1:16" x14ac:dyDescent="0.25">
      <c r="A115" s="11">
        <v>1.03</v>
      </c>
      <c r="B115" s="7">
        <v>0.75</v>
      </c>
      <c r="C115" s="11">
        <v>-3.7060713183952494E-3</v>
      </c>
      <c r="D115" s="11">
        <v>1.5057782665666767E-2</v>
      </c>
      <c r="E115" s="11">
        <v>-1.6332678648708167E-2</v>
      </c>
      <c r="F115" s="11">
        <v>2.6045511566887617E-2</v>
      </c>
      <c r="G115" s="3">
        <f t="shared" si="4"/>
        <v>2.114792999518799E-2</v>
      </c>
      <c r="H115" s="11"/>
      <c r="I115" s="17">
        <f t="shared" si="7"/>
        <v>46612</v>
      </c>
      <c r="J115" s="18">
        <f t="shared" si="5"/>
        <v>1.4099931553730323</v>
      </c>
      <c r="K115" s="7">
        <v>0.75</v>
      </c>
      <c r="L115" s="7">
        <v>-3.7060713183952494E-3</v>
      </c>
      <c r="M115" s="7">
        <v>1.5057782665666767E-2</v>
      </c>
      <c r="N115" s="7">
        <v>-1.6332678648708167E-2</v>
      </c>
      <c r="O115" s="7">
        <v>2.6045511566887617E-2</v>
      </c>
      <c r="P115" s="11">
        <f t="shared" si="6"/>
        <v>2.2563847885092545</v>
      </c>
    </row>
    <row r="116" spans="1:16" x14ac:dyDescent="0.25">
      <c r="A116" s="11">
        <v>1.04</v>
      </c>
      <c r="B116" s="7">
        <v>0.75</v>
      </c>
      <c r="C116" s="11">
        <v>-3.7060713183952494E-3</v>
      </c>
      <c r="D116" s="11">
        <v>1.5057782665666767E-2</v>
      </c>
      <c r="E116" s="11">
        <v>-1.6332678648708167E-2</v>
      </c>
      <c r="F116" s="11">
        <v>2.6045511566887617E-2</v>
      </c>
      <c r="G116" s="3">
        <f t="shared" si="4"/>
        <v>2.1177197295920942E-2</v>
      </c>
      <c r="H116" s="11"/>
      <c r="I116" s="17">
        <f t="shared" si="7"/>
        <v>46617</v>
      </c>
      <c r="J116" s="18">
        <f t="shared" si="5"/>
        <v>1.4236824093086926</v>
      </c>
      <c r="K116" s="7">
        <v>0.75</v>
      </c>
      <c r="L116" s="7">
        <v>-3.7060713183952494E-3</v>
      </c>
      <c r="M116" s="7">
        <v>1.5057782665666767E-2</v>
      </c>
      <c r="N116" s="7">
        <v>-1.6332678648708167E-2</v>
      </c>
      <c r="O116" s="7">
        <v>2.6045511566887617E-2</v>
      </c>
      <c r="P116" s="11">
        <f t="shared" si="6"/>
        <v>2.2618837481946898</v>
      </c>
    </row>
    <row r="117" spans="1:16" x14ac:dyDescent="0.25">
      <c r="A117" s="11">
        <v>1.05</v>
      </c>
      <c r="B117" s="7">
        <v>0.75</v>
      </c>
      <c r="C117" s="11">
        <v>-3.7060713183952494E-3</v>
      </c>
      <c r="D117" s="11">
        <v>1.5057782665666767E-2</v>
      </c>
      <c r="E117" s="11">
        <v>-1.6332678648708167E-2</v>
      </c>
      <c r="F117" s="11">
        <v>2.6045511566887617E-2</v>
      </c>
      <c r="G117" s="3">
        <f t="shared" si="4"/>
        <v>2.1207163564684349E-2</v>
      </c>
      <c r="H117" s="11"/>
      <c r="I117" s="17">
        <f t="shared" si="7"/>
        <v>46622</v>
      </c>
      <c r="J117" s="18">
        <f t="shared" si="5"/>
        <v>1.4373716632443532</v>
      </c>
      <c r="K117" s="7">
        <v>0.75</v>
      </c>
      <c r="L117" s="7">
        <v>-3.7060713183952494E-3</v>
      </c>
      <c r="M117" s="7">
        <v>1.5057782665666767E-2</v>
      </c>
      <c r="N117" s="7">
        <v>-1.6332678648708167E-2</v>
      </c>
      <c r="O117" s="7">
        <v>2.6045511566887617E-2</v>
      </c>
      <c r="P117" s="11">
        <f t="shared" si="6"/>
        <v>2.2673538106065818</v>
      </c>
    </row>
    <row r="118" spans="1:16" x14ac:dyDescent="0.25">
      <c r="A118" s="11">
        <v>1.06</v>
      </c>
      <c r="B118" s="7">
        <v>0.75</v>
      </c>
      <c r="C118" s="11">
        <v>-3.7060713183952494E-3</v>
      </c>
      <c r="D118" s="11">
        <v>1.5057782665666767E-2</v>
      </c>
      <c r="E118" s="11">
        <v>-1.6332678648708167E-2</v>
      </c>
      <c r="F118" s="11">
        <v>2.6045511566887617E-2</v>
      </c>
      <c r="G118" s="3">
        <f t="shared" si="4"/>
        <v>2.1237806565050307E-2</v>
      </c>
      <c r="H118" s="11"/>
      <c r="I118" s="17">
        <f t="shared" si="7"/>
        <v>46627</v>
      </c>
      <c r="J118" s="18">
        <f t="shared" si="5"/>
        <v>1.4510609171800137</v>
      </c>
      <c r="K118" s="7">
        <v>0.75</v>
      </c>
      <c r="L118" s="7">
        <v>-3.7060713183952494E-3</v>
      </c>
      <c r="M118" s="7">
        <v>1.5057782665666767E-2</v>
      </c>
      <c r="N118" s="7">
        <v>-1.6332678648708167E-2</v>
      </c>
      <c r="O118" s="7">
        <v>2.6045511566887617E-2</v>
      </c>
      <c r="P118" s="11">
        <f t="shared" si="6"/>
        <v>2.2727892714186062</v>
      </c>
    </row>
    <row r="119" spans="1:16" x14ac:dyDescent="0.25">
      <c r="A119" s="11">
        <v>1.07</v>
      </c>
      <c r="B119" s="7">
        <v>0.75</v>
      </c>
      <c r="C119" s="11">
        <v>-3.7060713183952494E-3</v>
      </c>
      <c r="D119" s="11">
        <v>1.5057782665666767E-2</v>
      </c>
      <c r="E119" s="11">
        <v>-1.6332678648708167E-2</v>
      </c>
      <c r="F119" s="11">
        <v>2.6045511566887617E-2</v>
      </c>
      <c r="G119" s="3">
        <f t="shared" si="4"/>
        <v>2.126910406059089E-2</v>
      </c>
      <c r="H119" s="11"/>
      <c r="I119" s="17">
        <f t="shared" si="7"/>
        <v>46632</v>
      </c>
      <c r="J119" s="18">
        <f t="shared" si="5"/>
        <v>1.4647501711156743</v>
      </c>
      <c r="K119" s="7">
        <v>0.75</v>
      </c>
      <c r="L119" s="7">
        <v>-3.7060713183952494E-3</v>
      </c>
      <c r="M119" s="7">
        <v>1.5057782665666767E-2</v>
      </c>
      <c r="N119" s="7">
        <v>-1.6332678648708167E-2</v>
      </c>
      <c r="O119" s="7">
        <v>2.6045511566887617E-2</v>
      </c>
      <c r="P119" s="11">
        <f t="shared" si="6"/>
        <v>2.2781844263044362</v>
      </c>
    </row>
    <row r="120" spans="1:16" x14ac:dyDescent="0.25">
      <c r="A120" s="11">
        <v>1.08</v>
      </c>
      <c r="B120" s="7">
        <v>0.75</v>
      </c>
      <c r="C120" s="11">
        <v>-3.7060713183952494E-3</v>
      </c>
      <c r="D120" s="11">
        <v>1.5057782665666767E-2</v>
      </c>
      <c r="E120" s="11">
        <v>-1.6332678648708167E-2</v>
      </c>
      <c r="F120" s="11">
        <v>2.6045511566887617E-2</v>
      </c>
      <c r="G120" s="3">
        <f t="shared" si="4"/>
        <v>2.1301033814878197E-2</v>
      </c>
      <c r="H120" s="11"/>
      <c r="I120" s="17">
        <f t="shared" si="7"/>
        <v>46637</v>
      </c>
      <c r="J120" s="18">
        <f t="shared" si="5"/>
        <v>1.4784394250513346</v>
      </c>
      <c r="K120" s="7">
        <v>0.75</v>
      </c>
      <c r="L120" s="7">
        <v>-3.7060713183952494E-3</v>
      </c>
      <c r="M120" s="7">
        <v>1.5057782665666767E-2</v>
      </c>
      <c r="N120" s="7">
        <v>-1.6332678648708167E-2</v>
      </c>
      <c r="O120" s="7">
        <v>2.6045511566887617E-2</v>
      </c>
      <c r="P120" s="11">
        <f t="shared" si="6"/>
        <v>2.2835335709377493</v>
      </c>
    </row>
    <row r="121" spans="1:16" x14ac:dyDescent="0.25">
      <c r="A121" s="11">
        <v>1.0900000000000001</v>
      </c>
      <c r="B121" s="7">
        <v>0.75</v>
      </c>
      <c r="C121" s="11">
        <v>-3.7060713183952494E-3</v>
      </c>
      <c r="D121" s="11">
        <v>1.5057782665666767E-2</v>
      </c>
      <c r="E121" s="11">
        <v>-1.6332678648708167E-2</v>
      </c>
      <c r="F121" s="11">
        <v>2.6045511566887617E-2</v>
      </c>
      <c r="G121" s="3">
        <f t="shared" si="4"/>
        <v>2.1333573591484318E-2</v>
      </c>
      <c r="H121" s="11"/>
      <c r="I121" s="17">
        <f t="shared" si="7"/>
        <v>46642</v>
      </c>
      <c r="J121" s="18">
        <f t="shared" si="5"/>
        <v>1.4921286789869952</v>
      </c>
      <c r="K121" s="7">
        <v>0.75</v>
      </c>
      <c r="L121" s="7">
        <v>-3.7060713183952494E-3</v>
      </c>
      <c r="M121" s="7">
        <v>1.5057782665666767E-2</v>
      </c>
      <c r="N121" s="7">
        <v>-1.6332678648708167E-2</v>
      </c>
      <c r="O121" s="7">
        <v>2.6045511566887617E-2</v>
      </c>
      <c r="P121" s="11">
        <f t="shared" si="6"/>
        <v>2.2888310009922184</v>
      </c>
    </row>
    <row r="122" spans="1:16" x14ac:dyDescent="0.25">
      <c r="A122" s="11">
        <v>1.1000000000000001</v>
      </c>
      <c r="B122" s="7">
        <v>0.75</v>
      </c>
      <c r="C122" s="11">
        <v>-3.7060713183952494E-3</v>
      </c>
      <c r="D122" s="11">
        <v>1.5057782665666767E-2</v>
      </c>
      <c r="E122" s="11">
        <v>-1.6332678648708167E-2</v>
      </c>
      <c r="F122" s="11">
        <v>2.6045511566887617E-2</v>
      </c>
      <c r="G122" s="3">
        <f t="shared" si="4"/>
        <v>2.1366701153981343E-2</v>
      </c>
      <c r="H122" s="11"/>
      <c r="I122" s="17">
        <f t="shared" si="7"/>
        <v>46647</v>
      </c>
      <c r="J122" s="18">
        <f t="shared" si="5"/>
        <v>1.5058179329226558</v>
      </c>
      <c r="K122" s="7">
        <v>0.75</v>
      </c>
      <c r="L122" s="7">
        <v>-3.7060713183952494E-3</v>
      </c>
      <c r="M122" s="7">
        <v>1.5057782665666767E-2</v>
      </c>
      <c r="N122" s="7">
        <v>-1.6332678648708167E-2</v>
      </c>
      <c r="O122" s="7">
        <v>2.6045511566887617E-2</v>
      </c>
      <c r="P122" s="11">
        <f t="shared" si="6"/>
        <v>2.29407101214152</v>
      </c>
    </row>
    <row r="123" spans="1:16" x14ac:dyDescent="0.25">
      <c r="A123" s="11">
        <v>1.1100000000000001</v>
      </c>
      <c r="B123" s="7">
        <v>0.75</v>
      </c>
      <c r="C123" s="11">
        <v>-3.7060713183952494E-3</v>
      </c>
      <c r="D123" s="11">
        <v>1.5057782665666767E-2</v>
      </c>
      <c r="E123" s="11">
        <v>-1.6332678648708167E-2</v>
      </c>
      <c r="F123" s="11">
        <v>2.6045511566887617E-2</v>
      </c>
      <c r="G123" s="3">
        <f t="shared" si="4"/>
        <v>2.1400394265941362E-2</v>
      </c>
      <c r="H123" s="11"/>
      <c r="I123" s="17">
        <f t="shared" si="7"/>
        <v>46652</v>
      </c>
      <c r="J123" s="18">
        <f t="shared" si="5"/>
        <v>1.5195071868583163</v>
      </c>
      <c r="K123" s="7">
        <v>0.75</v>
      </c>
      <c r="L123" s="7">
        <v>-3.7060713183952494E-3</v>
      </c>
      <c r="M123" s="7">
        <v>1.5057782665666767E-2</v>
      </c>
      <c r="N123" s="7">
        <v>-1.6332678648708167E-2</v>
      </c>
      <c r="O123" s="7">
        <v>2.6045511566887617E-2</v>
      </c>
      <c r="P123" s="11">
        <f t="shared" si="6"/>
        <v>2.2992479000593278</v>
      </c>
    </row>
    <row r="124" spans="1:16" x14ac:dyDescent="0.25">
      <c r="A124" s="11">
        <v>1.1200000000000001</v>
      </c>
      <c r="B124" s="7">
        <v>0.75</v>
      </c>
      <c r="C124" s="11">
        <v>-3.7060713183952494E-3</v>
      </c>
      <c r="D124" s="11">
        <v>1.5057782665666767E-2</v>
      </c>
      <c r="E124" s="11">
        <v>-1.6332678648708167E-2</v>
      </c>
      <c r="F124" s="11">
        <v>2.6045511566887617E-2</v>
      </c>
      <c r="G124" s="3">
        <f t="shared" si="4"/>
        <v>2.143463069093646E-2</v>
      </c>
      <c r="H124" s="11"/>
      <c r="I124" s="17">
        <f t="shared" si="7"/>
        <v>46657</v>
      </c>
      <c r="J124" s="18">
        <f t="shared" si="5"/>
        <v>1.5331964407939767</v>
      </c>
      <c r="K124" s="7">
        <v>0.75</v>
      </c>
      <c r="L124" s="7">
        <v>-3.7060713183952494E-3</v>
      </c>
      <c r="M124" s="7">
        <v>1.5057782665666767E-2</v>
      </c>
      <c r="N124" s="7">
        <v>-1.6332678648708167E-2</v>
      </c>
      <c r="O124" s="7">
        <v>2.6045511566887617E-2</v>
      </c>
      <c r="P124" s="11">
        <f t="shared" si="6"/>
        <v>2.3043559604193176</v>
      </c>
    </row>
    <row r="125" spans="1:16" x14ac:dyDescent="0.25">
      <c r="A125" s="11">
        <v>1.1299999999999999</v>
      </c>
      <c r="B125" s="7">
        <v>0.75</v>
      </c>
      <c r="C125" s="11">
        <v>-3.7060713183952494E-3</v>
      </c>
      <c r="D125" s="11">
        <v>1.5057782665666767E-2</v>
      </c>
      <c r="E125" s="11">
        <v>-1.6332678648708167E-2</v>
      </c>
      <c r="F125" s="11">
        <v>2.6045511566887617E-2</v>
      </c>
      <c r="G125" s="3">
        <f t="shared" si="4"/>
        <v>2.1469388192538734E-2</v>
      </c>
      <c r="H125" s="11"/>
      <c r="I125" s="17">
        <f t="shared" si="7"/>
        <v>46662</v>
      </c>
      <c r="J125" s="18">
        <f t="shared" si="5"/>
        <v>1.5468856947296372</v>
      </c>
      <c r="K125" s="7">
        <v>0.75</v>
      </c>
      <c r="L125" s="7">
        <v>-3.7060713183952494E-3</v>
      </c>
      <c r="M125" s="7">
        <v>1.5057782665666767E-2</v>
      </c>
      <c r="N125" s="7">
        <v>-1.6332678648708167E-2</v>
      </c>
      <c r="O125" s="7">
        <v>2.6045511566887617E-2</v>
      </c>
      <c r="P125" s="11">
        <f t="shared" si="6"/>
        <v>2.3093894888951647</v>
      </c>
    </row>
    <row r="126" spans="1:16" x14ac:dyDescent="0.25">
      <c r="A126" s="11">
        <v>1.1399999999999999</v>
      </c>
      <c r="B126" s="7">
        <v>0.75</v>
      </c>
      <c r="C126" s="11">
        <v>-3.7060713183952494E-3</v>
      </c>
      <c r="D126" s="11">
        <v>1.5057782665666767E-2</v>
      </c>
      <c r="E126" s="11">
        <v>-1.6332678648708167E-2</v>
      </c>
      <c r="F126" s="11">
        <v>2.6045511566887617E-2</v>
      </c>
      <c r="G126" s="3">
        <f t="shared" si="4"/>
        <v>2.1504644534320265E-2</v>
      </c>
      <c r="H126" s="11"/>
      <c r="I126" s="17">
        <f t="shared" si="7"/>
        <v>46667</v>
      </c>
      <c r="J126" s="18">
        <f t="shared" si="5"/>
        <v>1.5605749486652978</v>
      </c>
      <c r="K126" s="7">
        <v>0.75</v>
      </c>
      <c r="L126" s="7">
        <v>-3.7060713183952494E-3</v>
      </c>
      <c r="M126" s="7">
        <v>1.5057782665666767E-2</v>
      </c>
      <c r="N126" s="7">
        <v>-1.6332678648708167E-2</v>
      </c>
      <c r="O126" s="7">
        <v>2.6045511566887617E-2</v>
      </c>
      <c r="P126" s="11">
        <f t="shared" si="6"/>
        <v>2.3143427811605441</v>
      </c>
    </row>
    <row r="127" spans="1:16" x14ac:dyDescent="0.25">
      <c r="A127" s="11">
        <v>1.1499999999999999</v>
      </c>
      <c r="B127" s="7">
        <v>0.75</v>
      </c>
      <c r="C127" s="11">
        <v>-3.7060713183952494E-3</v>
      </c>
      <c r="D127" s="11">
        <v>1.5057782665666767E-2</v>
      </c>
      <c r="E127" s="11">
        <v>-1.6332678648708167E-2</v>
      </c>
      <c r="F127" s="11">
        <v>2.6045511566887617E-2</v>
      </c>
      <c r="G127" s="3">
        <f t="shared" si="4"/>
        <v>2.154037747985315E-2</v>
      </c>
      <c r="H127" s="11"/>
      <c r="I127" s="17">
        <f t="shared" si="7"/>
        <v>46672</v>
      </c>
      <c r="J127" s="18">
        <f t="shared" si="5"/>
        <v>1.5742642026009583</v>
      </c>
      <c r="K127" s="7">
        <v>0.75</v>
      </c>
      <c r="L127" s="7">
        <v>-3.7060713183952494E-3</v>
      </c>
      <c r="M127" s="7">
        <v>1.5057782665666767E-2</v>
      </c>
      <c r="N127" s="7">
        <v>-1.6332678648708167E-2</v>
      </c>
      <c r="O127" s="7">
        <v>2.6045511566887617E-2</v>
      </c>
      <c r="P127" s="11">
        <f t="shared" si="6"/>
        <v>2.3192101328891304</v>
      </c>
    </row>
    <row r="128" spans="1:16" x14ac:dyDescent="0.25">
      <c r="A128" s="11">
        <v>1.1599999999999999</v>
      </c>
      <c r="B128" s="7">
        <v>0.75</v>
      </c>
      <c r="C128" s="11">
        <v>-3.7060713183952494E-3</v>
      </c>
      <c r="D128" s="11">
        <v>1.5057782665666767E-2</v>
      </c>
      <c r="E128" s="11">
        <v>-1.6332678648708167E-2</v>
      </c>
      <c r="F128" s="11">
        <v>2.6045511566887617E-2</v>
      </c>
      <c r="G128" s="3">
        <f t="shared" si="4"/>
        <v>2.1576564792709477E-2</v>
      </c>
      <c r="H128" s="11"/>
      <c r="I128" s="17">
        <f t="shared" si="7"/>
        <v>46677</v>
      </c>
      <c r="J128" s="18">
        <f t="shared" si="5"/>
        <v>1.5879534565366187</v>
      </c>
      <c r="K128" s="7">
        <v>0.75</v>
      </c>
      <c r="L128" s="7">
        <v>-3.7060713183952494E-3</v>
      </c>
      <c r="M128" s="7">
        <v>1.5057782665666767E-2</v>
      </c>
      <c r="N128" s="7">
        <v>-1.6332678648708167E-2</v>
      </c>
      <c r="O128" s="7">
        <v>2.6045511566887617E-2</v>
      </c>
      <c r="P128" s="11">
        <f t="shared" si="6"/>
        <v>2.3239858397545983</v>
      </c>
    </row>
    <row r="129" spans="1:16" x14ac:dyDescent="0.25">
      <c r="A129" s="11">
        <v>1.17</v>
      </c>
      <c r="B129" s="7">
        <v>0.75</v>
      </c>
      <c r="C129" s="11">
        <v>-3.7060713183952494E-3</v>
      </c>
      <c r="D129" s="11">
        <v>1.5057782665666767E-2</v>
      </c>
      <c r="E129" s="11">
        <v>-1.6332678648708167E-2</v>
      </c>
      <c r="F129" s="11">
        <v>2.6045511566887617E-2</v>
      </c>
      <c r="G129" s="3">
        <f t="shared" si="4"/>
        <v>2.161318423646133E-2</v>
      </c>
      <c r="H129" s="11"/>
      <c r="I129" s="17">
        <f t="shared" si="7"/>
        <v>46682</v>
      </c>
      <c r="J129" s="18">
        <f t="shared" si="5"/>
        <v>1.6016427104722792</v>
      </c>
      <c r="K129" s="7">
        <v>0.75</v>
      </c>
      <c r="L129" s="7">
        <v>-3.7060713183952494E-3</v>
      </c>
      <c r="M129" s="7">
        <v>1.5057782665666767E-2</v>
      </c>
      <c r="N129" s="7">
        <v>-1.6332678648708167E-2</v>
      </c>
      <c r="O129" s="7">
        <v>2.6045511566887617E-2</v>
      </c>
      <c r="P129" s="11">
        <f t="shared" si="6"/>
        <v>2.3286641974306246</v>
      </c>
    </row>
    <row r="130" spans="1:16" x14ac:dyDescent="0.25">
      <c r="A130" s="11">
        <v>1.18</v>
      </c>
      <c r="B130" s="7">
        <v>0.75</v>
      </c>
      <c r="C130" s="11">
        <v>-3.7060713183952494E-3</v>
      </c>
      <c r="D130" s="11">
        <v>1.5057782665666767E-2</v>
      </c>
      <c r="E130" s="11">
        <v>-1.6332678648708167E-2</v>
      </c>
      <c r="F130" s="11">
        <v>2.6045511566887617E-2</v>
      </c>
      <c r="G130" s="3">
        <f t="shared" si="4"/>
        <v>2.1650213574680804E-2</v>
      </c>
      <c r="H130" s="11"/>
      <c r="I130" s="17">
        <f t="shared" si="7"/>
        <v>46687</v>
      </c>
      <c r="J130" s="18">
        <f t="shared" si="5"/>
        <v>1.6153319644079398</v>
      </c>
      <c r="K130" s="7">
        <v>0.75</v>
      </c>
      <c r="L130" s="7">
        <v>-3.7060713183952494E-3</v>
      </c>
      <c r="M130" s="7">
        <v>1.5057782665666767E-2</v>
      </c>
      <c r="N130" s="7">
        <v>-1.6332678648708167E-2</v>
      </c>
      <c r="O130" s="7">
        <v>2.6045511566887617E-2</v>
      </c>
      <c r="P130" s="11">
        <f t="shared" si="6"/>
        <v>2.3332395015908824</v>
      </c>
    </row>
    <row r="131" spans="1:16" x14ac:dyDescent="0.25">
      <c r="A131" s="11">
        <v>1.19</v>
      </c>
      <c r="B131" s="7">
        <v>0.75</v>
      </c>
      <c r="C131" s="11">
        <v>-3.7060713183952494E-3</v>
      </c>
      <c r="D131" s="11">
        <v>1.5057782665666767E-2</v>
      </c>
      <c r="E131" s="11">
        <v>-1.6332678648708167E-2</v>
      </c>
      <c r="F131" s="11">
        <v>2.6045511566887617E-2</v>
      </c>
      <c r="G131" s="3">
        <f t="shared" si="4"/>
        <v>2.1687630570939989E-2</v>
      </c>
      <c r="H131" s="11"/>
      <c r="I131" s="17">
        <f t="shared" si="7"/>
        <v>46692</v>
      </c>
      <c r="J131" s="18">
        <f t="shared" si="5"/>
        <v>1.6290212183436004</v>
      </c>
      <c r="K131" s="7">
        <v>0.75</v>
      </c>
      <c r="L131" s="7">
        <v>-3.7060713183952494E-3</v>
      </c>
      <c r="M131" s="7">
        <v>1.5057782665666767E-2</v>
      </c>
      <c r="N131" s="7">
        <v>-1.6332678648708167E-2</v>
      </c>
      <c r="O131" s="7">
        <v>2.6045511566887617E-2</v>
      </c>
      <c r="P131" s="11">
        <f t="shared" si="6"/>
        <v>2.3377060479090468</v>
      </c>
    </row>
    <row r="132" spans="1:16" x14ac:dyDescent="0.25">
      <c r="A132" s="11">
        <v>1.2</v>
      </c>
      <c r="B132" s="7">
        <v>0.75</v>
      </c>
      <c r="C132" s="11">
        <v>-3.7060713183952494E-3</v>
      </c>
      <c r="D132" s="11">
        <v>1.5057782665666767E-2</v>
      </c>
      <c r="E132" s="11">
        <v>-1.6332678648708167E-2</v>
      </c>
      <c r="F132" s="11">
        <v>2.6045511566887617E-2</v>
      </c>
      <c r="G132" s="3">
        <f t="shared" si="4"/>
        <v>2.172541298881097E-2</v>
      </c>
      <c r="H132" s="11"/>
      <c r="I132" s="17">
        <f t="shared" si="7"/>
        <v>46697</v>
      </c>
      <c r="J132" s="18">
        <f t="shared" si="5"/>
        <v>1.6427104722792607</v>
      </c>
      <c r="K132" s="7">
        <v>0.75</v>
      </c>
      <c r="L132" s="7">
        <v>-3.7060713183952494E-3</v>
      </c>
      <c r="M132" s="7">
        <v>1.5057782665666767E-2</v>
      </c>
      <c r="N132" s="7">
        <v>-1.6332678648708167E-2</v>
      </c>
      <c r="O132" s="7">
        <v>2.6045511566887617E-2</v>
      </c>
      <c r="P132" s="11">
        <f t="shared" si="6"/>
        <v>2.3420581320587939</v>
      </c>
    </row>
    <row r="133" spans="1:16" x14ac:dyDescent="0.25">
      <c r="A133" s="11">
        <v>1.21</v>
      </c>
      <c r="B133" s="7">
        <v>0.75</v>
      </c>
      <c r="C133" s="11">
        <v>-3.7060713183952494E-3</v>
      </c>
      <c r="D133" s="11">
        <v>1.5057782665666767E-2</v>
      </c>
      <c r="E133" s="11">
        <v>-1.6332678648708167E-2</v>
      </c>
      <c r="F133" s="11">
        <v>2.6045511566887617E-2</v>
      </c>
      <c r="G133" s="3">
        <f t="shared" si="4"/>
        <v>2.176353859186584E-2</v>
      </c>
      <c r="H133" s="11"/>
      <c r="I133" s="17">
        <f t="shared" si="7"/>
        <v>46702</v>
      </c>
      <c r="J133" s="18">
        <f t="shared" si="5"/>
        <v>1.6563997262149213</v>
      </c>
      <c r="K133" s="7">
        <v>0.75</v>
      </c>
      <c r="L133" s="7">
        <v>-3.7060713183952494E-3</v>
      </c>
      <c r="M133" s="7">
        <v>1.5057782665666767E-2</v>
      </c>
      <c r="N133" s="7">
        <v>-1.6332678648708167E-2</v>
      </c>
      <c r="O133" s="7">
        <v>2.6045511566887617E-2</v>
      </c>
      <c r="P133" s="11">
        <f t="shared" si="6"/>
        <v>2.3462900497137991</v>
      </c>
    </row>
    <row r="134" spans="1:16" x14ac:dyDescent="0.25">
      <c r="A134" s="11">
        <v>1.22</v>
      </c>
      <c r="B134" s="7">
        <v>0.75</v>
      </c>
      <c r="C134" s="11">
        <v>-3.7060713183952494E-3</v>
      </c>
      <c r="D134" s="11">
        <v>1.5057782665666767E-2</v>
      </c>
      <c r="E134" s="11">
        <v>-1.6332678648708167E-2</v>
      </c>
      <c r="F134" s="11">
        <v>2.6045511566887617E-2</v>
      </c>
      <c r="G134" s="3">
        <f t="shared" si="4"/>
        <v>2.1801985143676691E-2</v>
      </c>
      <c r="H134" s="11"/>
      <c r="I134" s="17">
        <f t="shared" si="7"/>
        <v>46707</v>
      </c>
      <c r="J134" s="18">
        <f t="shared" si="5"/>
        <v>1.6700889801505818</v>
      </c>
      <c r="K134" s="7">
        <v>0.75</v>
      </c>
      <c r="L134" s="7">
        <v>-3.7060713183952494E-3</v>
      </c>
      <c r="M134" s="7">
        <v>1.5057782665666767E-2</v>
      </c>
      <c r="N134" s="7">
        <v>-1.6332678648708167E-2</v>
      </c>
      <c r="O134" s="7">
        <v>2.6045511566887617E-2</v>
      </c>
      <c r="P134" s="11">
        <f t="shared" si="6"/>
        <v>2.3503960965477351</v>
      </c>
    </row>
    <row r="135" spans="1:16" x14ac:dyDescent="0.25">
      <c r="A135" s="11">
        <v>1.23</v>
      </c>
      <c r="B135" s="7">
        <v>0.75</v>
      </c>
      <c r="C135" s="11">
        <v>-3.7060713183952494E-3</v>
      </c>
      <c r="D135" s="11">
        <v>1.5057782665666767E-2</v>
      </c>
      <c r="E135" s="11">
        <v>-1.6332678648708167E-2</v>
      </c>
      <c r="F135" s="11">
        <v>2.6045511566887617E-2</v>
      </c>
      <c r="G135" s="3">
        <f t="shared" si="4"/>
        <v>2.184073040781561E-2</v>
      </c>
      <c r="H135" s="11"/>
      <c r="I135" s="17">
        <f t="shared" si="7"/>
        <v>46712</v>
      </c>
      <c r="J135" s="18">
        <f t="shared" si="5"/>
        <v>1.6837782340862424</v>
      </c>
      <c r="K135" s="7">
        <v>0.75</v>
      </c>
      <c r="L135" s="7">
        <v>-3.7060713183952494E-3</v>
      </c>
      <c r="M135" s="7">
        <v>1.5057782665666767E-2</v>
      </c>
      <c r="N135" s="7">
        <v>-1.6332678648708167E-2</v>
      </c>
      <c r="O135" s="7">
        <v>2.6045511566887617E-2</v>
      </c>
      <c r="P135" s="11">
        <f t="shared" si="6"/>
        <v>2.3543705682342804</v>
      </c>
    </row>
    <row r="136" spans="1:16" x14ac:dyDescent="0.25">
      <c r="A136" s="11">
        <v>1.24</v>
      </c>
      <c r="B136" s="7">
        <v>0.75</v>
      </c>
      <c r="C136" s="11">
        <v>-3.7060713183952494E-3</v>
      </c>
      <c r="D136" s="11">
        <v>1.5057782665666767E-2</v>
      </c>
      <c r="E136" s="11">
        <v>-1.6332678648708167E-2</v>
      </c>
      <c r="F136" s="11">
        <v>2.6045511566887617E-2</v>
      </c>
      <c r="G136" s="3">
        <f t="shared" si="4"/>
        <v>2.1879752147854686E-2</v>
      </c>
      <c r="H136" s="11"/>
      <c r="I136" s="17">
        <f t="shared" si="7"/>
        <v>46717</v>
      </c>
      <c r="J136" s="18">
        <f t="shared" si="5"/>
        <v>1.6974674880219027</v>
      </c>
      <c r="K136" s="7">
        <v>0.75</v>
      </c>
      <c r="L136" s="7">
        <v>-3.7060713183952494E-3</v>
      </c>
      <c r="M136" s="7">
        <v>1.5057782665666767E-2</v>
      </c>
      <c r="N136" s="7">
        <v>-1.6332678648708167E-2</v>
      </c>
      <c r="O136" s="7">
        <v>2.6045511566887617E-2</v>
      </c>
      <c r="P136" s="11">
        <f t="shared" si="6"/>
        <v>2.3582077604471068</v>
      </c>
    </row>
    <row r="137" spans="1:16" x14ac:dyDescent="0.25">
      <c r="A137" s="11">
        <v>1.25</v>
      </c>
      <c r="B137" s="7">
        <v>0.75</v>
      </c>
      <c r="C137" s="11">
        <v>-3.7060713183952494E-3</v>
      </c>
      <c r="D137" s="11">
        <v>1.5057782665666767E-2</v>
      </c>
      <c r="E137" s="11">
        <v>-1.6332678648708167E-2</v>
      </c>
      <c r="F137" s="11">
        <v>2.6045511566887617E-2</v>
      </c>
      <c r="G137" s="3">
        <f t="shared" si="4"/>
        <v>2.1919028127366014E-2</v>
      </c>
      <c r="H137" s="11"/>
      <c r="I137" s="17">
        <f t="shared" si="7"/>
        <v>46722</v>
      </c>
      <c r="J137" s="18">
        <f t="shared" si="5"/>
        <v>1.7111567419575633</v>
      </c>
      <c r="K137" s="7">
        <v>0.75</v>
      </c>
      <c r="L137" s="7">
        <v>-3.7060713183952494E-3</v>
      </c>
      <c r="M137" s="7">
        <v>1.5057782665666767E-2</v>
      </c>
      <c r="N137" s="7">
        <v>-1.6332678648708167E-2</v>
      </c>
      <c r="O137" s="7">
        <v>2.6045511566887617E-2</v>
      </c>
      <c r="P137" s="11">
        <f t="shared" si="6"/>
        <v>2.3619019688598906</v>
      </c>
    </row>
    <row r="138" spans="1:16" x14ac:dyDescent="0.25">
      <c r="A138" s="11">
        <v>1.26</v>
      </c>
      <c r="B138" s="7">
        <v>0.75</v>
      </c>
      <c r="C138" s="11">
        <v>-3.7060713183952494E-3</v>
      </c>
      <c r="D138" s="11">
        <v>1.5057782665666767E-2</v>
      </c>
      <c r="E138" s="11">
        <v>-1.6332678648708167E-2</v>
      </c>
      <c r="F138" s="11">
        <v>2.6045511566887617E-2</v>
      </c>
      <c r="G138" s="3">
        <f t="shared" si="4"/>
        <v>2.1958536109921673E-2</v>
      </c>
      <c r="H138" s="11"/>
      <c r="I138" s="17">
        <f t="shared" si="7"/>
        <v>46727</v>
      </c>
      <c r="J138" s="18">
        <f t="shared" si="5"/>
        <v>1.7248459958932238</v>
      </c>
      <c r="K138" s="7">
        <v>0.75</v>
      </c>
      <c r="L138" s="7">
        <v>-3.7060713183952494E-3</v>
      </c>
      <c r="M138" s="7">
        <v>1.5057782665666767E-2</v>
      </c>
      <c r="N138" s="7">
        <v>-1.6332678648708167E-2</v>
      </c>
      <c r="O138" s="7">
        <v>2.6045511566887617E-2</v>
      </c>
      <c r="P138" s="11">
        <f t="shared" si="6"/>
        <v>2.3654474891463066</v>
      </c>
    </row>
    <row r="139" spans="1:16" x14ac:dyDescent="0.25">
      <c r="A139" s="11">
        <v>1.27</v>
      </c>
      <c r="B139" s="7">
        <v>0.75</v>
      </c>
      <c r="C139" s="11">
        <v>-3.7060713183952494E-3</v>
      </c>
      <c r="D139" s="11">
        <v>1.5057782665666767E-2</v>
      </c>
      <c r="E139" s="11">
        <v>-1.6332678648708167E-2</v>
      </c>
      <c r="F139" s="11">
        <v>2.6045511566887617E-2</v>
      </c>
      <c r="G139" s="3">
        <f t="shared" si="4"/>
        <v>2.199825385909376E-2</v>
      </c>
      <c r="H139" s="11"/>
      <c r="I139" s="17">
        <f t="shared" si="7"/>
        <v>46732</v>
      </c>
      <c r="J139" s="18">
        <f t="shared" si="5"/>
        <v>1.7385352498288844</v>
      </c>
      <c r="K139" s="7">
        <v>0.75</v>
      </c>
      <c r="L139" s="7">
        <v>-3.7060713183952494E-3</v>
      </c>
      <c r="M139" s="7">
        <v>1.5057782665666767E-2</v>
      </c>
      <c r="N139" s="7">
        <v>-1.6332678648708167E-2</v>
      </c>
      <c r="O139" s="7">
        <v>2.6045511566887617E-2</v>
      </c>
      <c r="P139" s="11">
        <f t="shared" si="6"/>
        <v>2.3688386169800313</v>
      </c>
    </row>
    <row r="140" spans="1:16" x14ac:dyDescent="0.25">
      <c r="A140" s="11">
        <v>1.28</v>
      </c>
      <c r="B140" s="7">
        <v>0.75</v>
      </c>
      <c r="C140" s="11">
        <v>-3.7060713183952494E-3</v>
      </c>
      <c r="D140" s="11">
        <v>1.5057782665666767E-2</v>
      </c>
      <c r="E140" s="11">
        <v>-1.6332678648708167E-2</v>
      </c>
      <c r="F140" s="11">
        <v>2.6045511566887617E-2</v>
      </c>
      <c r="G140" s="3">
        <f t="shared" si="4"/>
        <v>2.2038159138454357E-2</v>
      </c>
      <c r="H140" s="11"/>
      <c r="I140" s="17">
        <f t="shared" si="7"/>
        <v>46737</v>
      </c>
      <c r="J140" s="18">
        <f t="shared" si="5"/>
        <v>1.7522245037645447</v>
      </c>
      <c r="K140" s="7">
        <v>1.75</v>
      </c>
      <c r="L140" s="7">
        <v>2.736059530777761E-4</v>
      </c>
      <c r="M140" s="7">
        <v>-2.4030576442491429E-3</v>
      </c>
      <c r="N140" s="7">
        <v>8.2169775043390968E-3</v>
      </c>
      <c r="O140" s="7">
        <v>1.5228853871371632E-2</v>
      </c>
      <c r="P140" s="11">
        <f t="shared" si="6"/>
        <v>2.372071350942472</v>
      </c>
    </row>
    <row r="141" spans="1:16" x14ac:dyDescent="0.25">
      <c r="A141" s="11">
        <v>1.29</v>
      </c>
      <c r="B141" s="7">
        <v>0.75</v>
      </c>
      <c r="C141" s="11">
        <v>-3.7060713183952494E-3</v>
      </c>
      <c r="D141" s="11">
        <v>1.5057782665666767E-2</v>
      </c>
      <c r="E141" s="11">
        <v>-1.6332678648708167E-2</v>
      </c>
      <c r="F141" s="11">
        <v>2.6045511566887617E-2</v>
      </c>
      <c r="G141" s="3">
        <f t="shared" ref="G141:G204" si="8">C141*A141^3 + D141*A141^2 + E141*A141 + F141</f>
        <v>2.2078229711575571E-2</v>
      </c>
      <c r="H141" s="11"/>
      <c r="I141" s="17">
        <f t="shared" si="7"/>
        <v>46742</v>
      </c>
      <c r="J141" s="18">
        <f t="shared" ref="J141:J204" si="9">(I141-$I$12)/365.25</f>
        <v>1.7659137577002053</v>
      </c>
      <c r="K141" s="7">
        <v>1.75</v>
      </c>
      <c r="L141" s="7">
        <v>2.736059530777761E-4</v>
      </c>
      <c r="M141" s="7">
        <v>-2.4030576442491429E-3</v>
      </c>
      <c r="N141" s="7">
        <v>8.2169775043390968E-3</v>
      </c>
      <c r="O141" s="7">
        <v>1.5228853871371632E-2</v>
      </c>
      <c r="P141" s="11">
        <f t="shared" ref="P141:P204" si="10">100*(L141*J141^3 + M141*J141^2 + N141*J141 + O141)</f>
        <v>2.3752234082331736</v>
      </c>
    </row>
    <row r="142" spans="1:16" x14ac:dyDescent="0.25">
      <c r="A142" s="11">
        <v>1.3</v>
      </c>
      <c r="B142" s="7">
        <v>0.75</v>
      </c>
      <c r="C142" s="11">
        <v>-3.7060713183952494E-3</v>
      </c>
      <c r="D142" s="11">
        <v>1.5057782665666767E-2</v>
      </c>
      <c r="E142" s="11">
        <v>-1.6332678648708167E-2</v>
      </c>
      <c r="F142" s="11">
        <v>2.6045511566887617E-2</v>
      </c>
      <c r="G142" s="3">
        <f t="shared" si="8"/>
        <v>2.2118443342029472E-2</v>
      </c>
      <c r="H142" s="11"/>
      <c r="I142" s="17">
        <f t="shared" ref="I142:I205" si="11">I141+5</f>
        <v>46747</v>
      </c>
      <c r="J142" s="18">
        <f t="shared" si="9"/>
        <v>1.7796030116358659</v>
      </c>
      <c r="K142" s="7">
        <v>1.75</v>
      </c>
      <c r="L142" s="7">
        <v>2.736059530777761E-4</v>
      </c>
      <c r="M142" s="7">
        <v>-2.4030576442491429E-3</v>
      </c>
      <c r="N142" s="7">
        <v>8.2169775043390968E-3</v>
      </c>
      <c r="O142" s="7">
        <v>1.5228853871371632E-2</v>
      </c>
      <c r="P142" s="11">
        <f t="shared" si="10"/>
        <v>2.3783397267667836</v>
      </c>
    </row>
    <row r="143" spans="1:16" x14ac:dyDescent="0.25">
      <c r="A143" s="11">
        <v>1.31</v>
      </c>
      <c r="B143" s="7">
        <v>0.75</v>
      </c>
      <c r="C143" s="11">
        <v>-3.7060713183952494E-3</v>
      </c>
      <c r="D143" s="11">
        <v>1.5057782665666767E-2</v>
      </c>
      <c r="E143" s="11">
        <v>-1.6332678648708167E-2</v>
      </c>
      <c r="F143" s="11">
        <v>2.6045511566887617E-2</v>
      </c>
      <c r="G143" s="3">
        <f t="shared" si="8"/>
        <v>2.2158777793388162E-2</v>
      </c>
      <c r="H143" s="11"/>
      <c r="I143" s="17">
        <f t="shared" si="11"/>
        <v>46752</v>
      </c>
      <c r="J143" s="18">
        <f t="shared" si="9"/>
        <v>1.7932922655715264</v>
      </c>
      <c r="K143" s="7">
        <v>1.75</v>
      </c>
      <c r="L143" s="7">
        <v>2.736059530777761E-4</v>
      </c>
      <c r="M143" s="7">
        <v>-2.4030576442491429E-3</v>
      </c>
      <c r="N143" s="7">
        <v>8.2169775043390968E-3</v>
      </c>
      <c r="O143" s="7">
        <v>1.5228853871371632E-2</v>
      </c>
      <c r="P143" s="11">
        <f t="shared" si="10"/>
        <v>2.3814207276732566</v>
      </c>
    </row>
    <row r="144" spans="1:16" x14ac:dyDescent="0.25">
      <c r="A144" s="11">
        <v>1.32</v>
      </c>
      <c r="B144" s="7">
        <v>0.75</v>
      </c>
      <c r="C144" s="11">
        <v>-3.7060713183952494E-3</v>
      </c>
      <c r="D144" s="11">
        <v>1.5057782665666767E-2</v>
      </c>
      <c r="E144" s="11">
        <v>-1.6332678648708167E-2</v>
      </c>
      <c r="F144" s="11">
        <v>2.6045511566887617E-2</v>
      </c>
      <c r="G144" s="3">
        <f t="shared" si="8"/>
        <v>2.2199210829223725E-2</v>
      </c>
      <c r="H144" s="11"/>
      <c r="I144" s="17">
        <f t="shared" si="11"/>
        <v>46757</v>
      </c>
      <c r="J144" s="18">
        <f t="shared" si="9"/>
        <v>1.8069815195071868</v>
      </c>
      <c r="K144" s="7">
        <v>1.75</v>
      </c>
      <c r="L144" s="7">
        <v>2.736059530777761E-4</v>
      </c>
      <c r="M144" s="7">
        <v>-2.4030576442491429E-3</v>
      </c>
      <c r="N144" s="7">
        <v>8.2169775043390968E-3</v>
      </c>
      <c r="O144" s="7">
        <v>1.5228853871371632E-2</v>
      </c>
      <c r="P144" s="11">
        <f t="shared" si="10"/>
        <v>2.384466832082544</v>
      </c>
    </row>
    <row r="145" spans="1:16" x14ac:dyDescent="0.25">
      <c r="A145" s="11">
        <v>1.33</v>
      </c>
      <c r="B145" s="7">
        <v>0.75</v>
      </c>
      <c r="C145" s="11">
        <v>-3.7060713183952494E-3</v>
      </c>
      <c r="D145" s="11">
        <v>1.5057782665666767E-2</v>
      </c>
      <c r="E145" s="11">
        <v>-1.6332678648708167E-2</v>
      </c>
      <c r="F145" s="11">
        <v>2.6045511566887617E-2</v>
      </c>
      <c r="G145" s="3">
        <f t="shared" si="8"/>
        <v>2.2239720213108254E-2</v>
      </c>
      <c r="H145" s="11"/>
      <c r="I145" s="17">
        <f t="shared" si="11"/>
        <v>46762</v>
      </c>
      <c r="J145" s="18">
        <f t="shared" si="9"/>
        <v>1.8206707734428473</v>
      </c>
      <c r="K145" s="7">
        <v>1.75</v>
      </c>
      <c r="L145" s="7">
        <v>2.736059530777761E-4</v>
      </c>
      <c r="M145" s="7">
        <v>-2.4030576442491429E-3</v>
      </c>
      <c r="N145" s="7">
        <v>8.2169775043390968E-3</v>
      </c>
      <c r="O145" s="7">
        <v>1.5228853871371632E-2</v>
      </c>
      <c r="P145" s="11">
        <f t="shared" si="10"/>
        <v>2.3874784611245996</v>
      </c>
    </row>
    <row r="146" spans="1:16" x14ac:dyDescent="0.25">
      <c r="A146" s="11">
        <v>1.34</v>
      </c>
      <c r="B146" s="7">
        <v>0.75</v>
      </c>
      <c r="C146" s="11">
        <v>-3.7060713183952494E-3</v>
      </c>
      <c r="D146" s="11">
        <v>1.5057782665666767E-2</v>
      </c>
      <c r="E146" s="11">
        <v>-1.6332678648708167E-2</v>
      </c>
      <c r="F146" s="11">
        <v>2.6045511566887617E-2</v>
      </c>
      <c r="G146" s="3">
        <f t="shared" si="8"/>
        <v>2.2280283708613836E-2</v>
      </c>
      <c r="H146" s="11"/>
      <c r="I146" s="17">
        <f t="shared" si="11"/>
        <v>46767</v>
      </c>
      <c r="J146" s="18">
        <f t="shared" si="9"/>
        <v>1.8343600273785079</v>
      </c>
      <c r="K146" s="7">
        <v>1.75</v>
      </c>
      <c r="L146" s="7">
        <v>2.736059530777761E-4</v>
      </c>
      <c r="M146" s="7">
        <v>-2.4030576442491429E-3</v>
      </c>
      <c r="N146" s="7">
        <v>8.2169775043390968E-3</v>
      </c>
      <c r="O146" s="7">
        <v>1.5228853871371632E-2</v>
      </c>
      <c r="P146" s="11">
        <f t="shared" si="10"/>
        <v>2.3904560359293772</v>
      </c>
    </row>
    <row r="147" spans="1:16" x14ac:dyDescent="0.25">
      <c r="A147" s="11">
        <v>1.35</v>
      </c>
      <c r="B147" s="7">
        <v>0.75</v>
      </c>
      <c r="C147" s="11">
        <v>-3.7060713183952494E-3</v>
      </c>
      <c r="D147" s="11">
        <v>1.5057782665666767E-2</v>
      </c>
      <c r="E147" s="11">
        <v>-1.6332678648708167E-2</v>
      </c>
      <c r="F147" s="11">
        <v>2.6045511566887617E-2</v>
      </c>
      <c r="G147" s="3">
        <f t="shared" si="8"/>
        <v>2.2320879079312562E-2</v>
      </c>
      <c r="H147" s="11"/>
      <c r="I147" s="17">
        <f t="shared" si="11"/>
        <v>46772</v>
      </c>
      <c r="J147" s="18">
        <f t="shared" si="9"/>
        <v>1.8480492813141685</v>
      </c>
      <c r="K147" s="7">
        <v>1.75</v>
      </c>
      <c r="L147" s="7">
        <v>2.736059530777761E-4</v>
      </c>
      <c r="M147" s="7">
        <v>-2.4030576442491429E-3</v>
      </c>
      <c r="N147" s="7">
        <v>8.2169775043390968E-3</v>
      </c>
      <c r="O147" s="7">
        <v>1.5228853871371632E-2</v>
      </c>
      <c r="P147" s="11">
        <f t="shared" si="10"/>
        <v>2.3933999776268298</v>
      </c>
    </row>
    <row r="148" spans="1:16" x14ac:dyDescent="0.25">
      <c r="A148" s="11">
        <v>1.36</v>
      </c>
      <c r="B148" s="7">
        <v>0.75</v>
      </c>
      <c r="C148" s="11">
        <v>-3.7060713183952494E-3</v>
      </c>
      <c r="D148" s="11">
        <v>1.5057782665666767E-2</v>
      </c>
      <c r="E148" s="11">
        <v>-1.6332678648708167E-2</v>
      </c>
      <c r="F148" s="11">
        <v>2.6045511566887617E-2</v>
      </c>
      <c r="G148" s="3">
        <f t="shared" si="8"/>
        <v>2.2361484088776525E-2</v>
      </c>
      <c r="H148" s="11"/>
      <c r="I148" s="17">
        <f t="shared" si="11"/>
        <v>46777</v>
      </c>
      <c r="J148" s="18">
        <f t="shared" si="9"/>
        <v>1.8617385352498288</v>
      </c>
      <c r="K148" s="7">
        <v>1.75</v>
      </c>
      <c r="L148" s="7">
        <v>2.736059530777761E-4</v>
      </c>
      <c r="M148" s="7">
        <v>-2.4030576442491429E-3</v>
      </c>
      <c r="N148" s="7">
        <v>8.2169775043390968E-3</v>
      </c>
      <c r="O148" s="7">
        <v>1.5228853871371632E-2</v>
      </c>
      <c r="P148" s="11">
        <f t="shared" si="10"/>
        <v>2.3963107073469097</v>
      </c>
    </row>
    <row r="149" spans="1:16" x14ac:dyDescent="0.25">
      <c r="A149" s="11">
        <v>1.37</v>
      </c>
      <c r="B149" s="7">
        <v>0.75</v>
      </c>
      <c r="C149" s="11">
        <v>-3.7060713183952494E-3</v>
      </c>
      <c r="D149" s="11">
        <v>1.5057782665666767E-2</v>
      </c>
      <c r="E149" s="11">
        <v>-1.6332678648708167E-2</v>
      </c>
      <c r="F149" s="11">
        <v>2.6045511566887617E-2</v>
      </c>
      <c r="G149" s="3">
        <f t="shared" si="8"/>
        <v>2.2402076500577805E-2</v>
      </c>
      <c r="H149" s="11"/>
      <c r="I149" s="17">
        <f t="shared" si="11"/>
        <v>46782</v>
      </c>
      <c r="J149" s="18">
        <f t="shared" si="9"/>
        <v>1.8754277891854894</v>
      </c>
      <c r="K149" s="7">
        <v>1.75</v>
      </c>
      <c r="L149" s="7">
        <v>2.736059530777761E-4</v>
      </c>
      <c r="M149" s="7">
        <v>-2.4030576442491429E-3</v>
      </c>
      <c r="N149" s="7">
        <v>8.2169775043390968E-3</v>
      </c>
      <c r="O149" s="7">
        <v>1.5228853871371632E-2</v>
      </c>
      <c r="P149" s="11">
        <f t="shared" si="10"/>
        <v>2.3991886462195708</v>
      </c>
    </row>
    <row r="150" spans="1:16" x14ac:dyDescent="0.25">
      <c r="A150" s="11">
        <v>1.38</v>
      </c>
      <c r="B150" s="7">
        <v>0.75</v>
      </c>
      <c r="C150" s="11">
        <v>-3.7060713183952494E-3</v>
      </c>
      <c r="D150" s="11">
        <v>1.5057782665666767E-2</v>
      </c>
      <c r="E150" s="11">
        <v>-1.6332678648708167E-2</v>
      </c>
      <c r="F150" s="11">
        <v>2.6045511566887617E-2</v>
      </c>
      <c r="G150" s="3">
        <f t="shared" si="8"/>
        <v>2.24426340782885E-2</v>
      </c>
      <c r="H150" s="11"/>
      <c r="I150" s="17">
        <f t="shared" si="11"/>
        <v>46787</v>
      </c>
      <c r="J150" s="18">
        <f t="shared" si="9"/>
        <v>1.8891170431211499</v>
      </c>
      <c r="K150" s="7">
        <v>1.75</v>
      </c>
      <c r="L150" s="7">
        <v>2.736059530777761E-4</v>
      </c>
      <c r="M150" s="7">
        <v>-2.4030576442491429E-3</v>
      </c>
      <c r="N150" s="7">
        <v>8.2169775043390968E-3</v>
      </c>
      <c r="O150" s="7">
        <v>1.5228853871371632E-2</v>
      </c>
      <c r="P150" s="11">
        <f t="shared" si="10"/>
        <v>2.402034215374766</v>
      </c>
    </row>
    <row r="151" spans="1:16" x14ac:dyDescent="0.25">
      <c r="A151" s="11">
        <v>1.39</v>
      </c>
      <c r="B151" s="7">
        <v>0.75</v>
      </c>
      <c r="C151" s="11">
        <v>-3.7060713183952494E-3</v>
      </c>
      <c r="D151" s="11">
        <v>1.5057782665666767E-2</v>
      </c>
      <c r="E151" s="11">
        <v>-1.6332678648708167E-2</v>
      </c>
      <c r="F151" s="11">
        <v>2.6045511566887617E-2</v>
      </c>
      <c r="G151" s="3">
        <f t="shared" si="8"/>
        <v>2.2483134585480694E-2</v>
      </c>
      <c r="H151" s="11"/>
      <c r="I151" s="17">
        <f t="shared" si="11"/>
        <v>46792</v>
      </c>
      <c r="J151" s="18">
        <f t="shared" si="9"/>
        <v>1.9028062970568105</v>
      </c>
      <c r="K151" s="7">
        <v>1.75</v>
      </c>
      <c r="L151" s="7">
        <v>2.736059530777761E-4</v>
      </c>
      <c r="M151" s="7">
        <v>-2.4030576442491429E-3</v>
      </c>
      <c r="N151" s="7">
        <v>8.2169775043390968E-3</v>
      </c>
      <c r="O151" s="7">
        <v>1.5228853871371632E-2</v>
      </c>
      <c r="P151" s="11">
        <f t="shared" si="10"/>
        <v>2.4048478359424492</v>
      </c>
    </row>
    <row r="152" spans="1:16" x14ac:dyDescent="0.25">
      <c r="A152" s="11">
        <v>1.4</v>
      </c>
      <c r="B152" s="7">
        <v>0.75</v>
      </c>
      <c r="C152" s="11">
        <v>-3.7060713183952494E-3</v>
      </c>
      <c r="D152" s="11">
        <v>1.5057782665666767E-2</v>
      </c>
      <c r="E152" s="11">
        <v>-1.6332678648708167E-2</v>
      </c>
      <c r="F152" s="11">
        <v>2.6045511566887617E-2</v>
      </c>
      <c r="G152" s="3">
        <f t="shared" si="8"/>
        <v>2.2523555785726485E-2</v>
      </c>
      <c r="H152" s="11"/>
      <c r="I152" s="17">
        <f t="shared" si="11"/>
        <v>46797</v>
      </c>
      <c r="J152" s="18">
        <f t="shared" si="9"/>
        <v>1.9164955509924708</v>
      </c>
      <c r="K152" s="7">
        <v>1.75</v>
      </c>
      <c r="L152" s="7">
        <v>2.736059530777761E-4</v>
      </c>
      <c r="M152" s="7">
        <v>-2.4030576442491429E-3</v>
      </c>
      <c r="N152" s="7">
        <v>8.2169775043390968E-3</v>
      </c>
      <c r="O152" s="7">
        <v>1.5228853871371632E-2</v>
      </c>
      <c r="P152" s="11">
        <f t="shared" si="10"/>
        <v>2.4076299290525727</v>
      </c>
    </row>
    <row r="153" spans="1:16" x14ac:dyDescent="0.25">
      <c r="A153" s="11">
        <v>1.41</v>
      </c>
      <c r="B153" s="7">
        <v>0.75</v>
      </c>
      <c r="C153" s="11">
        <v>-3.7060713183952494E-3</v>
      </c>
      <c r="D153" s="11">
        <v>1.5057782665666767E-2</v>
      </c>
      <c r="E153" s="11">
        <v>-1.6332678648708167E-2</v>
      </c>
      <c r="F153" s="11">
        <v>2.6045511566887617E-2</v>
      </c>
      <c r="G153" s="3">
        <f t="shared" si="8"/>
        <v>2.2563875442597952E-2</v>
      </c>
      <c r="H153" s="11"/>
      <c r="I153" s="17">
        <f t="shared" si="11"/>
        <v>46802</v>
      </c>
      <c r="J153" s="18">
        <f t="shared" si="9"/>
        <v>1.9301848049281314</v>
      </c>
      <c r="K153" s="7">
        <v>1.75</v>
      </c>
      <c r="L153" s="7">
        <v>2.736059530777761E-4</v>
      </c>
      <c r="M153" s="7">
        <v>-2.4030576442491429E-3</v>
      </c>
      <c r="N153" s="7">
        <v>8.2169775043390968E-3</v>
      </c>
      <c r="O153" s="7">
        <v>1.5228853871371632E-2</v>
      </c>
      <c r="P153" s="11">
        <f t="shared" si="10"/>
        <v>2.4103809158350904</v>
      </c>
    </row>
    <row r="154" spans="1:16" x14ac:dyDescent="0.25">
      <c r="A154" s="11">
        <v>1.42</v>
      </c>
      <c r="B154" s="7">
        <v>0.75</v>
      </c>
      <c r="C154" s="11">
        <v>-3.7060713183952494E-3</v>
      </c>
      <c r="D154" s="11">
        <v>1.5057782665666767E-2</v>
      </c>
      <c r="E154" s="11">
        <v>-1.6332678648708167E-2</v>
      </c>
      <c r="F154" s="11">
        <v>2.6045511566887617E-2</v>
      </c>
      <c r="G154" s="3">
        <f t="shared" si="8"/>
        <v>2.2604071319667195E-2</v>
      </c>
      <c r="H154" s="11"/>
      <c r="I154" s="17">
        <f t="shared" si="11"/>
        <v>46807</v>
      </c>
      <c r="J154" s="18">
        <f t="shared" si="9"/>
        <v>1.9438740588637919</v>
      </c>
      <c r="K154" s="7">
        <v>1.75</v>
      </c>
      <c r="L154" s="7">
        <v>2.736059530777761E-4</v>
      </c>
      <c r="M154" s="7">
        <v>-2.4030576442491429E-3</v>
      </c>
      <c r="N154" s="7">
        <v>8.2169775043390968E-3</v>
      </c>
      <c r="O154" s="7">
        <v>1.5228853871371632E-2</v>
      </c>
      <c r="P154" s="11">
        <f t="shared" si="10"/>
        <v>2.4131012174199542</v>
      </c>
    </row>
    <row r="155" spans="1:16" x14ac:dyDescent="0.25">
      <c r="A155" s="11">
        <v>1.43</v>
      </c>
      <c r="B155" s="7">
        <v>0.75</v>
      </c>
      <c r="C155" s="11">
        <v>-3.7060713183952494E-3</v>
      </c>
      <c r="D155" s="11">
        <v>1.5057782665666767E-2</v>
      </c>
      <c r="E155" s="11">
        <v>-1.6332678648708167E-2</v>
      </c>
      <c r="F155" s="11">
        <v>2.6045511566887617E-2</v>
      </c>
      <c r="G155" s="3">
        <f t="shared" si="8"/>
        <v>2.264412118050629E-2</v>
      </c>
      <c r="H155" s="11"/>
      <c r="I155" s="17">
        <f t="shared" si="11"/>
        <v>46812</v>
      </c>
      <c r="J155" s="18">
        <f t="shared" si="9"/>
        <v>1.9575633127994525</v>
      </c>
      <c r="K155" s="7">
        <v>1.75</v>
      </c>
      <c r="L155" s="7">
        <v>2.736059530777761E-4</v>
      </c>
      <c r="M155" s="7">
        <v>-2.4030576442491429E-3</v>
      </c>
      <c r="N155" s="7">
        <v>8.2169775043390968E-3</v>
      </c>
      <c r="O155" s="7">
        <v>1.5228853871371632E-2</v>
      </c>
      <c r="P155" s="11">
        <f t="shared" si="10"/>
        <v>2.415791254937119</v>
      </c>
    </row>
    <row r="156" spans="1:16" x14ac:dyDescent="0.25">
      <c r="A156" s="11">
        <v>1.44</v>
      </c>
      <c r="B156" s="7">
        <v>0.75</v>
      </c>
      <c r="C156" s="11">
        <v>-3.7060713183952494E-3</v>
      </c>
      <c r="D156" s="11">
        <v>1.5057782665666767E-2</v>
      </c>
      <c r="E156" s="11">
        <v>-1.6332678648708167E-2</v>
      </c>
      <c r="F156" s="11">
        <v>2.6045511566887617E-2</v>
      </c>
      <c r="G156" s="3">
        <f t="shared" si="8"/>
        <v>2.2684002788687343E-2</v>
      </c>
      <c r="H156" s="11"/>
      <c r="I156" s="17">
        <f t="shared" si="11"/>
        <v>46817</v>
      </c>
      <c r="J156" s="18">
        <f t="shared" si="9"/>
        <v>1.9712525667351128</v>
      </c>
      <c r="K156" s="7">
        <v>1.75</v>
      </c>
      <c r="L156" s="7">
        <v>2.736059530777761E-4</v>
      </c>
      <c r="M156" s="7">
        <v>-2.4030576442491429E-3</v>
      </c>
      <c r="N156" s="7">
        <v>8.2169775043390968E-3</v>
      </c>
      <c r="O156" s="7">
        <v>1.5228853871371632E-2</v>
      </c>
      <c r="P156" s="11">
        <f t="shared" si="10"/>
        <v>2.418451449516537</v>
      </c>
    </row>
    <row r="157" spans="1:16" x14ac:dyDescent="0.25">
      <c r="A157" s="11">
        <v>1.45</v>
      </c>
      <c r="B157" s="7">
        <v>0.75</v>
      </c>
      <c r="C157" s="11">
        <v>-3.7060713183952494E-3</v>
      </c>
      <c r="D157" s="11">
        <v>1.5057782665666767E-2</v>
      </c>
      <c r="E157" s="11">
        <v>-1.6332678648708167E-2</v>
      </c>
      <c r="F157" s="11">
        <v>2.6045511566887617E-2</v>
      </c>
      <c r="G157" s="3">
        <f t="shared" si="8"/>
        <v>2.2723693907782443E-2</v>
      </c>
      <c r="H157" s="11"/>
      <c r="I157" s="17">
        <f t="shared" si="11"/>
        <v>46822</v>
      </c>
      <c r="J157" s="18">
        <f t="shared" si="9"/>
        <v>1.9849418206707734</v>
      </c>
      <c r="K157" s="7">
        <v>1.75</v>
      </c>
      <c r="L157" s="7">
        <v>2.736059530777761E-4</v>
      </c>
      <c r="M157" s="7">
        <v>-2.4030576442491429E-3</v>
      </c>
      <c r="N157" s="7">
        <v>8.2169775043390968E-3</v>
      </c>
      <c r="O157" s="7">
        <v>1.5228853871371632E-2</v>
      </c>
      <c r="P157" s="11">
        <f t="shared" si="10"/>
        <v>2.4210822222881614</v>
      </c>
    </row>
    <row r="158" spans="1:16" x14ac:dyDescent="0.25">
      <c r="A158" s="11">
        <v>1.46</v>
      </c>
      <c r="B158" s="7">
        <v>0.75</v>
      </c>
      <c r="C158" s="11">
        <v>-3.7060713183952494E-3</v>
      </c>
      <c r="D158" s="11">
        <v>1.5057782665666767E-2</v>
      </c>
      <c r="E158" s="11">
        <v>-1.6332678648708167E-2</v>
      </c>
      <c r="F158" s="11">
        <v>2.6045511566887617E-2</v>
      </c>
      <c r="G158" s="3">
        <f t="shared" si="8"/>
        <v>2.2763172301363654E-2</v>
      </c>
      <c r="H158" s="11"/>
      <c r="I158" s="17">
        <f t="shared" si="11"/>
        <v>46827</v>
      </c>
      <c r="J158" s="18">
        <f t="shared" si="9"/>
        <v>1.998631074606434</v>
      </c>
      <c r="K158" s="7">
        <v>1.75</v>
      </c>
      <c r="L158" s="7">
        <v>2.736059530777761E-4</v>
      </c>
      <c r="M158" s="7">
        <v>-2.4030576442491429E-3</v>
      </c>
      <c r="N158" s="7">
        <v>8.2169775043390968E-3</v>
      </c>
      <c r="O158" s="7">
        <v>1.5228853871371632E-2</v>
      </c>
      <c r="P158" s="11">
        <f t="shared" si="10"/>
        <v>2.4236839943819457</v>
      </c>
    </row>
    <row r="159" spans="1:16" x14ac:dyDescent="0.25">
      <c r="A159" s="11">
        <v>1.47</v>
      </c>
      <c r="B159" s="7">
        <v>0.75</v>
      </c>
      <c r="C159" s="11">
        <v>-3.7060713183952494E-3</v>
      </c>
      <c r="D159" s="11">
        <v>1.5057782665666767E-2</v>
      </c>
      <c r="E159" s="11">
        <v>-1.6332678648708167E-2</v>
      </c>
      <c r="F159" s="11">
        <v>2.6045511566887617E-2</v>
      </c>
      <c r="G159" s="3">
        <f t="shared" si="8"/>
        <v>2.2802415733003095E-2</v>
      </c>
      <c r="H159" s="11"/>
      <c r="I159" s="17">
        <f t="shared" si="11"/>
        <v>46832</v>
      </c>
      <c r="J159" s="18">
        <f t="shared" si="9"/>
        <v>2.0123203285420943</v>
      </c>
      <c r="K159" s="7">
        <v>1.75</v>
      </c>
      <c r="L159" s="7">
        <v>2.736059530777761E-4</v>
      </c>
      <c r="M159" s="7">
        <v>-2.4030576442491429E-3</v>
      </c>
      <c r="N159" s="7">
        <v>8.2169775043390968E-3</v>
      </c>
      <c r="O159" s="7">
        <v>1.5228853871371632E-2</v>
      </c>
      <c r="P159" s="11">
        <f t="shared" si="10"/>
        <v>2.4262571869278431</v>
      </c>
    </row>
    <row r="160" spans="1:16" x14ac:dyDescent="0.25">
      <c r="A160" s="11">
        <v>1.48</v>
      </c>
      <c r="B160" s="7">
        <v>0.75</v>
      </c>
      <c r="C160" s="11">
        <v>-3.7060713183952494E-3</v>
      </c>
      <c r="D160" s="11">
        <v>1.5057782665666767E-2</v>
      </c>
      <c r="E160" s="11">
        <v>-1.6332678648708167E-2</v>
      </c>
      <c r="F160" s="11">
        <v>2.6045511566887617E-2</v>
      </c>
      <c r="G160" s="3">
        <f t="shared" si="8"/>
        <v>2.2841401966272844E-2</v>
      </c>
      <c r="H160" s="11"/>
      <c r="I160" s="17">
        <f t="shared" si="11"/>
        <v>46837</v>
      </c>
      <c r="J160" s="18">
        <f t="shared" si="9"/>
        <v>2.0260095824777551</v>
      </c>
      <c r="K160" s="7">
        <v>1.75</v>
      </c>
      <c r="L160" s="7">
        <v>2.736059530777761E-4</v>
      </c>
      <c r="M160" s="7">
        <v>-2.4030576442491429E-3</v>
      </c>
      <c r="N160" s="7">
        <v>8.2169775043390968E-3</v>
      </c>
      <c r="O160" s="7">
        <v>1.5228853871371632E-2</v>
      </c>
      <c r="P160" s="11">
        <f t="shared" si="10"/>
        <v>2.4288022210558062</v>
      </c>
    </row>
    <row r="161" spans="1:16" x14ac:dyDescent="0.25">
      <c r="A161" s="11">
        <v>1.49</v>
      </c>
      <c r="B161" s="7">
        <v>0.75</v>
      </c>
      <c r="C161" s="11">
        <v>-3.7060713183952494E-3</v>
      </c>
      <c r="D161" s="11">
        <v>1.5057782665666767E-2</v>
      </c>
      <c r="E161" s="11">
        <v>-1.6332678648708167E-2</v>
      </c>
      <c r="F161" s="11">
        <v>2.6045511566887617E-2</v>
      </c>
      <c r="G161" s="3">
        <f t="shared" si="8"/>
        <v>2.2880108764744993E-2</v>
      </c>
      <c r="H161" s="11"/>
      <c r="I161" s="17">
        <f t="shared" si="11"/>
        <v>46842</v>
      </c>
      <c r="J161" s="18">
        <f t="shared" si="9"/>
        <v>2.0396988364134154</v>
      </c>
      <c r="K161" s="7">
        <v>1.75</v>
      </c>
      <c r="L161" s="7">
        <v>2.736059530777761E-4</v>
      </c>
      <c r="M161" s="7">
        <v>-2.4030576442491429E-3</v>
      </c>
      <c r="N161" s="7">
        <v>8.2169775043390968E-3</v>
      </c>
      <c r="O161" s="7">
        <v>1.5228853871371632E-2</v>
      </c>
      <c r="P161" s="11">
        <f t="shared" si="10"/>
        <v>2.4313195178957892</v>
      </c>
    </row>
    <row r="162" spans="1:16" x14ac:dyDescent="0.25">
      <c r="A162" s="11">
        <v>1.5</v>
      </c>
      <c r="B162" s="7">
        <v>0.75</v>
      </c>
      <c r="C162" s="11">
        <v>-3.7060713183952494E-3</v>
      </c>
      <c r="D162" s="11">
        <v>1.5057782665666767E-2</v>
      </c>
      <c r="E162" s="11">
        <v>-1.6332678648708167E-2</v>
      </c>
      <c r="F162" s="11">
        <v>2.6045511566887617E-2</v>
      </c>
      <c r="G162" s="3">
        <f t="shared" si="8"/>
        <v>2.2918513891991624E-2</v>
      </c>
      <c r="H162" s="11"/>
      <c r="I162" s="17">
        <f t="shared" si="11"/>
        <v>46847</v>
      </c>
      <c r="J162" s="18">
        <f t="shared" si="9"/>
        <v>2.0533880903490758</v>
      </c>
      <c r="K162" s="7">
        <v>1.75</v>
      </c>
      <c r="L162" s="7">
        <v>2.736059530777761E-4</v>
      </c>
      <c r="M162" s="7">
        <v>-2.4030576442491429E-3</v>
      </c>
      <c r="N162" s="7">
        <v>8.2169775043390968E-3</v>
      </c>
      <c r="O162" s="7">
        <v>1.5228853871371632E-2</v>
      </c>
      <c r="P162" s="11">
        <f t="shared" si="10"/>
        <v>2.4338094985777436</v>
      </c>
    </row>
    <row r="163" spans="1:16" x14ac:dyDescent="0.25">
      <c r="A163" s="11">
        <v>1.51</v>
      </c>
      <c r="B163" s="7">
        <v>0.75</v>
      </c>
      <c r="C163" s="11">
        <v>-3.7060713183952494E-3</v>
      </c>
      <c r="D163" s="11">
        <v>1.5057782665666767E-2</v>
      </c>
      <c r="E163" s="11">
        <v>-1.6332678648708167E-2</v>
      </c>
      <c r="F163" s="11">
        <v>2.6045511566887617E-2</v>
      </c>
      <c r="G163" s="3">
        <f t="shared" si="8"/>
        <v>2.2956595111584842E-2</v>
      </c>
      <c r="H163" s="11"/>
      <c r="I163" s="17">
        <f t="shared" si="11"/>
        <v>46852</v>
      </c>
      <c r="J163" s="18">
        <f t="shared" si="9"/>
        <v>2.0670773442847366</v>
      </c>
      <c r="K163" s="7">
        <v>1.75</v>
      </c>
      <c r="L163" s="7">
        <v>2.736059530777761E-4</v>
      </c>
      <c r="M163" s="7">
        <v>-2.4030576442491429E-3</v>
      </c>
      <c r="N163" s="7">
        <v>8.2169775043390968E-3</v>
      </c>
      <c r="O163" s="7">
        <v>1.5228853871371632E-2</v>
      </c>
      <c r="P163" s="11">
        <f t="shared" si="10"/>
        <v>2.4362725842316246</v>
      </c>
    </row>
    <row r="164" spans="1:16" x14ac:dyDescent="0.25">
      <c r="A164" s="11">
        <v>1.52</v>
      </c>
      <c r="B164" s="7">
        <v>0.75</v>
      </c>
      <c r="C164" s="11">
        <v>-3.7060713183952494E-3</v>
      </c>
      <c r="D164" s="11">
        <v>1.5057782665666767E-2</v>
      </c>
      <c r="E164" s="11">
        <v>-1.6332678648708167E-2</v>
      </c>
      <c r="F164" s="11">
        <v>2.6045511566887617E-2</v>
      </c>
      <c r="G164" s="3">
        <f t="shared" si="8"/>
        <v>2.2994330187096713E-2</v>
      </c>
      <c r="H164" s="11"/>
      <c r="I164" s="17">
        <f t="shared" si="11"/>
        <v>46857</v>
      </c>
      <c r="J164" s="18">
        <f t="shared" si="9"/>
        <v>2.0807665982203969</v>
      </c>
      <c r="K164" s="7">
        <v>1.75</v>
      </c>
      <c r="L164" s="7">
        <v>2.736059530777761E-4</v>
      </c>
      <c r="M164" s="7">
        <v>-2.4030576442491429E-3</v>
      </c>
      <c r="N164" s="7">
        <v>8.2169775043390968E-3</v>
      </c>
      <c r="O164" s="7">
        <v>1.5228853871371632E-2</v>
      </c>
      <c r="P164" s="11">
        <f t="shared" si="10"/>
        <v>2.4387091959873839</v>
      </c>
    </row>
    <row r="165" spans="1:16" x14ac:dyDescent="0.25">
      <c r="A165" s="11">
        <v>1.53</v>
      </c>
      <c r="B165" s="7">
        <v>0.75</v>
      </c>
      <c r="C165" s="11">
        <v>-3.7060713183952494E-3</v>
      </c>
      <c r="D165" s="11">
        <v>1.5057782665666767E-2</v>
      </c>
      <c r="E165" s="11">
        <v>-1.6332678648708167E-2</v>
      </c>
      <c r="F165" s="11">
        <v>2.6045511566887617E-2</v>
      </c>
      <c r="G165" s="3">
        <f t="shared" si="8"/>
        <v>2.3031696882099353E-2</v>
      </c>
      <c r="H165" s="11"/>
      <c r="I165" s="17">
        <f t="shared" si="11"/>
        <v>46862</v>
      </c>
      <c r="J165" s="18">
        <f t="shared" si="9"/>
        <v>2.0944558521560577</v>
      </c>
      <c r="K165" s="7">
        <v>1.75</v>
      </c>
      <c r="L165" s="7">
        <v>2.736059530777761E-4</v>
      </c>
      <c r="M165" s="7">
        <v>-2.4030576442491429E-3</v>
      </c>
      <c r="N165" s="7">
        <v>8.2169775043390968E-3</v>
      </c>
      <c r="O165" s="7">
        <v>1.5228853871371632E-2</v>
      </c>
      <c r="P165" s="11">
        <f t="shared" si="10"/>
        <v>2.4411197549749755</v>
      </c>
    </row>
    <row r="166" spans="1:16" x14ac:dyDescent="0.25">
      <c r="A166" s="11">
        <v>1.54</v>
      </c>
      <c r="B166" s="7">
        <v>0.75</v>
      </c>
      <c r="C166" s="11">
        <v>-3.7060713183952494E-3</v>
      </c>
      <c r="D166" s="11">
        <v>1.5057782665666767E-2</v>
      </c>
      <c r="E166" s="11">
        <v>-1.6332678648708167E-2</v>
      </c>
      <c r="F166" s="11">
        <v>2.6045511566887617E-2</v>
      </c>
      <c r="G166" s="3">
        <f t="shared" si="8"/>
        <v>2.3068672960164835E-2</v>
      </c>
      <c r="H166" s="11"/>
      <c r="I166" s="17">
        <f t="shared" si="11"/>
        <v>46867</v>
      </c>
      <c r="J166" s="18">
        <f t="shared" si="9"/>
        <v>2.108145106091718</v>
      </c>
      <c r="K166" s="7">
        <v>1.75</v>
      </c>
      <c r="L166" s="7">
        <v>2.736059530777761E-4</v>
      </c>
      <c r="M166" s="7">
        <v>-2.4030576442491429E-3</v>
      </c>
      <c r="N166" s="7">
        <v>8.2169775043390968E-3</v>
      </c>
      <c r="O166" s="7">
        <v>1.5228853871371632E-2</v>
      </c>
      <c r="P166" s="11">
        <f t="shared" si="10"/>
        <v>2.443504682324352</v>
      </c>
    </row>
    <row r="167" spans="1:16" x14ac:dyDescent="0.25">
      <c r="A167" s="11">
        <v>1.55</v>
      </c>
      <c r="B167" s="7">
        <v>0.75</v>
      </c>
      <c r="C167" s="11">
        <v>-3.7060713183952494E-3</v>
      </c>
      <c r="D167" s="11">
        <v>1.5057782665666767E-2</v>
      </c>
      <c r="E167" s="11">
        <v>-1.6332678648708167E-2</v>
      </c>
      <c r="F167" s="11">
        <v>2.6045511566887617E-2</v>
      </c>
      <c r="G167" s="3">
        <f t="shared" si="8"/>
        <v>2.3105236184865256E-2</v>
      </c>
      <c r="H167" s="11"/>
      <c r="I167" s="17">
        <f t="shared" si="11"/>
        <v>46872</v>
      </c>
      <c r="J167" s="18">
        <f t="shared" si="9"/>
        <v>2.1218343600273784</v>
      </c>
      <c r="K167" s="7">
        <v>1.75</v>
      </c>
      <c r="L167" s="7">
        <v>2.736059530777761E-4</v>
      </c>
      <c r="M167" s="7">
        <v>-2.4030576442491429E-3</v>
      </c>
      <c r="N167" s="7">
        <v>8.2169775043390968E-3</v>
      </c>
      <c r="O167" s="7">
        <v>1.5228853871371632E-2</v>
      </c>
      <c r="P167" s="11">
        <f t="shared" si="10"/>
        <v>2.4458643991654672</v>
      </c>
    </row>
    <row r="168" spans="1:16" x14ac:dyDescent="0.25">
      <c r="A168" s="11">
        <v>1.56</v>
      </c>
      <c r="B168" s="7">
        <v>0.75</v>
      </c>
      <c r="C168" s="11">
        <v>-3.7060713183952494E-3</v>
      </c>
      <c r="D168" s="11">
        <v>1.5057782665666767E-2</v>
      </c>
      <c r="E168" s="11">
        <v>-1.6332678648708167E-2</v>
      </c>
      <c r="F168" s="11">
        <v>2.6045511566887617E-2</v>
      </c>
      <c r="G168" s="3">
        <f t="shared" si="8"/>
        <v>2.3141364319772702E-2</v>
      </c>
      <c r="H168" s="11"/>
      <c r="I168" s="17">
        <f t="shared" si="11"/>
        <v>46877</v>
      </c>
      <c r="J168" s="18">
        <f t="shared" si="9"/>
        <v>2.1355236139630391</v>
      </c>
      <c r="K168" s="7">
        <v>1.75</v>
      </c>
      <c r="L168" s="7">
        <v>2.736059530777761E-4</v>
      </c>
      <c r="M168" s="7">
        <v>-2.4030576442491429E-3</v>
      </c>
      <c r="N168" s="7">
        <v>8.2169775043390968E-3</v>
      </c>
      <c r="O168" s="7">
        <v>1.5228853871371632E-2</v>
      </c>
      <c r="P168" s="11">
        <f t="shared" si="10"/>
        <v>2.448199326628274</v>
      </c>
    </row>
    <row r="169" spans="1:16" x14ac:dyDescent="0.25">
      <c r="A169" s="11">
        <v>1.57</v>
      </c>
      <c r="B169" s="7">
        <v>0.75</v>
      </c>
      <c r="C169" s="11">
        <v>-3.7060713183952494E-3</v>
      </c>
      <c r="D169" s="11">
        <v>1.5057782665666767E-2</v>
      </c>
      <c r="E169" s="11">
        <v>-1.6332678648708167E-2</v>
      </c>
      <c r="F169" s="11">
        <v>2.6045511566887617E-2</v>
      </c>
      <c r="G169" s="3">
        <f t="shared" si="8"/>
        <v>2.3177035128459259E-2</v>
      </c>
      <c r="H169" s="11"/>
      <c r="I169" s="17">
        <f t="shared" si="11"/>
        <v>46882</v>
      </c>
      <c r="J169" s="18">
        <f t="shared" si="9"/>
        <v>2.1492128678986995</v>
      </c>
      <c r="K169" s="7">
        <v>1.75</v>
      </c>
      <c r="L169" s="7">
        <v>2.736059530777761E-4</v>
      </c>
      <c r="M169" s="7">
        <v>-2.4030576442491429E-3</v>
      </c>
      <c r="N169" s="7">
        <v>8.2169775043390968E-3</v>
      </c>
      <c r="O169" s="7">
        <v>1.5228853871371632E-2</v>
      </c>
      <c r="P169" s="11">
        <f t="shared" si="10"/>
        <v>2.4505098858427257</v>
      </c>
    </row>
    <row r="170" spans="1:16" x14ac:dyDescent="0.25">
      <c r="A170" s="11">
        <v>1.58</v>
      </c>
      <c r="B170" s="7">
        <v>0.75</v>
      </c>
      <c r="C170" s="11">
        <v>-3.7060713183952494E-3</v>
      </c>
      <c r="D170" s="11">
        <v>1.5057782665666767E-2</v>
      </c>
      <c r="E170" s="11">
        <v>-1.6332678648708167E-2</v>
      </c>
      <c r="F170" s="11">
        <v>2.6045511566887617E-2</v>
      </c>
      <c r="G170" s="3">
        <f t="shared" si="8"/>
        <v>2.3212226374497033E-2</v>
      </c>
      <c r="H170" s="11"/>
      <c r="I170" s="17">
        <f t="shared" si="11"/>
        <v>46887</v>
      </c>
      <c r="J170" s="18">
        <f t="shared" si="9"/>
        <v>2.1629021218343598</v>
      </c>
      <c r="K170" s="7">
        <v>1.75</v>
      </c>
      <c r="L170" s="7">
        <v>2.736059530777761E-4</v>
      </c>
      <c r="M170" s="7">
        <v>-2.4030576442491429E-3</v>
      </c>
      <c r="N170" s="7">
        <v>8.2169775043390968E-3</v>
      </c>
      <c r="O170" s="7">
        <v>1.5228853871371632E-2</v>
      </c>
      <c r="P170" s="11">
        <f t="shared" si="10"/>
        <v>2.4527964979387749</v>
      </c>
    </row>
    <row r="171" spans="1:16" x14ac:dyDescent="0.25">
      <c r="A171" s="11">
        <v>1.59</v>
      </c>
      <c r="B171" s="7">
        <v>0.75</v>
      </c>
      <c r="C171" s="11">
        <v>-3.7060713183952494E-3</v>
      </c>
      <c r="D171" s="11">
        <v>1.5057782665666767E-2</v>
      </c>
      <c r="E171" s="11">
        <v>-1.6332678648708167E-2</v>
      </c>
      <c r="F171" s="11">
        <v>2.6045511566887617E-2</v>
      </c>
      <c r="G171" s="3">
        <f t="shared" si="8"/>
        <v>2.3246915821458092E-2</v>
      </c>
      <c r="H171" s="11"/>
      <c r="I171" s="17">
        <f t="shared" si="11"/>
        <v>46892</v>
      </c>
      <c r="J171" s="18">
        <f t="shared" si="9"/>
        <v>2.1765913757700206</v>
      </c>
      <c r="K171" s="7">
        <v>1.75</v>
      </c>
      <c r="L171" s="7">
        <v>2.736059530777761E-4</v>
      </c>
      <c r="M171" s="7">
        <v>-2.4030576442491429E-3</v>
      </c>
      <c r="N171" s="7">
        <v>8.2169775043390968E-3</v>
      </c>
      <c r="O171" s="7">
        <v>1.5228853871371632E-2</v>
      </c>
      <c r="P171" s="11">
        <f t="shared" si="10"/>
        <v>2.4550595840463751</v>
      </c>
    </row>
    <row r="172" spans="1:16" x14ac:dyDescent="0.25">
      <c r="A172" s="11">
        <v>1.6</v>
      </c>
      <c r="B172" s="7">
        <v>0.75</v>
      </c>
      <c r="C172" s="11">
        <v>-3.7060713183952494E-3</v>
      </c>
      <c r="D172" s="11">
        <v>1.5057782665666767E-2</v>
      </c>
      <c r="E172" s="11">
        <v>-1.6332678648708167E-2</v>
      </c>
      <c r="F172" s="11">
        <v>2.6045511566887617E-2</v>
      </c>
      <c r="G172" s="3">
        <f t="shared" si="8"/>
        <v>2.3281081232914533E-2</v>
      </c>
      <c r="H172" s="11"/>
      <c r="I172" s="17">
        <f t="shared" si="11"/>
        <v>46897</v>
      </c>
      <c r="J172" s="18">
        <f t="shared" si="9"/>
        <v>2.1902806297056809</v>
      </c>
      <c r="K172" s="7">
        <v>1.75</v>
      </c>
      <c r="L172" s="7">
        <v>2.736059530777761E-4</v>
      </c>
      <c r="M172" s="7">
        <v>-2.4030576442491429E-3</v>
      </c>
      <c r="N172" s="7">
        <v>8.2169775043390968E-3</v>
      </c>
      <c r="O172" s="7">
        <v>1.5228853871371632E-2</v>
      </c>
      <c r="P172" s="11">
        <f t="shared" si="10"/>
        <v>2.4572995652954797</v>
      </c>
    </row>
    <row r="173" spans="1:16" x14ac:dyDescent="0.25">
      <c r="A173" s="11">
        <v>1.61</v>
      </c>
      <c r="B173" s="7">
        <v>0.75</v>
      </c>
      <c r="C173" s="11">
        <v>-3.7060713183952494E-3</v>
      </c>
      <c r="D173" s="11">
        <v>1.5057782665666767E-2</v>
      </c>
      <c r="E173" s="11">
        <v>-1.6332678648708167E-2</v>
      </c>
      <c r="F173" s="11">
        <v>2.6045511566887617E-2</v>
      </c>
      <c r="G173" s="3">
        <f t="shared" si="8"/>
        <v>2.3314700372438445E-2</v>
      </c>
      <c r="H173" s="11"/>
      <c r="I173" s="17">
        <f t="shared" si="11"/>
        <v>46902</v>
      </c>
      <c r="J173" s="18">
        <f t="shared" si="9"/>
        <v>2.2039698836413417</v>
      </c>
      <c r="K173" s="7">
        <v>1.75</v>
      </c>
      <c r="L173" s="7">
        <v>2.736059530777761E-4</v>
      </c>
      <c r="M173" s="7">
        <v>-2.4030576442491429E-3</v>
      </c>
      <c r="N173" s="7">
        <v>8.2169775043390968E-3</v>
      </c>
      <c r="O173" s="7">
        <v>1.5228853871371632E-2</v>
      </c>
      <c r="P173" s="11">
        <f t="shared" si="10"/>
        <v>2.459516862816042</v>
      </c>
    </row>
    <row r="174" spans="1:16" x14ac:dyDescent="0.25">
      <c r="A174" s="11">
        <v>1.62</v>
      </c>
      <c r="B174" s="7">
        <v>0.75</v>
      </c>
      <c r="C174" s="11">
        <v>-3.7060713183952494E-3</v>
      </c>
      <c r="D174" s="11">
        <v>1.5057782665666767E-2</v>
      </c>
      <c r="E174" s="11">
        <v>-1.6332678648708167E-2</v>
      </c>
      <c r="F174" s="11">
        <v>2.6045511566887617E-2</v>
      </c>
      <c r="G174" s="3">
        <f t="shared" si="8"/>
        <v>2.3347751003601935E-2</v>
      </c>
      <c r="H174" s="11"/>
      <c r="I174" s="17">
        <f t="shared" si="11"/>
        <v>46907</v>
      </c>
      <c r="J174" s="18">
        <f t="shared" si="9"/>
        <v>2.2176591375770021</v>
      </c>
      <c r="K174" s="7">
        <v>1.75</v>
      </c>
      <c r="L174" s="7">
        <v>2.736059530777761E-4</v>
      </c>
      <c r="M174" s="7">
        <v>-2.4030576442491429E-3</v>
      </c>
      <c r="N174" s="7">
        <v>8.2169775043390968E-3</v>
      </c>
      <c r="O174" s="7">
        <v>1.5228853871371632E-2</v>
      </c>
      <c r="P174" s="11">
        <f t="shared" si="10"/>
        <v>2.4617118977380148</v>
      </c>
    </row>
    <row r="175" spans="1:16" x14ac:dyDescent="0.25">
      <c r="A175" s="11">
        <v>1.63</v>
      </c>
      <c r="B175" s="7">
        <v>0.75</v>
      </c>
      <c r="C175" s="11">
        <v>-3.7060713183952494E-3</v>
      </c>
      <c r="D175" s="11">
        <v>1.5057782665666767E-2</v>
      </c>
      <c r="E175" s="11">
        <v>-1.6332678648708167E-2</v>
      </c>
      <c r="F175" s="11">
        <v>2.6045511566887617E-2</v>
      </c>
      <c r="G175" s="3">
        <f t="shared" si="8"/>
        <v>2.3380210889977066E-2</v>
      </c>
      <c r="H175" s="11"/>
      <c r="I175" s="17">
        <f t="shared" si="11"/>
        <v>46912</v>
      </c>
      <c r="J175" s="18">
        <f t="shared" si="9"/>
        <v>2.2313483915126624</v>
      </c>
      <c r="K175" s="7">
        <v>1.75</v>
      </c>
      <c r="L175" s="7">
        <v>2.736059530777761E-4</v>
      </c>
      <c r="M175" s="7">
        <v>-2.4030576442491429E-3</v>
      </c>
      <c r="N175" s="7">
        <v>8.2169775043390968E-3</v>
      </c>
      <c r="O175" s="7">
        <v>1.5228853871371632E-2</v>
      </c>
      <c r="P175" s="11">
        <f t="shared" si="10"/>
        <v>2.4638850911913517</v>
      </c>
    </row>
    <row r="176" spans="1:16" x14ac:dyDescent="0.25">
      <c r="A176" s="11">
        <v>1.64</v>
      </c>
      <c r="B176" s="7">
        <v>0.75</v>
      </c>
      <c r="C176" s="11">
        <v>-3.7060713183952494E-3</v>
      </c>
      <c r="D176" s="11">
        <v>1.5057782665666767E-2</v>
      </c>
      <c r="E176" s="11">
        <v>-1.6332678648708167E-2</v>
      </c>
      <c r="F176" s="11">
        <v>2.6045511566887617E-2</v>
      </c>
      <c r="G176" s="3">
        <f t="shared" si="8"/>
        <v>2.3412057795135947E-2</v>
      </c>
      <c r="H176" s="11"/>
      <c r="I176" s="17">
        <f t="shared" si="11"/>
        <v>46917</v>
      </c>
      <c r="J176" s="18">
        <f t="shared" si="9"/>
        <v>2.2450376454483232</v>
      </c>
      <c r="K176" s="7">
        <v>1.75</v>
      </c>
      <c r="L176" s="7">
        <v>2.736059530777761E-4</v>
      </c>
      <c r="M176" s="7">
        <v>-2.4030576442491429E-3</v>
      </c>
      <c r="N176" s="7">
        <v>8.2169775043390968E-3</v>
      </c>
      <c r="O176" s="7">
        <v>1.5228853871371632E-2</v>
      </c>
      <c r="P176" s="11">
        <f t="shared" si="10"/>
        <v>2.4660368643060058</v>
      </c>
    </row>
    <row r="177" spans="1:16" x14ac:dyDescent="0.25">
      <c r="A177" s="11">
        <v>1.65</v>
      </c>
      <c r="B177" s="7">
        <v>0.75</v>
      </c>
      <c r="C177" s="11">
        <v>-3.7060713183952494E-3</v>
      </c>
      <c r="D177" s="11">
        <v>1.5057782665666767E-2</v>
      </c>
      <c r="E177" s="11">
        <v>-1.6332678648708167E-2</v>
      </c>
      <c r="F177" s="11">
        <v>2.6045511566887617E-2</v>
      </c>
      <c r="G177" s="3">
        <f t="shared" si="8"/>
        <v>2.3443269482650658E-2</v>
      </c>
      <c r="H177" s="11"/>
      <c r="I177" s="17">
        <f t="shared" si="11"/>
        <v>46922</v>
      </c>
      <c r="J177" s="18">
        <f t="shared" si="9"/>
        <v>2.2587268993839835</v>
      </c>
      <c r="K177" s="7">
        <v>1.75</v>
      </c>
      <c r="L177" s="7">
        <v>2.736059530777761E-4</v>
      </c>
      <c r="M177" s="7">
        <v>-2.4030576442491429E-3</v>
      </c>
      <c r="N177" s="7">
        <v>8.2169775043390968E-3</v>
      </c>
      <c r="O177" s="7">
        <v>1.5228853871371632E-2</v>
      </c>
      <c r="P177" s="11">
        <f t="shared" si="10"/>
        <v>2.4681676382119297</v>
      </c>
    </row>
    <row r="178" spans="1:16" x14ac:dyDescent="0.25">
      <c r="A178" s="11">
        <v>1.66</v>
      </c>
      <c r="B178" s="7">
        <v>0.75</v>
      </c>
      <c r="C178" s="11">
        <v>-3.7060713183952494E-3</v>
      </c>
      <c r="D178" s="11">
        <v>1.5057782665666767E-2</v>
      </c>
      <c r="E178" s="11">
        <v>-1.6332678648708167E-2</v>
      </c>
      <c r="F178" s="11">
        <v>2.6045511566887617E-2</v>
      </c>
      <c r="G178" s="3">
        <f t="shared" si="8"/>
        <v>2.3473823716093287E-2</v>
      </c>
      <c r="H178" s="11"/>
      <c r="I178" s="17">
        <f t="shared" si="11"/>
        <v>46927</v>
      </c>
      <c r="J178" s="18">
        <f t="shared" si="9"/>
        <v>2.2724161533196439</v>
      </c>
      <c r="K178" s="7">
        <v>1.75</v>
      </c>
      <c r="L178" s="7">
        <v>2.736059530777761E-4</v>
      </c>
      <c r="M178" s="7">
        <v>-2.4030576442491429E-3</v>
      </c>
      <c r="N178" s="7">
        <v>8.2169775043390968E-3</v>
      </c>
      <c r="O178" s="7">
        <v>1.5228853871371632E-2</v>
      </c>
      <c r="P178" s="11">
        <f t="shared" si="10"/>
        <v>2.4702778340390772</v>
      </c>
    </row>
    <row r="179" spans="1:16" x14ac:dyDescent="0.25">
      <c r="A179" s="11">
        <v>1.67</v>
      </c>
      <c r="B179" s="7">
        <v>0.75</v>
      </c>
      <c r="C179" s="11">
        <v>-3.7060713183952494E-3</v>
      </c>
      <c r="D179" s="11">
        <v>1.5057782665666767E-2</v>
      </c>
      <c r="E179" s="11">
        <v>-1.6332678648708167E-2</v>
      </c>
      <c r="F179" s="11">
        <v>2.6045511566887617E-2</v>
      </c>
      <c r="G179" s="3">
        <f t="shared" si="8"/>
        <v>2.3503698259035935E-2</v>
      </c>
      <c r="H179" s="11"/>
      <c r="I179" s="17">
        <f t="shared" si="11"/>
        <v>46932</v>
      </c>
      <c r="J179" s="18">
        <f t="shared" si="9"/>
        <v>2.2861054072553046</v>
      </c>
      <c r="K179" s="7">
        <v>1.75</v>
      </c>
      <c r="L179" s="7">
        <v>2.736059530777761E-4</v>
      </c>
      <c r="M179" s="7">
        <v>-2.4030576442491429E-3</v>
      </c>
      <c r="N179" s="7">
        <v>8.2169775043390968E-3</v>
      </c>
      <c r="O179" s="7">
        <v>1.5228853871371632E-2</v>
      </c>
      <c r="P179" s="11">
        <f t="shared" si="10"/>
        <v>2.4723678729174012</v>
      </c>
    </row>
    <row r="180" spans="1:16" x14ac:dyDescent="0.25">
      <c r="A180" s="11">
        <v>1.68</v>
      </c>
      <c r="B180" s="7">
        <v>0.75</v>
      </c>
      <c r="C180" s="11">
        <v>-3.7060713183952494E-3</v>
      </c>
      <c r="D180" s="11">
        <v>1.5057782665666767E-2</v>
      </c>
      <c r="E180" s="11">
        <v>-1.6332678648708167E-2</v>
      </c>
      <c r="F180" s="11">
        <v>2.6045511566887617E-2</v>
      </c>
      <c r="G180" s="3">
        <f t="shared" si="8"/>
        <v>2.3532870875050672E-2</v>
      </c>
      <c r="H180" s="11"/>
      <c r="I180" s="17">
        <f t="shared" si="11"/>
        <v>46937</v>
      </c>
      <c r="J180" s="18">
        <f t="shared" si="9"/>
        <v>2.299794661190965</v>
      </c>
      <c r="K180" s="7">
        <v>1.75</v>
      </c>
      <c r="L180" s="7">
        <v>2.736059530777761E-4</v>
      </c>
      <c r="M180" s="7">
        <v>-2.4030576442491429E-3</v>
      </c>
      <c r="N180" s="7">
        <v>8.2169775043390968E-3</v>
      </c>
      <c r="O180" s="7">
        <v>1.5228853871371632E-2</v>
      </c>
      <c r="P180" s="11">
        <f t="shared" si="10"/>
        <v>2.4744381759768546</v>
      </c>
    </row>
    <row r="181" spans="1:16" x14ac:dyDescent="0.25">
      <c r="A181" s="11">
        <v>1.69</v>
      </c>
      <c r="B181" s="7">
        <v>0.75</v>
      </c>
      <c r="C181" s="11">
        <v>-3.7060713183952494E-3</v>
      </c>
      <c r="D181" s="11">
        <v>1.5057782665666767E-2</v>
      </c>
      <c r="E181" s="11">
        <v>-1.6332678648708167E-2</v>
      </c>
      <c r="F181" s="11">
        <v>2.6045511566887617E-2</v>
      </c>
      <c r="G181" s="3">
        <f t="shared" si="8"/>
        <v>2.3561319327709614E-2</v>
      </c>
      <c r="H181" s="11"/>
      <c r="I181" s="17">
        <f t="shared" si="11"/>
        <v>46942</v>
      </c>
      <c r="J181" s="18">
        <f t="shared" si="9"/>
        <v>2.3134839151266258</v>
      </c>
      <c r="K181" s="7">
        <v>1.75</v>
      </c>
      <c r="L181" s="7">
        <v>2.736059530777761E-4</v>
      </c>
      <c r="M181" s="7">
        <v>-2.4030576442491429E-3</v>
      </c>
      <c r="N181" s="7">
        <v>8.2169775043390968E-3</v>
      </c>
      <c r="O181" s="7">
        <v>1.5228853871371632E-2</v>
      </c>
      <c r="P181" s="11">
        <f t="shared" si="10"/>
        <v>2.4764891643473912</v>
      </c>
    </row>
    <row r="182" spans="1:16" x14ac:dyDescent="0.25">
      <c r="A182" s="11">
        <v>1.7</v>
      </c>
      <c r="B182" s="7">
        <v>0.75</v>
      </c>
      <c r="C182" s="11">
        <v>-3.7060713183952494E-3</v>
      </c>
      <c r="D182" s="11">
        <v>1.5057782665666767E-2</v>
      </c>
      <c r="E182" s="11">
        <v>-1.6332678648708167E-2</v>
      </c>
      <c r="F182" s="11">
        <v>2.6045511566887617E-2</v>
      </c>
      <c r="G182" s="3">
        <f t="shared" si="8"/>
        <v>2.3589021380584829E-2</v>
      </c>
      <c r="H182" s="11"/>
      <c r="I182" s="17">
        <f t="shared" si="11"/>
        <v>46947</v>
      </c>
      <c r="J182" s="18">
        <f t="shared" si="9"/>
        <v>2.3271731690622861</v>
      </c>
      <c r="K182" s="7">
        <v>1.75</v>
      </c>
      <c r="L182" s="7">
        <v>2.736059530777761E-4</v>
      </c>
      <c r="M182" s="7">
        <v>-2.4030576442491429E-3</v>
      </c>
      <c r="N182" s="7">
        <v>8.2169775043390968E-3</v>
      </c>
      <c r="O182" s="7">
        <v>1.5228853871371632E-2</v>
      </c>
      <c r="P182" s="11">
        <f t="shared" si="10"/>
        <v>2.4785212591589638</v>
      </c>
    </row>
    <row r="183" spans="1:16" x14ac:dyDescent="0.25">
      <c r="A183" s="11">
        <v>1.71</v>
      </c>
      <c r="B183" s="7">
        <v>0.75</v>
      </c>
      <c r="C183" s="11">
        <v>-3.7060713183952494E-3</v>
      </c>
      <c r="D183" s="11">
        <v>1.5057782665666767E-2</v>
      </c>
      <c r="E183" s="11">
        <v>-1.6332678648708167E-2</v>
      </c>
      <c r="F183" s="11">
        <v>2.6045511566887617E-2</v>
      </c>
      <c r="G183" s="3">
        <f t="shared" si="8"/>
        <v>2.3615954797248415E-2</v>
      </c>
      <c r="H183" s="11"/>
      <c r="I183" s="17">
        <f t="shared" si="11"/>
        <v>46952</v>
      </c>
      <c r="J183" s="18">
        <f t="shared" si="9"/>
        <v>2.3408624229979464</v>
      </c>
      <c r="K183" s="7">
        <v>1.75</v>
      </c>
      <c r="L183" s="7">
        <v>2.736059530777761E-4</v>
      </c>
      <c r="M183" s="7">
        <v>-2.4030576442491429E-3</v>
      </c>
      <c r="N183" s="7">
        <v>8.2169775043390968E-3</v>
      </c>
      <c r="O183" s="7">
        <v>1.5228853871371632E-2</v>
      </c>
      <c r="P183" s="11">
        <f t="shared" si="10"/>
        <v>2.480534881541526</v>
      </c>
    </row>
    <row r="184" spans="1:16" x14ac:dyDescent="0.25">
      <c r="A184" s="11">
        <v>1.72</v>
      </c>
      <c r="B184" s="7">
        <v>0.75</v>
      </c>
      <c r="C184" s="11">
        <v>-3.7060713183952494E-3</v>
      </c>
      <c r="D184" s="11">
        <v>1.5057782665666767E-2</v>
      </c>
      <c r="E184" s="11">
        <v>-1.6332678648708167E-2</v>
      </c>
      <c r="F184" s="11">
        <v>2.6045511566887617E-2</v>
      </c>
      <c r="G184" s="3">
        <f t="shared" si="8"/>
        <v>2.3642097341272459E-2</v>
      </c>
      <c r="H184" s="11"/>
      <c r="I184" s="17">
        <f t="shared" si="11"/>
        <v>46957</v>
      </c>
      <c r="J184" s="18">
        <f t="shared" si="9"/>
        <v>2.3545516769336072</v>
      </c>
      <c r="K184" s="7">
        <v>1.75</v>
      </c>
      <c r="L184" s="7">
        <v>2.736059530777761E-4</v>
      </c>
      <c r="M184" s="7">
        <v>-2.4030576442491429E-3</v>
      </c>
      <c r="N184" s="7">
        <v>8.2169775043390968E-3</v>
      </c>
      <c r="O184" s="7">
        <v>1.5228853871371632E-2</v>
      </c>
      <c r="P184" s="11">
        <f t="shared" si="10"/>
        <v>2.4825304526250305</v>
      </c>
    </row>
    <row r="185" spans="1:16" x14ac:dyDescent="0.25">
      <c r="A185" s="11">
        <v>1.73</v>
      </c>
      <c r="B185" s="7">
        <v>0.75</v>
      </c>
      <c r="C185" s="11">
        <v>-3.7060713183952494E-3</v>
      </c>
      <c r="D185" s="11">
        <v>1.5057782665666767E-2</v>
      </c>
      <c r="E185" s="11">
        <v>-1.6332678648708167E-2</v>
      </c>
      <c r="F185" s="11">
        <v>2.6045511566887617E-2</v>
      </c>
      <c r="G185" s="3">
        <f t="shared" si="8"/>
        <v>2.3667426776229055E-2</v>
      </c>
      <c r="H185" s="11"/>
      <c r="I185" s="17">
        <f t="shared" si="11"/>
        <v>46962</v>
      </c>
      <c r="J185" s="18">
        <f t="shared" si="9"/>
        <v>2.3682409308692676</v>
      </c>
      <c r="K185" s="7">
        <v>1.75</v>
      </c>
      <c r="L185" s="7">
        <v>2.736059530777761E-4</v>
      </c>
      <c r="M185" s="7">
        <v>-2.4030576442491429E-3</v>
      </c>
      <c r="N185" s="7">
        <v>8.2169775043390968E-3</v>
      </c>
      <c r="O185" s="7">
        <v>1.5228853871371632E-2</v>
      </c>
      <c r="P185" s="11">
        <f t="shared" si="10"/>
        <v>2.4845083935394312</v>
      </c>
    </row>
    <row r="186" spans="1:16" x14ac:dyDescent="0.25">
      <c r="A186" s="11">
        <v>1.74</v>
      </c>
      <c r="B186" s="7">
        <v>0.75</v>
      </c>
      <c r="C186" s="11">
        <v>-3.7060713183952494E-3</v>
      </c>
      <c r="D186" s="11">
        <v>1.5057782665666767E-2</v>
      </c>
      <c r="E186" s="11">
        <v>-1.6332678648708167E-2</v>
      </c>
      <c r="F186" s="11">
        <v>2.6045511566887617E-2</v>
      </c>
      <c r="G186" s="3">
        <f t="shared" si="8"/>
        <v>2.3691920865690289E-2</v>
      </c>
      <c r="H186" s="11"/>
      <c r="I186" s="17">
        <f t="shared" si="11"/>
        <v>46967</v>
      </c>
      <c r="J186" s="18">
        <f t="shared" si="9"/>
        <v>2.3819301848049284</v>
      </c>
      <c r="K186" s="7">
        <v>1.75</v>
      </c>
      <c r="L186" s="7">
        <v>2.736059530777761E-4</v>
      </c>
      <c r="M186" s="7">
        <v>-2.4030576442491429E-3</v>
      </c>
      <c r="N186" s="7">
        <v>8.2169775043390968E-3</v>
      </c>
      <c r="O186" s="7">
        <v>1.5228853871371632E-2</v>
      </c>
      <c r="P186" s="11">
        <f t="shared" si="10"/>
        <v>2.48646912541468</v>
      </c>
    </row>
    <row r="187" spans="1:16" x14ac:dyDescent="0.25">
      <c r="A187" s="11">
        <v>1.75</v>
      </c>
      <c r="B187" s="7">
        <v>1.75</v>
      </c>
      <c r="C187" s="11">
        <v>2.736059530777761E-4</v>
      </c>
      <c r="D187" s="11">
        <v>-2.4030576442491429E-3</v>
      </c>
      <c r="E187" s="11">
        <v>8.2169775043390968E-3</v>
      </c>
      <c r="F187" s="11">
        <v>1.5228853871371632E-2</v>
      </c>
      <c r="G187" s="3">
        <f t="shared" si="8"/>
        <v>2.3715557373228259E-2</v>
      </c>
      <c r="H187" s="11"/>
      <c r="I187" s="17">
        <f t="shared" si="11"/>
        <v>46972</v>
      </c>
      <c r="J187" s="18">
        <f t="shared" si="9"/>
        <v>2.3956194387405887</v>
      </c>
      <c r="K187" s="7">
        <v>1.75</v>
      </c>
      <c r="L187" s="7">
        <v>2.736059530777761E-4</v>
      </c>
      <c r="M187" s="7">
        <v>-2.4030576442491429E-3</v>
      </c>
      <c r="N187" s="7">
        <v>8.2169775043390968E-3</v>
      </c>
      <c r="O187" s="7">
        <v>1.5228853871371632E-2</v>
      </c>
      <c r="P187" s="11">
        <f t="shared" si="10"/>
        <v>2.4884130693807309</v>
      </c>
    </row>
    <row r="188" spans="1:16" x14ac:dyDescent="0.25">
      <c r="A188" s="11">
        <v>1.76</v>
      </c>
      <c r="B188" s="7">
        <v>1.75</v>
      </c>
      <c r="C188" s="11">
        <v>2.736059530777761E-4</v>
      </c>
      <c r="D188" s="11">
        <v>-2.4030576442491429E-3</v>
      </c>
      <c r="E188" s="11">
        <v>8.2169775043390968E-3</v>
      </c>
      <c r="F188" s="11">
        <v>1.5228853871371632E-2</v>
      </c>
      <c r="G188" s="3">
        <f t="shared" si="8"/>
        <v>2.3738661288628844E-2</v>
      </c>
      <c r="H188" s="11"/>
      <c r="I188" s="17">
        <f t="shared" si="11"/>
        <v>46977</v>
      </c>
      <c r="J188" s="18">
        <f t="shared" si="9"/>
        <v>2.409308692676249</v>
      </c>
      <c r="K188" s="7">
        <v>1.75</v>
      </c>
      <c r="L188" s="7">
        <v>2.736059530777761E-4</v>
      </c>
      <c r="M188" s="7">
        <v>-2.4030576442491429E-3</v>
      </c>
      <c r="N188" s="7">
        <v>8.2169775043390968E-3</v>
      </c>
      <c r="O188" s="7">
        <v>1.5228853871371632E-2</v>
      </c>
      <c r="P188" s="11">
        <f t="shared" si="10"/>
        <v>2.4903406465675371</v>
      </c>
    </row>
    <row r="189" spans="1:16" x14ac:dyDescent="0.25">
      <c r="A189" s="11">
        <v>1.77</v>
      </c>
      <c r="B189" s="7">
        <v>1.75</v>
      </c>
      <c r="C189" s="11">
        <v>2.736059530777761E-4</v>
      </c>
      <c r="D189" s="11">
        <v>-2.4030576442491429E-3</v>
      </c>
      <c r="E189" s="11">
        <v>8.2169775043390968E-3</v>
      </c>
      <c r="F189" s="11">
        <v>1.5228853871371632E-2</v>
      </c>
      <c r="G189" s="3">
        <f t="shared" si="8"/>
        <v>2.376157352038703E-2</v>
      </c>
      <c r="H189" s="11"/>
      <c r="I189" s="17">
        <f t="shared" si="11"/>
        <v>46982</v>
      </c>
      <c r="J189" s="18">
        <f t="shared" si="9"/>
        <v>2.4229979466119098</v>
      </c>
      <c r="K189" s="7">
        <v>1.75</v>
      </c>
      <c r="L189" s="7">
        <v>2.736059530777761E-4</v>
      </c>
      <c r="M189" s="7">
        <v>-2.4030576442491429E-3</v>
      </c>
      <c r="N189" s="7">
        <v>8.2169775043390968E-3</v>
      </c>
      <c r="O189" s="7">
        <v>1.5228853871371632E-2</v>
      </c>
      <c r="P189" s="11">
        <f t="shared" si="10"/>
        <v>2.492252278105052</v>
      </c>
    </row>
    <row r="190" spans="1:16" x14ac:dyDescent="0.25">
      <c r="A190" s="11">
        <v>1.78</v>
      </c>
      <c r="B190" s="7">
        <v>1.75</v>
      </c>
      <c r="C190" s="11">
        <v>2.736059530777761E-4</v>
      </c>
      <c r="D190" s="11">
        <v>-2.4030576442491429E-3</v>
      </c>
      <c r="E190" s="11">
        <v>8.2169775043390968E-3</v>
      </c>
      <c r="F190" s="11">
        <v>1.5228853871371632E-2</v>
      </c>
      <c r="G190" s="3">
        <f t="shared" si="8"/>
        <v>2.3784295710138535E-2</v>
      </c>
      <c r="H190" s="11"/>
      <c r="I190" s="17">
        <f t="shared" si="11"/>
        <v>46987</v>
      </c>
      <c r="J190" s="18">
        <f t="shared" si="9"/>
        <v>2.4366872005475702</v>
      </c>
      <c r="K190" s="7">
        <v>1.75</v>
      </c>
      <c r="L190" s="7">
        <v>2.736059530777761E-4</v>
      </c>
      <c r="M190" s="7">
        <v>-2.4030576442491429E-3</v>
      </c>
      <c r="N190" s="7">
        <v>8.2169775043390968E-3</v>
      </c>
      <c r="O190" s="7">
        <v>1.5228853871371632E-2</v>
      </c>
      <c r="P190" s="11">
        <f t="shared" si="10"/>
        <v>2.4941483851232285</v>
      </c>
    </row>
    <row r="191" spans="1:16" x14ac:dyDescent="0.25">
      <c r="A191" s="11">
        <v>1.79</v>
      </c>
      <c r="B191" s="7">
        <v>1.75</v>
      </c>
      <c r="C191" s="11">
        <v>2.736059530777761E-4</v>
      </c>
      <c r="D191" s="11">
        <v>-2.4030576442491429E-3</v>
      </c>
      <c r="E191" s="11">
        <v>8.2169775043390968E-3</v>
      </c>
      <c r="F191" s="11">
        <v>1.5228853871371632E-2</v>
      </c>
      <c r="G191" s="3">
        <f t="shared" si="8"/>
        <v>2.3806829499519074E-2</v>
      </c>
      <c r="H191" s="11"/>
      <c r="I191" s="17">
        <f t="shared" si="11"/>
        <v>46992</v>
      </c>
      <c r="J191" s="18">
        <f t="shared" si="9"/>
        <v>2.4503764544832305</v>
      </c>
      <c r="K191" s="7">
        <v>1.75</v>
      </c>
      <c r="L191" s="7">
        <v>2.736059530777761E-4</v>
      </c>
      <c r="M191" s="7">
        <v>-2.4030576442491429E-3</v>
      </c>
      <c r="N191" s="7">
        <v>8.2169775043390968E-3</v>
      </c>
      <c r="O191" s="7">
        <v>1.5228853871371632E-2</v>
      </c>
      <c r="P191" s="11">
        <f t="shared" si="10"/>
        <v>2.4960293887520195</v>
      </c>
    </row>
    <row r="192" spans="1:16" x14ac:dyDescent="0.25">
      <c r="A192" s="11">
        <v>1.8</v>
      </c>
      <c r="B192" s="7">
        <v>1.75</v>
      </c>
      <c r="C192" s="11">
        <v>2.736059530777761E-4</v>
      </c>
      <c r="D192" s="11">
        <v>-2.4030576442491429E-3</v>
      </c>
      <c r="E192" s="11">
        <v>8.2169775043390968E-3</v>
      </c>
      <c r="F192" s="11">
        <v>1.5228853871371632E-2</v>
      </c>
      <c r="G192" s="3">
        <f t="shared" si="8"/>
        <v>2.3829176530164375E-2</v>
      </c>
      <c r="H192" s="11"/>
      <c r="I192" s="17">
        <f t="shared" si="11"/>
        <v>46997</v>
      </c>
      <c r="J192" s="18">
        <f t="shared" si="9"/>
        <v>2.4640657084188913</v>
      </c>
      <c r="K192" s="7">
        <v>1.75</v>
      </c>
      <c r="L192" s="7">
        <v>2.736059530777761E-4</v>
      </c>
      <c r="M192" s="7">
        <v>-2.4030576442491429E-3</v>
      </c>
      <c r="N192" s="7">
        <v>8.2169775043390968E-3</v>
      </c>
      <c r="O192" s="7">
        <v>1.5228853871371632E-2</v>
      </c>
      <c r="P192" s="11">
        <f t="shared" si="10"/>
        <v>2.4978957101213783</v>
      </c>
    </row>
    <row r="193" spans="1:16" x14ac:dyDescent="0.25">
      <c r="A193" s="11">
        <v>1.81</v>
      </c>
      <c r="B193" s="7">
        <v>1.75</v>
      </c>
      <c r="C193" s="11">
        <v>2.736059530777761E-4</v>
      </c>
      <c r="D193" s="11">
        <v>-2.4030576442491429E-3</v>
      </c>
      <c r="E193" s="11">
        <v>8.2169775043390968E-3</v>
      </c>
      <c r="F193" s="11">
        <v>1.5228853871371632E-2</v>
      </c>
      <c r="G193" s="3">
        <f t="shared" si="8"/>
        <v>2.3851338443710145E-2</v>
      </c>
      <c r="H193" s="11"/>
      <c r="I193" s="17">
        <f t="shared" si="11"/>
        <v>47002</v>
      </c>
      <c r="J193" s="18">
        <f t="shared" si="9"/>
        <v>2.4777549623545516</v>
      </c>
      <c r="K193" s="7">
        <v>1.75</v>
      </c>
      <c r="L193" s="7">
        <v>2.736059530777761E-4</v>
      </c>
      <c r="M193" s="7">
        <v>-2.4030576442491429E-3</v>
      </c>
      <c r="N193" s="7">
        <v>8.2169775043390968E-3</v>
      </c>
      <c r="O193" s="7">
        <v>1.5228853871371632E-2</v>
      </c>
      <c r="P193" s="11">
        <f t="shared" si="10"/>
        <v>2.4997477703612589</v>
      </c>
    </row>
    <row r="194" spans="1:16" x14ac:dyDescent="0.25">
      <c r="A194" s="11">
        <v>1.82</v>
      </c>
      <c r="B194" s="7">
        <v>1.75</v>
      </c>
      <c r="C194" s="11">
        <v>2.736059530777761E-4</v>
      </c>
      <c r="D194" s="11">
        <v>-2.4030576442491429E-3</v>
      </c>
      <c r="E194" s="11">
        <v>8.2169775043390968E-3</v>
      </c>
      <c r="F194" s="11">
        <v>1.5228853871371632E-2</v>
      </c>
      <c r="G194" s="3">
        <f t="shared" si="8"/>
        <v>2.387331688179211E-2</v>
      </c>
      <c r="H194" s="11"/>
      <c r="I194" s="17">
        <f t="shared" si="11"/>
        <v>47007</v>
      </c>
      <c r="J194" s="18">
        <f t="shared" si="9"/>
        <v>2.4914442162902124</v>
      </c>
      <c r="K194" s="7">
        <v>1.75</v>
      </c>
      <c r="L194" s="7">
        <v>2.736059530777761E-4</v>
      </c>
      <c r="M194" s="7">
        <v>-2.4030576442491429E-3</v>
      </c>
      <c r="N194" s="7">
        <v>8.2169775043390968E-3</v>
      </c>
      <c r="O194" s="7">
        <v>1.5228853871371632E-2</v>
      </c>
      <c r="P194" s="11">
        <f t="shared" si="10"/>
        <v>2.5015859906016131</v>
      </c>
    </row>
    <row r="195" spans="1:16" x14ac:dyDescent="0.25">
      <c r="A195" s="11">
        <v>1.83</v>
      </c>
      <c r="B195" s="7">
        <v>1.75</v>
      </c>
      <c r="C195" s="11">
        <v>2.736059530777761E-4</v>
      </c>
      <c r="D195" s="11">
        <v>-2.4030576442491429E-3</v>
      </c>
      <c r="E195" s="11">
        <v>8.2169775043390968E-3</v>
      </c>
      <c r="F195" s="11">
        <v>1.5228853871371632E-2</v>
      </c>
      <c r="G195" s="3">
        <f t="shared" si="8"/>
        <v>2.3895113486045984E-2</v>
      </c>
      <c r="H195" s="11"/>
      <c r="I195" s="17">
        <f t="shared" si="11"/>
        <v>47012</v>
      </c>
      <c r="J195" s="18">
        <f t="shared" si="9"/>
        <v>2.5051334702258727</v>
      </c>
      <c r="K195" s="7">
        <v>1.75</v>
      </c>
      <c r="L195" s="7">
        <v>2.736059530777761E-4</v>
      </c>
      <c r="M195" s="7">
        <v>-2.4030576442491429E-3</v>
      </c>
      <c r="N195" s="7">
        <v>8.2169775043390968E-3</v>
      </c>
      <c r="O195" s="7">
        <v>1.5228853871371632E-2</v>
      </c>
      <c r="P195" s="11">
        <f t="shared" si="10"/>
        <v>2.5034107919723954</v>
      </c>
    </row>
    <row r="196" spans="1:16" x14ac:dyDescent="0.25">
      <c r="A196" s="11">
        <v>1.84</v>
      </c>
      <c r="B196" s="7">
        <v>1.75</v>
      </c>
      <c r="C196" s="11">
        <v>2.736059530777761E-4</v>
      </c>
      <c r="D196" s="11">
        <v>-2.4030576442491429E-3</v>
      </c>
      <c r="E196" s="11">
        <v>8.2169775043390968E-3</v>
      </c>
      <c r="F196" s="11">
        <v>1.5228853871371632E-2</v>
      </c>
      <c r="G196" s="3">
        <f t="shared" si="8"/>
        <v>2.3916729898107492E-2</v>
      </c>
      <c r="H196" s="11"/>
      <c r="I196" s="17">
        <f t="shared" si="11"/>
        <v>47017</v>
      </c>
      <c r="J196" s="18">
        <f t="shared" si="9"/>
        <v>2.5188227241615331</v>
      </c>
      <c r="K196" s="7">
        <v>1.75</v>
      </c>
      <c r="L196" s="7">
        <v>2.736059530777761E-4</v>
      </c>
      <c r="M196" s="7">
        <v>-2.4030576442491429E-3</v>
      </c>
      <c r="N196" s="7">
        <v>8.2169775043390968E-3</v>
      </c>
      <c r="O196" s="7">
        <v>1.5228853871371632E-2</v>
      </c>
      <c r="P196" s="11">
        <f t="shared" si="10"/>
        <v>2.5052225956035583</v>
      </c>
    </row>
    <row r="197" spans="1:16" x14ac:dyDescent="0.25">
      <c r="A197" s="11">
        <v>1.85</v>
      </c>
      <c r="B197" s="7">
        <v>1.75</v>
      </c>
      <c r="C197" s="11">
        <v>2.736059530777761E-4</v>
      </c>
      <c r="D197" s="11">
        <v>-2.4030576442491429E-3</v>
      </c>
      <c r="E197" s="11">
        <v>8.2169775043390968E-3</v>
      </c>
      <c r="F197" s="11">
        <v>1.5228853871371632E-2</v>
      </c>
      <c r="G197" s="3">
        <f t="shared" si="8"/>
        <v>2.3938167759612345E-2</v>
      </c>
      <c r="H197" s="11"/>
      <c r="I197" s="17">
        <f t="shared" si="11"/>
        <v>47022</v>
      </c>
      <c r="J197" s="18">
        <f t="shared" si="9"/>
        <v>2.5325119780971939</v>
      </c>
      <c r="K197" s="7">
        <v>1.75</v>
      </c>
      <c r="L197" s="7">
        <v>2.736059530777761E-4</v>
      </c>
      <c r="M197" s="7">
        <v>-2.4030576442491429E-3</v>
      </c>
      <c r="N197" s="7">
        <v>8.2169775043390968E-3</v>
      </c>
      <c r="O197" s="7">
        <v>1.5228853871371632E-2</v>
      </c>
      <c r="P197" s="11">
        <f t="shared" si="10"/>
        <v>2.5070218226250542</v>
      </c>
    </row>
    <row r="198" spans="1:16" x14ac:dyDescent="0.25">
      <c r="A198" s="11">
        <v>1.86</v>
      </c>
      <c r="B198" s="7">
        <v>1.75</v>
      </c>
      <c r="C198" s="11">
        <v>2.736059530777761E-4</v>
      </c>
      <c r="D198" s="11">
        <v>-2.4030576442491429E-3</v>
      </c>
      <c r="E198" s="11">
        <v>8.2169775043390968E-3</v>
      </c>
      <c r="F198" s="11">
        <v>1.5228853871371632E-2</v>
      </c>
      <c r="G198" s="3">
        <f t="shared" si="8"/>
        <v>2.3959428712196262E-2</v>
      </c>
      <c r="H198" s="11"/>
      <c r="I198" s="17">
        <f t="shared" si="11"/>
        <v>47027</v>
      </c>
      <c r="J198" s="18">
        <f t="shared" si="9"/>
        <v>2.5462012320328542</v>
      </c>
      <c r="K198" s="7">
        <v>1.75</v>
      </c>
      <c r="L198" s="7">
        <v>2.736059530777761E-4</v>
      </c>
      <c r="M198" s="7">
        <v>-2.4030576442491429E-3</v>
      </c>
      <c r="N198" s="7">
        <v>8.2169775043390968E-3</v>
      </c>
      <c r="O198" s="7">
        <v>1.5228853871371632E-2</v>
      </c>
      <c r="P198" s="11">
        <f t="shared" si="10"/>
        <v>2.5088088941668381</v>
      </c>
    </row>
    <row r="199" spans="1:16" x14ac:dyDescent="0.25">
      <c r="A199" s="11">
        <v>1.87</v>
      </c>
      <c r="B199" s="7">
        <v>1.75</v>
      </c>
      <c r="C199" s="11">
        <v>2.736059530777761E-4</v>
      </c>
      <c r="D199" s="11">
        <v>-2.4030576442491429E-3</v>
      </c>
      <c r="E199" s="11">
        <v>8.2169775043390968E-3</v>
      </c>
      <c r="F199" s="11">
        <v>1.5228853871371632E-2</v>
      </c>
      <c r="G199" s="3">
        <f t="shared" si="8"/>
        <v>2.3980514397494969E-2</v>
      </c>
      <c r="H199" s="11"/>
      <c r="I199" s="17">
        <f t="shared" si="11"/>
        <v>47032</v>
      </c>
      <c r="J199" s="18">
        <f t="shared" si="9"/>
        <v>2.5598904859685145</v>
      </c>
      <c r="K199" s="7">
        <v>1.75</v>
      </c>
      <c r="L199" s="7">
        <v>2.736059530777761E-4</v>
      </c>
      <c r="M199" s="7">
        <v>-2.4030576442491429E-3</v>
      </c>
      <c r="N199" s="7">
        <v>8.2169775043390968E-3</v>
      </c>
      <c r="O199" s="7">
        <v>1.5228853871371632E-2</v>
      </c>
      <c r="P199" s="11">
        <f t="shared" si="10"/>
        <v>2.5105842313588616</v>
      </c>
    </row>
    <row r="200" spans="1:16" x14ac:dyDescent="0.25">
      <c r="A200" s="11">
        <v>1.88</v>
      </c>
      <c r="B200" s="7">
        <v>1.75</v>
      </c>
      <c r="C200" s="11">
        <v>2.736059530777761E-4</v>
      </c>
      <c r="D200" s="11">
        <v>-2.4030576442491429E-3</v>
      </c>
      <c r="E200" s="11">
        <v>8.2169775043390968E-3</v>
      </c>
      <c r="F200" s="11">
        <v>1.5228853871371632E-2</v>
      </c>
      <c r="G200" s="3">
        <f t="shared" si="8"/>
        <v>2.4001426457144176E-2</v>
      </c>
      <c r="H200" s="11"/>
      <c r="I200" s="17">
        <f t="shared" si="11"/>
        <v>47037</v>
      </c>
      <c r="J200" s="18">
        <f t="shared" si="9"/>
        <v>2.5735797399041753</v>
      </c>
      <c r="K200" s="7">
        <v>1.75</v>
      </c>
      <c r="L200" s="7">
        <v>2.736059530777761E-4</v>
      </c>
      <c r="M200" s="7">
        <v>-2.4030576442491429E-3</v>
      </c>
      <c r="N200" s="7">
        <v>8.2169775043390968E-3</v>
      </c>
      <c r="O200" s="7">
        <v>1.5228853871371632E-2</v>
      </c>
      <c r="P200" s="11">
        <f t="shared" si="10"/>
        <v>2.5123482553310792</v>
      </c>
    </row>
    <row r="201" spans="1:16" x14ac:dyDescent="0.25">
      <c r="A201" s="11">
        <v>1.89</v>
      </c>
      <c r="B201" s="7">
        <v>1.75</v>
      </c>
      <c r="C201" s="11">
        <v>2.736059530777761E-4</v>
      </c>
      <c r="D201" s="11">
        <v>-2.4030576442491429E-3</v>
      </c>
      <c r="E201" s="11">
        <v>8.2169775043390968E-3</v>
      </c>
      <c r="F201" s="11">
        <v>1.5228853871371632E-2</v>
      </c>
      <c r="G201" s="3">
        <f t="shared" si="8"/>
        <v>2.4022166532779603E-2</v>
      </c>
      <c r="H201" s="11"/>
      <c r="I201" s="17">
        <f t="shared" si="11"/>
        <v>47042</v>
      </c>
      <c r="J201" s="18">
        <f t="shared" si="9"/>
        <v>2.5872689938398357</v>
      </c>
      <c r="K201" s="7">
        <v>1.75</v>
      </c>
      <c r="L201" s="7">
        <v>2.736059530777761E-4</v>
      </c>
      <c r="M201" s="7">
        <v>-2.4030576442491429E-3</v>
      </c>
      <c r="N201" s="7">
        <v>8.2169775043390968E-3</v>
      </c>
      <c r="O201" s="7">
        <v>1.5228853871371632E-2</v>
      </c>
      <c r="P201" s="11">
        <f t="shared" si="10"/>
        <v>2.5141013872134423</v>
      </c>
    </row>
    <row r="202" spans="1:16" x14ac:dyDescent="0.25">
      <c r="A202" s="11">
        <v>1.9</v>
      </c>
      <c r="B202" s="7">
        <v>1.75</v>
      </c>
      <c r="C202" s="11">
        <v>2.736059530777761E-4</v>
      </c>
      <c r="D202" s="11">
        <v>-2.4030576442491429E-3</v>
      </c>
      <c r="E202" s="11">
        <v>8.2169775043390968E-3</v>
      </c>
      <c r="F202" s="11">
        <v>1.5228853871371632E-2</v>
      </c>
      <c r="G202" s="3">
        <f t="shared" si="8"/>
        <v>2.4042736266036976E-2</v>
      </c>
      <c r="H202" s="11"/>
      <c r="I202" s="17">
        <f t="shared" si="11"/>
        <v>47047</v>
      </c>
      <c r="J202" s="18">
        <f t="shared" si="9"/>
        <v>2.6009582477754964</v>
      </c>
      <c r="K202" s="7">
        <v>1.75</v>
      </c>
      <c r="L202" s="7">
        <v>2.736059530777761E-4</v>
      </c>
      <c r="M202" s="7">
        <v>-2.4030576442491429E-3</v>
      </c>
      <c r="N202" s="7">
        <v>8.2169775043390968E-3</v>
      </c>
      <c r="O202" s="7">
        <v>1.5228853871371632E-2</v>
      </c>
      <c r="P202" s="11">
        <f t="shared" si="10"/>
        <v>2.5158440481359068</v>
      </c>
    </row>
    <row r="203" spans="1:16" x14ac:dyDescent="0.25">
      <c r="A203" s="11">
        <v>1.91</v>
      </c>
      <c r="B203" s="7">
        <v>1.75</v>
      </c>
      <c r="C203" s="11">
        <v>2.736059530777761E-4</v>
      </c>
      <c r="D203" s="11">
        <v>-2.4030576442491429E-3</v>
      </c>
      <c r="E203" s="11">
        <v>8.2169775043390968E-3</v>
      </c>
      <c r="F203" s="11">
        <v>1.5228853871371632E-2</v>
      </c>
      <c r="G203" s="3">
        <f t="shared" si="8"/>
        <v>2.4063137298552004E-2</v>
      </c>
      <c r="H203" s="11"/>
      <c r="I203" s="17">
        <f t="shared" si="11"/>
        <v>47052</v>
      </c>
      <c r="J203" s="18">
        <f t="shared" si="9"/>
        <v>2.6146475017111568</v>
      </c>
      <c r="K203" s="7">
        <v>1.75</v>
      </c>
      <c r="L203" s="7">
        <v>2.736059530777761E-4</v>
      </c>
      <c r="M203" s="7">
        <v>-2.4030576442491429E-3</v>
      </c>
      <c r="N203" s="7">
        <v>8.2169775043390968E-3</v>
      </c>
      <c r="O203" s="7">
        <v>1.5228853871371632E-2</v>
      </c>
      <c r="P203" s="11">
        <f t="shared" si="10"/>
        <v>2.5175766592284234</v>
      </c>
    </row>
    <row r="204" spans="1:16" x14ac:dyDescent="0.25">
      <c r="A204" s="11">
        <v>1.92</v>
      </c>
      <c r="B204" s="7">
        <v>1.75</v>
      </c>
      <c r="C204" s="11">
        <v>2.736059530777761E-4</v>
      </c>
      <c r="D204" s="11">
        <v>-2.4030576442491429E-3</v>
      </c>
      <c r="E204" s="11">
        <v>8.2169775043390968E-3</v>
      </c>
      <c r="F204" s="11">
        <v>1.5228853871371632E-2</v>
      </c>
      <c r="G204" s="3">
        <f t="shared" si="8"/>
        <v>2.4083371271960412E-2</v>
      </c>
      <c r="H204" s="11"/>
      <c r="I204" s="17">
        <f t="shared" si="11"/>
        <v>47057</v>
      </c>
      <c r="J204" s="18">
        <f t="shared" si="9"/>
        <v>2.6283367556468171</v>
      </c>
      <c r="K204" s="7">
        <v>1.75</v>
      </c>
      <c r="L204" s="7">
        <v>2.736059530777761E-4</v>
      </c>
      <c r="M204" s="7">
        <v>-2.4030576442491429E-3</v>
      </c>
      <c r="N204" s="7">
        <v>8.2169775043390968E-3</v>
      </c>
      <c r="O204" s="7">
        <v>1.5228853871371632E-2</v>
      </c>
      <c r="P204" s="11">
        <f t="shared" si="10"/>
        <v>2.5192996416209459</v>
      </c>
    </row>
    <row r="205" spans="1:16" x14ac:dyDescent="0.25">
      <c r="A205" s="11">
        <v>1.93</v>
      </c>
      <c r="B205" s="7">
        <v>1.75</v>
      </c>
      <c r="C205" s="11">
        <v>2.736059530777761E-4</v>
      </c>
      <c r="D205" s="11">
        <v>-2.4030576442491429E-3</v>
      </c>
      <c r="E205" s="11">
        <v>8.2169775043390968E-3</v>
      </c>
      <c r="F205" s="11">
        <v>1.5228853871371632E-2</v>
      </c>
      <c r="G205" s="3">
        <f t="shared" ref="G205:G268" si="12">C205*A205^3 + D205*A205^2 + E205*A205 + F205</f>
        <v>2.4103439827897914E-2</v>
      </c>
      <c r="H205" s="11"/>
      <c r="I205" s="17">
        <f t="shared" si="11"/>
        <v>47062</v>
      </c>
      <c r="J205" s="18">
        <f t="shared" ref="J205:J268" si="13">(I205-$I$12)/365.25</f>
        <v>2.6420260095824779</v>
      </c>
      <c r="K205" s="7">
        <v>1.75</v>
      </c>
      <c r="L205" s="7">
        <v>2.736059530777761E-4</v>
      </c>
      <c r="M205" s="7">
        <v>-2.4030576442491429E-3</v>
      </c>
      <c r="N205" s="7">
        <v>8.2169775043390968E-3</v>
      </c>
      <c r="O205" s="7">
        <v>1.5228853871371632E-2</v>
      </c>
      <c r="P205" s="11">
        <f t="shared" ref="P205:P268" si="14">100*(L205*J205^3 + M205*J205^2 + N205*J205 + O205)</f>
        <v>2.5210134164434281</v>
      </c>
    </row>
    <row r="206" spans="1:16" x14ac:dyDescent="0.25">
      <c r="A206" s="11">
        <v>1.94</v>
      </c>
      <c r="B206" s="7">
        <v>1.75</v>
      </c>
      <c r="C206" s="11">
        <v>2.736059530777761E-4</v>
      </c>
      <c r="D206" s="11">
        <v>-2.4030576442491429E-3</v>
      </c>
      <c r="E206" s="11">
        <v>8.2169775043390968E-3</v>
      </c>
      <c r="F206" s="11">
        <v>1.5228853871371632E-2</v>
      </c>
      <c r="G206" s="3">
        <f t="shared" si="12"/>
        <v>2.4123344608000231E-2</v>
      </c>
      <c r="H206" s="11"/>
      <c r="I206" s="17">
        <f t="shared" ref="I206:I269" si="15">I205+5</f>
        <v>47067</v>
      </c>
      <c r="J206" s="18">
        <f t="shared" si="13"/>
        <v>2.6557152635181382</v>
      </c>
      <c r="K206" s="7">
        <v>1.75</v>
      </c>
      <c r="L206" s="7">
        <v>2.736059530777761E-4</v>
      </c>
      <c r="M206" s="7">
        <v>-2.4030576442491429E-3</v>
      </c>
      <c r="N206" s="7">
        <v>8.2169775043390968E-3</v>
      </c>
      <c r="O206" s="7">
        <v>1.5228853871371632E-2</v>
      </c>
      <c r="P206" s="11">
        <f t="shared" si="14"/>
        <v>2.5227184048258229</v>
      </c>
    </row>
    <row r="207" spans="1:16" x14ac:dyDescent="0.25">
      <c r="A207" s="11">
        <v>1.95</v>
      </c>
      <c r="B207" s="7">
        <v>1.75</v>
      </c>
      <c r="C207" s="11">
        <v>2.736059530777761E-4</v>
      </c>
      <c r="D207" s="11">
        <v>-2.4030576442491429E-3</v>
      </c>
      <c r="E207" s="11">
        <v>8.2169775043390968E-3</v>
      </c>
      <c r="F207" s="11">
        <v>1.5228853871371632E-2</v>
      </c>
      <c r="G207" s="3">
        <f t="shared" si="12"/>
        <v>2.414308725390308E-2</v>
      </c>
      <c r="H207" s="11"/>
      <c r="I207" s="17">
        <f t="shared" si="15"/>
        <v>47072</v>
      </c>
      <c r="J207" s="18">
        <f t="shared" si="13"/>
        <v>2.6694045174537986</v>
      </c>
      <c r="K207" s="7">
        <v>1.75</v>
      </c>
      <c r="L207" s="7">
        <v>2.736059530777761E-4</v>
      </c>
      <c r="M207" s="7">
        <v>-2.4030576442491429E-3</v>
      </c>
      <c r="N207" s="7">
        <v>8.2169775043390968E-3</v>
      </c>
      <c r="O207" s="7">
        <v>1.5228853871371632E-2</v>
      </c>
      <c r="P207" s="11">
        <f t="shared" si="14"/>
        <v>2.5244150278980824</v>
      </c>
    </row>
    <row r="208" spans="1:16" x14ac:dyDescent="0.25">
      <c r="A208" s="11">
        <v>1.96</v>
      </c>
      <c r="B208" s="7">
        <v>1.75</v>
      </c>
      <c r="C208" s="11">
        <v>2.736059530777761E-4</v>
      </c>
      <c r="D208" s="11">
        <v>-2.4030576442491429E-3</v>
      </c>
      <c r="E208" s="11">
        <v>8.2169775043390968E-3</v>
      </c>
      <c r="F208" s="11">
        <v>1.5228853871371632E-2</v>
      </c>
      <c r="G208" s="3">
        <f t="shared" si="12"/>
        <v>2.4162669407242179E-2</v>
      </c>
      <c r="H208" s="11"/>
      <c r="I208" s="17">
        <f t="shared" si="15"/>
        <v>47077</v>
      </c>
      <c r="J208" s="18">
        <f t="shared" si="13"/>
        <v>2.6830937713894594</v>
      </c>
      <c r="K208" s="7">
        <v>1.75</v>
      </c>
      <c r="L208" s="7">
        <v>2.736059530777761E-4</v>
      </c>
      <c r="M208" s="7">
        <v>-2.4030576442491429E-3</v>
      </c>
      <c r="N208" s="7">
        <v>8.2169775043390968E-3</v>
      </c>
      <c r="O208" s="7">
        <v>1.5228853871371632E-2</v>
      </c>
      <c r="P208" s="11">
        <f t="shared" si="14"/>
        <v>2.5261037067901615</v>
      </c>
    </row>
    <row r="209" spans="1:16" x14ac:dyDescent="0.25">
      <c r="A209" s="11">
        <v>1.97</v>
      </c>
      <c r="B209" s="7">
        <v>1.75</v>
      </c>
      <c r="C209" s="11">
        <v>2.736059530777761E-4</v>
      </c>
      <c r="D209" s="11">
        <v>-2.4030576442491429E-3</v>
      </c>
      <c r="E209" s="11">
        <v>8.2169775043390968E-3</v>
      </c>
      <c r="F209" s="11">
        <v>1.5228853871371632E-2</v>
      </c>
      <c r="G209" s="3">
        <f t="shared" si="12"/>
        <v>2.4182092709653252E-2</v>
      </c>
      <c r="H209" s="11"/>
      <c r="I209" s="17">
        <f t="shared" si="15"/>
        <v>47082</v>
      </c>
      <c r="J209" s="18">
        <f t="shared" si="13"/>
        <v>2.6967830253251197</v>
      </c>
      <c r="K209" s="7">
        <v>1.75</v>
      </c>
      <c r="L209" s="7">
        <v>2.736059530777761E-4</v>
      </c>
      <c r="M209" s="7">
        <v>-2.4030576442491429E-3</v>
      </c>
      <c r="N209" s="7">
        <v>8.2169775043390968E-3</v>
      </c>
      <c r="O209" s="7">
        <v>1.5228853871371632E-2</v>
      </c>
      <c r="P209" s="11">
        <f t="shared" si="14"/>
        <v>2.5277848626320134</v>
      </c>
    </row>
    <row r="210" spans="1:16" x14ac:dyDescent="0.25">
      <c r="A210" s="11">
        <v>1.98</v>
      </c>
      <c r="B210" s="7">
        <v>1.75</v>
      </c>
      <c r="C210" s="11">
        <v>2.736059530777761E-4</v>
      </c>
      <c r="D210" s="11">
        <v>-2.4030576442491429E-3</v>
      </c>
      <c r="E210" s="11">
        <v>8.2169775043390968E-3</v>
      </c>
      <c r="F210" s="11">
        <v>1.5228853871371632E-2</v>
      </c>
      <c r="G210" s="3">
        <f t="shared" si="12"/>
        <v>2.4201358802772008E-2</v>
      </c>
      <c r="H210" s="11"/>
      <c r="I210" s="17">
        <f t="shared" si="15"/>
        <v>47087</v>
      </c>
      <c r="J210" s="18">
        <f t="shared" si="13"/>
        <v>2.7104722792607805</v>
      </c>
      <c r="K210" s="7">
        <v>1.75</v>
      </c>
      <c r="L210" s="7">
        <v>2.736059530777761E-4</v>
      </c>
      <c r="M210" s="7">
        <v>-2.4030576442491429E-3</v>
      </c>
      <c r="N210" s="7">
        <v>8.2169775043390968E-3</v>
      </c>
      <c r="O210" s="7">
        <v>1.5228853871371632E-2</v>
      </c>
      <c r="P210" s="11">
        <f t="shared" si="14"/>
        <v>2.5294589165535895</v>
      </c>
    </row>
    <row r="211" spans="1:16" x14ac:dyDescent="0.25">
      <c r="A211" s="11">
        <v>1.99</v>
      </c>
      <c r="B211" s="7">
        <v>1.75</v>
      </c>
      <c r="C211" s="11">
        <v>2.736059530777761E-4</v>
      </c>
      <c r="D211" s="11">
        <v>-2.4030576442491429E-3</v>
      </c>
      <c r="E211" s="11">
        <v>8.2169775043390968E-3</v>
      </c>
      <c r="F211" s="11">
        <v>1.5228853871371632E-2</v>
      </c>
      <c r="G211" s="3">
        <f t="shared" si="12"/>
        <v>2.4220469328234174E-2</v>
      </c>
      <c r="H211" s="11"/>
      <c r="I211" s="17">
        <f t="shared" si="15"/>
        <v>47092</v>
      </c>
      <c r="J211" s="18">
        <f t="shared" si="13"/>
        <v>2.7241615331964408</v>
      </c>
      <c r="K211" s="7">
        <v>1.75</v>
      </c>
      <c r="L211" s="7">
        <v>2.736059530777761E-4</v>
      </c>
      <c r="M211" s="7">
        <v>-2.4030576442491429E-3</v>
      </c>
      <c r="N211" s="7">
        <v>8.2169775043390968E-3</v>
      </c>
      <c r="O211" s="7">
        <v>1.5228853871371632E-2</v>
      </c>
      <c r="P211" s="11">
        <f t="shared" si="14"/>
        <v>2.5311262896848445</v>
      </c>
    </row>
    <row r="212" spans="1:16" x14ac:dyDescent="0.25">
      <c r="A212" s="11">
        <v>2</v>
      </c>
      <c r="B212" s="7">
        <v>1.75</v>
      </c>
      <c r="C212" s="11">
        <v>2.736059530777761E-4</v>
      </c>
      <c r="D212" s="11">
        <v>-2.4030576442491429E-3</v>
      </c>
      <c r="E212" s="11">
        <v>8.2169775043390968E-3</v>
      </c>
      <c r="F212" s="11">
        <v>1.5228853871371632E-2</v>
      </c>
      <c r="G212" s="3">
        <f t="shared" si="12"/>
        <v>2.4239425927675463E-2</v>
      </c>
      <c r="H212" s="11"/>
      <c r="I212" s="17">
        <f t="shared" si="15"/>
        <v>47097</v>
      </c>
      <c r="J212" s="18">
        <f t="shared" si="13"/>
        <v>2.7378507871321012</v>
      </c>
      <c r="K212" s="7">
        <v>1.75</v>
      </c>
      <c r="L212" s="7">
        <v>2.736059530777761E-4</v>
      </c>
      <c r="M212" s="7">
        <v>-2.4030576442491429E-3</v>
      </c>
      <c r="N212" s="7">
        <v>8.2169775043390968E-3</v>
      </c>
      <c r="O212" s="7">
        <v>1.5228853871371632E-2</v>
      </c>
      <c r="P212" s="11">
        <f t="shared" si="14"/>
        <v>2.5327874031557305</v>
      </c>
    </row>
    <row r="213" spans="1:16" x14ac:dyDescent="0.25">
      <c r="A213" s="11">
        <v>2.0099999999999998</v>
      </c>
      <c r="B213" s="7">
        <v>1.75</v>
      </c>
      <c r="C213" s="11">
        <v>2.736059530777761E-4</v>
      </c>
      <c r="D213" s="11">
        <v>-2.4030576442491429E-3</v>
      </c>
      <c r="E213" s="11">
        <v>8.2169775043390968E-3</v>
      </c>
      <c r="F213" s="11">
        <v>1.5228853871371632E-2</v>
      </c>
      <c r="G213" s="3">
        <f t="shared" si="12"/>
        <v>2.4258230242731597E-2</v>
      </c>
      <c r="H213" s="11"/>
      <c r="I213" s="17">
        <f t="shared" si="15"/>
        <v>47102</v>
      </c>
      <c r="J213" s="18">
        <f t="shared" si="13"/>
        <v>2.751540041067762</v>
      </c>
      <c r="K213" s="7">
        <v>2.75</v>
      </c>
      <c r="L213" s="7">
        <v>7.6954098051831149E-4</v>
      </c>
      <c r="M213" s="7">
        <v>-7.5376685542296474E-3</v>
      </c>
      <c r="N213" s="7">
        <v>2.5205811574174723E-2</v>
      </c>
      <c r="O213" s="7">
        <v>-2.9738435877511571E-3</v>
      </c>
      <c r="P213" s="11">
        <f t="shared" si="14"/>
        <v>2.5344424308714233</v>
      </c>
    </row>
    <row r="214" spans="1:16" x14ac:dyDescent="0.25">
      <c r="A214" s="11">
        <v>2.02</v>
      </c>
      <c r="B214" s="7">
        <v>1.75</v>
      </c>
      <c r="C214" s="11">
        <v>2.736059530777761E-4</v>
      </c>
      <c r="D214" s="11">
        <v>-2.4030576442491429E-3</v>
      </c>
      <c r="E214" s="11">
        <v>8.2169775043390968E-3</v>
      </c>
      <c r="F214" s="11">
        <v>1.5228853871371632E-2</v>
      </c>
      <c r="G214" s="3">
        <f t="shared" si="12"/>
        <v>2.4276883915038291E-2</v>
      </c>
      <c r="H214" s="11"/>
      <c r="I214" s="17">
        <f t="shared" si="15"/>
        <v>47107</v>
      </c>
      <c r="J214" s="18">
        <f t="shared" si="13"/>
        <v>2.7652292950034223</v>
      </c>
      <c r="K214" s="7">
        <v>2.75</v>
      </c>
      <c r="L214" s="7">
        <v>7.6954098051831149E-4</v>
      </c>
      <c r="M214" s="7">
        <v>-7.5376685542296474E-3</v>
      </c>
      <c r="N214" s="7">
        <v>2.5205811574174723E-2</v>
      </c>
      <c r="O214" s="7">
        <v>-2.9738435877511571E-3</v>
      </c>
      <c r="P214" s="11">
        <f t="shared" si="14"/>
        <v>2.5360685169523918</v>
      </c>
    </row>
    <row r="215" spans="1:16" x14ac:dyDescent="0.25">
      <c r="A215" s="11">
        <v>2.0299999999999998</v>
      </c>
      <c r="B215" s="7">
        <v>1.75</v>
      </c>
      <c r="C215" s="11">
        <v>2.736059530777761E-4</v>
      </c>
      <c r="D215" s="11">
        <v>-2.4030576442491429E-3</v>
      </c>
      <c r="E215" s="11">
        <v>8.2169775043390968E-3</v>
      </c>
      <c r="F215" s="11">
        <v>1.5228853871371632E-2</v>
      </c>
      <c r="G215" s="3">
        <f t="shared" si="12"/>
        <v>2.4295388586231266E-2</v>
      </c>
      <c r="H215" s="11"/>
      <c r="I215" s="17">
        <f t="shared" si="15"/>
        <v>47112</v>
      </c>
      <c r="J215" s="18">
        <f t="shared" si="13"/>
        <v>2.7789185489390826</v>
      </c>
      <c r="K215" s="7">
        <v>2.75</v>
      </c>
      <c r="L215" s="7">
        <v>7.6954098051831149E-4</v>
      </c>
      <c r="M215" s="7">
        <v>-7.5376685542296474E-3</v>
      </c>
      <c r="N215" s="7">
        <v>2.5205811574174723E-2</v>
      </c>
      <c r="O215" s="7">
        <v>-2.9738435877511571E-3</v>
      </c>
      <c r="P215" s="11">
        <f t="shared" si="14"/>
        <v>2.5376513597290264</v>
      </c>
    </row>
    <row r="216" spans="1:16" x14ac:dyDescent="0.25">
      <c r="A216" s="11">
        <v>2.04</v>
      </c>
      <c r="B216" s="7">
        <v>1.75</v>
      </c>
      <c r="C216" s="11">
        <v>2.736059530777761E-4</v>
      </c>
      <c r="D216" s="11">
        <v>-2.4030576442491429E-3</v>
      </c>
      <c r="E216" s="11">
        <v>8.2169775043390968E-3</v>
      </c>
      <c r="F216" s="11">
        <v>1.5228853871371632E-2</v>
      </c>
      <c r="G216" s="3">
        <f t="shared" si="12"/>
        <v>2.4313745897946243E-2</v>
      </c>
      <c r="H216" s="11"/>
      <c r="I216" s="17">
        <f t="shared" si="15"/>
        <v>47117</v>
      </c>
      <c r="J216" s="18">
        <f t="shared" si="13"/>
        <v>2.7926078028747434</v>
      </c>
      <c r="K216" s="7">
        <v>2.75</v>
      </c>
      <c r="L216" s="7">
        <v>7.6954098051831149E-4</v>
      </c>
      <c r="M216" s="7">
        <v>-7.5376685542296474E-3</v>
      </c>
      <c r="N216" s="7">
        <v>2.5205811574174723E-2</v>
      </c>
      <c r="O216" s="7">
        <v>-2.9738435877511571E-3</v>
      </c>
      <c r="P216" s="11">
        <f t="shared" si="14"/>
        <v>2.5391921436666256</v>
      </c>
    </row>
    <row r="217" spans="1:16" x14ac:dyDescent="0.25">
      <c r="A217" s="11">
        <v>2.0499999999999998</v>
      </c>
      <c r="B217" s="7">
        <v>1.75</v>
      </c>
      <c r="C217" s="11">
        <v>2.736059530777761E-4</v>
      </c>
      <c r="D217" s="11">
        <v>-2.4030576442491429E-3</v>
      </c>
      <c r="E217" s="11">
        <v>8.2169775043390968E-3</v>
      </c>
      <c r="F217" s="11">
        <v>1.5228853871371632E-2</v>
      </c>
      <c r="G217" s="3">
        <f t="shared" si="12"/>
        <v>2.4331957491818934E-2</v>
      </c>
      <c r="H217" s="11"/>
      <c r="I217" s="17">
        <f t="shared" si="15"/>
        <v>47122</v>
      </c>
      <c r="J217" s="18">
        <f t="shared" si="13"/>
        <v>2.8062970568104038</v>
      </c>
      <c r="K217" s="7">
        <v>2.75</v>
      </c>
      <c r="L217" s="7">
        <v>7.6954098051831149E-4</v>
      </c>
      <c r="M217" s="7">
        <v>-7.5376685542296474E-3</v>
      </c>
      <c r="N217" s="7">
        <v>2.5205811574174723E-2</v>
      </c>
      <c r="O217" s="7">
        <v>-2.9738435877511571E-3</v>
      </c>
      <c r="P217" s="11">
        <f t="shared" si="14"/>
        <v>2.5406920532304893</v>
      </c>
    </row>
    <row r="218" spans="1:16" x14ac:dyDescent="0.25">
      <c r="A218" s="11">
        <v>2.06</v>
      </c>
      <c r="B218" s="7">
        <v>1.75</v>
      </c>
      <c r="C218" s="11">
        <v>2.736059530777761E-4</v>
      </c>
      <c r="D218" s="11">
        <v>-2.4030576442491429E-3</v>
      </c>
      <c r="E218" s="11">
        <v>8.2169775043390968E-3</v>
      </c>
      <c r="F218" s="11">
        <v>1.5228853871371632E-2</v>
      </c>
      <c r="G218" s="3">
        <f t="shared" si="12"/>
        <v>2.4350025009485063E-2</v>
      </c>
      <c r="H218" s="11"/>
      <c r="I218" s="17">
        <f t="shared" si="15"/>
        <v>47127</v>
      </c>
      <c r="J218" s="18">
        <f t="shared" si="13"/>
        <v>2.8199863107460645</v>
      </c>
      <c r="K218" s="7">
        <v>2.75</v>
      </c>
      <c r="L218" s="7">
        <v>7.6954098051831149E-4</v>
      </c>
      <c r="M218" s="7">
        <v>-7.5376685542296474E-3</v>
      </c>
      <c r="N218" s="7">
        <v>2.5205811574174723E-2</v>
      </c>
      <c r="O218" s="7">
        <v>-2.9738435877511571E-3</v>
      </c>
      <c r="P218" s="11">
        <f t="shared" si="14"/>
        <v>2.5421522728859185</v>
      </c>
    </row>
    <row r="219" spans="1:16" x14ac:dyDescent="0.25">
      <c r="A219" s="11">
        <v>2.0699999999999998</v>
      </c>
      <c r="B219" s="7">
        <v>1.75</v>
      </c>
      <c r="C219" s="11">
        <v>2.736059530777761E-4</v>
      </c>
      <c r="D219" s="11">
        <v>-2.4030576442491429E-3</v>
      </c>
      <c r="E219" s="11">
        <v>8.2169775043390968E-3</v>
      </c>
      <c r="F219" s="11">
        <v>1.5228853871371632E-2</v>
      </c>
      <c r="G219" s="3">
        <f t="shared" si="12"/>
        <v>2.4367950092580339E-2</v>
      </c>
      <c r="H219" s="11"/>
      <c r="I219" s="17">
        <f t="shared" si="15"/>
        <v>47132</v>
      </c>
      <c r="J219" s="18">
        <f t="shared" si="13"/>
        <v>2.8336755646817249</v>
      </c>
      <c r="K219" s="7">
        <v>2.75</v>
      </c>
      <c r="L219" s="7">
        <v>7.6954098051831149E-4</v>
      </c>
      <c r="M219" s="7">
        <v>-7.5376685542296474E-3</v>
      </c>
      <c r="N219" s="7">
        <v>2.5205811574174723E-2</v>
      </c>
      <c r="O219" s="7">
        <v>-2.9738435877511571E-3</v>
      </c>
      <c r="P219" s="11">
        <f t="shared" si="14"/>
        <v>2.543573987098211</v>
      </c>
    </row>
    <row r="220" spans="1:16" x14ac:dyDescent="0.25">
      <c r="A220" s="11">
        <v>2.08</v>
      </c>
      <c r="B220" s="7">
        <v>1.75</v>
      </c>
      <c r="C220" s="11">
        <v>2.736059530777761E-4</v>
      </c>
      <c r="D220" s="11">
        <v>-2.4030576442491429E-3</v>
      </c>
      <c r="E220" s="11">
        <v>8.2169775043390968E-3</v>
      </c>
      <c r="F220" s="11">
        <v>1.5228853871371632E-2</v>
      </c>
      <c r="G220" s="3">
        <f t="shared" si="12"/>
        <v>2.4385734382740498E-2</v>
      </c>
      <c r="H220" s="11"/>
      <c r="I220" s="17">
        <f t="shared" si="15"/>
        <v>47137</v>
      </c>
      <c r="J220" s="18">
        <f t="shared" si="13"/>
        <v>2.8473648186173852</v>
      </c>
      <c r="K220" s="7">
        <v>2.75</v>
      </c>
      <c r="L220" s="7">
        <v>7.6954098051831149E-4</v>
      </c>
      <c r="M220" s="7">
        <v>-7.5376685542296474E-3</v>
      </c>
      <c r="N220" s="7">
        <v>2.5205811574174723E-2</v>
      </c>
      <c r="O220" s="7">
        <v>-2.9738435877511571E-3</v>
      </c>
      <c r="P220" s="11">
        <f t="shared" si="14"/>
        <v>2.5449583803326652</v>
      </c>
    </row>
    <row r="221" spans="1:16" x14ac:dyDescent="0.25">
      <c r="A221" s="11">
        <v>2.09</v>
      </c>
      <c r="B221" s="7">
        <v>1.75</v>
      </c>
      <c r="C221" s="11">
        <v>2.736059530777761E-4</v>
      </c>
      <c r="D221" s="11">
        <v>-2.4030576442491429E-3</v>
      </c>
      <c r="E221" s="11">
        <v>8.2169775043390968E-3</v>
      </c>
      <c r="F221" s="11">
        <v>1.5228853871371632E-2</v>
      </c>
      <c r="G221" s="3">
        <f t="shared" si="12"/>
        <v>2.4403379521601244E-2</v>
      </c>
      <c r="H221" s="11"/>
      <c r="I221" s="17">
        <f t="shared" si="15"/>
        <v>47142</v>
      </c>
      <c r="J221" s="18">
        <f t="shared" si="13"/>
        <v>2.861054072553046</v>
      </c>
      <c r="K221" s="7">
        <v>2.75</v>
      </c>
      <c r="L221" s="7">
        <v>7.6954098051831149E-4</v>
      </c>
      <c r="M221" s="7">
        <v>-7.5376685542296474E-3</v>
      </c>
      <c r="N221" s="7">
        <v>2.5205811574174723E-2</v>
      </c>
      <c r="O221" s="7">
        <v>-2.9738435877511571E-3</v>
      </c>
      <c r="P221" s="11">
        <f t="shared" si="14"/>
        <v>2.5463066370545802</v>
      </c>
    </row>
    <row r="222" spans="1:16" x14ac:dyDescent="0.25">
      <c r="A222" s="11">
        <v>2.1</v>
      </c>
      <c r="B222" s="7">
        <v>1.75</v>
      </c>
      <c r="C222" s="11">
        <v>2.736059530777761E-4</v>
      </c>
      <c r="D222" s="11">
        <v>-2.4030576442491429E-3</v>
      </c>
      <c r="E222" s="11">
        <v>8.2169775043390968E-3</v>
      </c>
      <c r="F222" s="11">
        <v>1.5228853871371632E-2</v>
      </c>
      <c r="G222" s="3">
        <f t="shared" si="12"/>
        <v>2.44208871507983E-2</v>
      </c>
      <c r="H222" s="11"/>
      <c r="I222" s="17">
        <f t="shared" si="15"/>
        <v>47147</v>
      </c>
      <c r="J222" s="18">
        <f t="shared" si="13"/>
        <v>2.8747433264887063</v>
      </c>
      <c r="K222" s="7">
        <v>2.75</v>
      </c>
      <c r="L222" s="7">
        <v>7.6954098051831149E-4</v>
      </c>
      <c r="M222" s="7">
        <v>-7.5376685542296474E-3</v>
      </c>
      <c r="N222" s="7">
        <v>2.5205811574174723E-2</v>
      </c>
      <c r="O222" s="7">
        <v>-2.9738435877511571E-3</v>
      </c>
      <c r="P222" s="11">
        <f t="shared" si="14"/>
        <v>2.5476199417292582</v>
      </c>
    </row>
    <row r="223" spans="1:16" x14ac:dyDescent="0.25">
      <c r="A223" s="11">
        <v>2.11</v>
      </c>
      <c r="B223" s="7">
        <v>1.75</v>
      </c>
      <c r="C223" s="11">
        <v>2.736059530777761E-4</v>
      </c>
      <c r="D223" s="11">
        <v>-2.4030576442491429E-3</v>
      </c>
      <c r="E223" s="11">
        <v>8.2169775043390968E-3</v>
      </c>
      <c r="F223" s="11">
        <v>1.5228853871371632E-2</v>
      </c>
      <c r="G223" s="3">
        <f t="shared" si="12"/>
        <v>2.4438258911967381E-2</v>
      </c>
      <c r="H223" s="11"/>
      <c r="I223" s="17">
        <f t="shared" si="15"/>
        <v>47152</v>
      </c>
      <c r="J223" s="18">
        <f t="shared" si="13"/>
        <v>2.8884325804243667</v>
      </c>
      <c r="K223" s="7">
        <v>2.75</v>
      </c>
      <c r="L223" s="7">
        <v>7.6954098051831149E-4</v>
      </c>
      <c r="M223" s="7">
        <v>-7.5376685542296474E-3</v>
      </c>
      <c r="N223" s="7">
        <v>2.5205811574174723E-2</v>
      </c>
      <c r="O223" s="7">
        <v>-2.9738435877511571E-3</v>
      </c>
      <c r="P223" s="11">
        <f t="shared" si="14"/>
        <v>2.5488994788219963</v>
      </c>
    </row>
    <row r="224" spans="1:16" x14ac:dyDescent="0.25">
      <c r="A224" s="11">
        <v>2.12</v>
      </c>
      <c r="B224" s="7">
        <v>1.75</v>
      </c>
      <c r="C224" s="11">
        <v>2.736059530777761E-4</v>
      </c>
      <c r="D224" s="11">
        <v>-2.4030576442491429E-3</v>
      </c>
      <c r="E224" s="11">
        <v>8.2169775043390968E-3</v>
      </c>
      <c r="F224" s="11">
        <v>1.5228853871371632E-2</v>
      </c>
      <c r="G224" s="3">
        <f t="shared" si="12"/>
        <v>2.4455496446744218E-2</v>
      </c>
      <c r="H224" s="11"/>
      <c r="I224" s="17">
        <f t="shared" si="15"/>
        <v>47157</v>
      </c>
      <c r="J224" s="18">
        <f t="shared" si="13"/>
        <v>2.9021218343600275</v>
      </c>
      <c r="K224" s="7">
        <v>2.75</v>
      </c>
      <c r="L224" s="7">
        <v>7.6954098051831149E-4</v>
      </c>
      <c r="M224" s="7">
        <v>-7.5376685542296474E-3</v>
      </c>
      <c r="N224" s="7">
        <v>2.5205811574174723E-2</v>
      </c>
      <c r="O224" s="7">
        <v>-2.9738435877511571E-3</v>
      </c>
      <c r="P224" s="11">
        <f t="shared" si="14"/>
        <v>2.5501464327980923</v>
      </c>
    </row>
    <row r="225" spans="1:16" x14ac:dyDescent="0.25">
      <c r="A225" s="11">
        <v>2.13</v>
      </c>
      <c r="B225" s="7">
        <v>1.75</v>
      </c>
      <c r="C225" s="11">
        <v>2.736059530777761E-4</v>
      </c>
      <c r="D225" s="11">
        <v>-2.4030576442491429E-3</v>
      </c>
      <c r="E225" s="11">
        <v>8.2169775043390968E-3</v>
      </c>
      <c r="F225" s="11">
        <v>1.5228853871371632E-2</v>
      </c>
      <c r="G225" s="3">
        <f t="shared" si="12"/>
        <v>2.4472601396764507E-2</v>
      </c>
      <c r="H225" s="11"/>
      <c r="I225" s="17">
        <f t="shared" si="15"/>
        <v>47162</v>
      </c>
      <c r="J225" s="18">
        <f t="shared" si="13"/>
        <v>2.9158110882956878</v>
      </c>
      <c r="K225" s="7">
        <v>2.75</v>
      </c>
      <c r="L225" s="7">
        <v>7.6954098051831149E-4</v>
      </c>
      <c r="M225" s="7">
        <v>-7.5376685542296474E-3</v>
      </c>
      <c r="N225" s="7">
        <v>2.5205811574174723E-2</v>
      </c>
      <c r="O225" s="7">
        <v>-2.9738435877511571E-3</v>
      </c>
      <c r="P225" s="11">
        <f t="shared" si="14"/>
        <v>2.551361988122848</v>
      </c>
    </row>
    <row r="226" spans="1:16" x14ac:dyDescent="0.25">
      <c r="A226" s="11">
        <v>2.14</v>
      </c>
      <c r="B226" s="7">
        <v>1.75</v>
      </c>
      <c r="C226" s="11">
        <v>2.736059530777761E-4</v>
      </c>
      <c r="D226" s="11">
        <v>-2.4030576442491429E-3</v>
      </c>
      <c r="E226" s="11">
        <v>8.2169775043390968E-3</v>
      </c>
      <c r="F226" s="11">
        <v>1.5228853871371632E-2</v>
      </c>
      <c r="G226" s="3">
        <f t="shared" si="12"/>
        <v>2.4489575403663991E-2</v>
      </c>
      <c r="H226" s="11"/>
      <c r="I226" s="17">
        <f t="shared" si="15"/>
        <v>47167</v>
      </c>
      <c r="J226" s="18">
        <f t="shared" si="13"/>
        <v>2.9295003422313486</v>
      </c>
      <c r="K226" s="7">
        <v>2.75</v>
      </c>
      <c r="L226" s="7">
        <v>7.6954098051831149E-4</v>
      </c>
      <c r="M226" s="7">
        <v>-7.5376685542296474E-3</v>
      </c>
      <c r="N226" s="7">
        <v>2.5205811574174723E-2</v>
      </c>
      <c r="O226" s="7">
        <v>-2.9738435877511571E-3</v>
      </c>
      <c r="P226" s="11">
        <f t="shared" si="14"/>
        <v>2.5525473292615635</v>
      </c>
    </row>
    <row r="227" spans="1:16" x14ac:dyDescent="0.25">
      <c r="A227" s="11">
        <v>2.15</v>
      </c>
      <c r="B227" s="7">
        <v>1.75</v>
      </c>
      <c r="C227" s="11">
        <v>2.736059530777761E-4</v>
      </c>
      <c r="D227" s="11">
        <v>-2.4030576442491429E-3</v>
      </c>
      <c r="E227" s="11">
        <v>8.2169775043390968E-3</v>
      </c>
      <c r="F227" s="11">
        <v>1.5228853871371632E-2</v>
      </c>
      <c r="G227" s="3">
        <f t="shared" si="12"/>
        <v>2.4506420109078372E-2</v>
      </c>
      <c r="H227" s="11"/>
      <c r="I227" s="17">
        <f t="shared" si="15"/>
        <v>47172</v>
      </c>
      <c r="J227" s="18">
        <f t="shared" si="13"/>
        <v>2.9431895961670089</v>
      </c>
      <c r="K227" s="7">
        <v>2.75</v>
      </c>
      <c r="L227" s="7">
        <v>7.6954098051831149E-4</v>
      </c>
      <c r="M227" s="7">
        <v>-7.5376685542296474E-3</v>
      </c>
      <c r="N227" s="7">
        <v>2.5205811574174723E-2</v>
      </c>
      <c r="O227" s="7">
        <v>-2.9738435877511571E-3</v>
      </c>
      <c r="P227" s="11">
        <f t="shared" si="14"/>
        <v>2.5537036406795361</v>
      </c>
    </row>
    <row r="228" spans="1:16" x14ac:dyDescent="0.25">
      <c r="A228" s="11">
        <v>2.16</v>
      </c>
      <c r="B228" s="7">
        <v>1.75</v>
      </c>
      <c r="C228" s="11">
        <v>2.736059530777761E-4</v>
      </c>
      <c r="D228" s="11">
        <v>-2.4030576442491429E-3</v>
      </c>
      <c r="E228" s="11">
        <v>8.2169775043390968E-3</v>
      </c>
      <c r="F228" s="11">
        <v>1.5228853871371632E-2</v>
      </c>
      <c r="G228" s="3">
        <f t="shared" si="12"/>
        <v>2.4523137154643371E-2</v>
      </c>
      <c r="H228" s="11"/>
      <c r="I228" s="17">
        <f t="shared" si="15"/>
        <v>47177</v>
      </c>
      <c r="J228" s="18">
        <f t="shared" si="13"/>
        <v>2.9568788501026693</v>
      </c>
      <c r="K228" s="7">
        <v>2.75</v>
      </c>
      <c r="L228" s="7">
        <v>7.6954098051831149E-4</v>
      </c>
      <c r="M228" s="7">
        <v>-7.5376685542296474E-3</v>
      </c>
      <c r="N228" s="7">
        <v>2.5205811574174723E-2</v>
      </c>
      <c r="O228" s="7">
        <v>-2.9738435877511571E-3</v>
      </c>
      <c r="P228" s="11">
        <f t="shared" si="14"/>
        <v>2.5548321068420634</v>
      </c>
    </row>
    <row r="229" spans="1:16" x14ac:dyDescent="0.25">
      <c r="A229" s="11">
        <v>2.17</v>
      </c>
      <c r="B229" s="7">
        <v>1.75</v>
      </c>
      <c r="C229" s="11">
        <v>2.736059530777761E-4</v>
      </c>
      <c r="D229" s="11">
        <v>-2.4030576442491429E-3</v>
      </c>
      <c r="E229" s="11">
        <v>8.2169775043390968E-3</v>
      </c>
      <c r="F229" s="11">
        <v>1.5228853871371632E-2</v>
      </c>
      <c r="G229" s="3">
        <f t="shared" si="12"/>
        <v>2.4539728181994715E-2</v>
      </c>
      <c r="H229" s="11"/>
      <c r="I229" s="17">
        <f t="shared" si="15"/>
        <v>47182</v>
      </c>
      <c r="J229" s="18">
        <f t="shared" si="13"/>
        <v>2.97056810403833</v>
      </c>
      <c r="K229" s="7">
        <v>2.75</v>
      </c>
      <c r="L229" s="7">
        <v>7.6954098051831149E-4</v>
      </c>
      <c r="M229" s="7">
        <v>-7.5376685542296474E-3</v>
      </c>
      <c r="N229" s="7">
        <v>2.5205811574174723E-2</v>
      </c>
      <c r="O229" s="7">
        <v>-2.9738435877511571E-3</v>
      </c>
      <c r="P229" s="11">
        <f t="shared" si="14"/>
        <v>2.5559339122144489</v>
      </c>
    </row>
    <row r="230" spans="1:16" x14ac:dyDescent="0.25">
      <c r="A230" s="11">
        <v>2.1800000000000002</v>
      </c>
      <c r="B230" s="7">
        <v>1.75</v>
      </c>
      <c r="C230" s="11">
        <v>2.736059530777761E-4</v>
      </c>
      <c r="D230" s="11">
        <v>-2.4030576442491429E-3</v>
      </c>
      <c r="E230" s="11">
        <v>8.2169775043390968E-3</v>
      </c>
      <c r="F230" s="11">
        <v>1.5228853871371632E-2</v>
      </c>
      <c r="G230" s="3">
        <f t="shared" si="12"/>
        <v>2.4556194832768108E-2</v>
      </c>
      <c r="H230" s="11"/>
      <c r="I230" s="17">
        <f t="shared" si="15"/>
        <v>47187</v>
      </c>
      <c r="J230" s="18">
        <f t="shared" si="13"/>
        <v>2.9842573579739904</v>
      </c>
      <c r="K230" s="7">
        <v>2.75</v>
      </c>
      <c r="L230" s="7">
        <v>7.6954098051831149E-4</v>
      </c>
      <c r="M230" s="7">
        <v>-7.5376685542296474E-3</v>
      </c>
      <c r="N230" s="7">
        <v>2.5205811574174723E-2</v>
      </c>
      <c r="O230" s="7">
        <v>-2.9738435877511571E-3</v>
      </c>
      <c r="P230" s="11">
        <f t="shared" si="14"/>
        <v>2.5570102412619899</v>
      </c>
    </row>
    <row r="231" spans="1:16" x14ac:dyDescent="0.25">
      <c r="A231" s="11">
        <v>2.19</v>
      </c>
      <c r="B231" s="7">
        <v>1.75</v>
      </c>
      <c r="C231" s="11">
        <v>2.736059530777761E-4</v>
      </c>
      <c r="D231" s="11">
        <v>-2.4030576442491429E-3</v>
      </c>
      <c r="E231" s="11">
        <v>8.2169775043390968E-3</v>
      </c>
      <c r="F231" s="11">
        <v>1.5228853871371632E-2</v>
      </c>
      <c r="G231" s="3">
        <f t="shared" si="12"/>
        <v>2.4572538748599285E-2</v>
      </c>
      <c r="H231" s="11"/>
      <c r="I231" s="17">
        <f t="shared" si="15"/>
        <v>47192</v>
      </c>
      <c r="J231" s="18">
        <f t="shared" si="13"/>
        <v>2.9979466119096507</v>
      </c>
      <c r="K231" s="7">
        <v>2.75</v>
      </c>
      <c r="L231" s="7">
        <v>7.6954098051831149E-4</v>
      </c>
      <c r="M231" s="7">
        <v>-7.5376685542296474E-3</v>
      </c>
      <c r="N231" s="7">
        <v>2.5205811574174723E-2</v>
      </c>
      <c r="O231" s="7">
        <v>-2.9738435877511571E-3</v>
      </c>
      <c r="P231" s="11">
        <f t="shared" si="14"/>
        <v>2.5580622784499853</v>
      </c>
    </row>
    <row r="232" spans="1:16" x14ac:dyDescent="0.25">
      <c r="A232" s="11">
        <v>2.2000000000000002</v>
      </c>
      <c r="B232" s="7">
        <v>1.75</v>
      </c>
      <c r="C232" s="11">
        <v>2.736059530777761E-4</v>
      </c>
      <c r="D232" s="11">
        <v>-2.4030576442491429E-3</v>
      </c>
      <c r="E232" s="11">
        <v>8.2169775043390968E-3</v>
      </c>
      <c r="F232" s="11">
        <v>1.5228853871371632E-2</v>
      </c>
      <c r="G232" s="3">
        <f t="shared" si="12"/>
        <v>2.4588761571123954E-2</v>
      </c>
      <c r="H232" s="11"/>
      <c r="I232" s="17">
        <f t="shared" si="15"/>
        <v>47197</v>
      </c>
      <c r="J232" s="18">
        <f t="shared" si="13"/>
        <v>3.0116358658453115</v>
      </c>
      <c r="K232" s="7">
        <v>2.75</v>
      </c>
      <c r="L232" s="7">
        <v>7.6954098051831149E-4</v>
      </c>
      <c r="M232" s="7">
        <v>-7.5376685542296474E-3</v>
      </c>
      <c r="N232" s="7">
        <v>2.5205811574174723E-2</v>
      </c>
      <c r="O232" s="7">
        <v>-2.9738435877511571E-3</v>
      </c>
      <c r="P232" s="11">
        <f t="shared" si="14"/>
        <v>2.559091208243732</v>
      </c>
    </row>
    <row r="233" spans="1:16" x14ac:dyDescent="0.25">
      <c r="A233" s="11">
        <v>2.21</v>
      </c>
      <c r="B233" s="7">
        <v>1.75</v>
      </c>
      <c r="C233" s="11">
        <v>2.736059530777761E-4</v>
      </c>
      <c r="D233" s="11">
        <v>-2.4030576442491429E-3</v>
      </c>
      <c r="E233" s="11">
        <v>8.2169775043390968E-3</v>
      </c>
      <c r="F233" s="11">
        <v>1.5228853871371632E-2</v>
      </c>
      <c r="G233" s="3">
        <f t="shared" si="12"/>
        <v>2.4604864941977833E-2</v>
      </c>
      <c r="H233" s="11"/>
      <c r="I233" s="17">
        <f t="shared" si="15"/>
        <v>47202</v>
      </c>
      <c r="J233" s="18">
        <f t="shared" si="13"/>
        <v>3.0253251197809718</v>
      </c>
      <c r="K233" s="7">
        <v>2.75</v>
      </c>
      <c r="L233" s="7">
        <v>7.6954098051831149E-4</v>
      </c>
      <c r="M233" s="7">
        <v>-7.5376685542296474E-3</v>
      </c>
      <c r="N233" s="7">
        <v>2.5205811574174723E-2</v>
      </c>
      <c r="O233" s="7">
        <v>-2.9738435877511571E-3</v>
      </c>
      <c r="P233" s="11">
        <f t="shared" si="14"/>
        <v>2.5600982151085363</v>
      </c>
    </row>
    <row r="234" spans="1:16" x14ac:dyDescent="0.25">
      <c r="A234" s="11">
        <v>2.2200000000000002</v>
      </c>
      <c r="B234" s="7">
        <v>1.75</v>
      </c>
      <c r="C234" s="11">
        <v>2.736059530777761E-4</v>
      </c>
      <c r="D234" s="11">
        <v>-2.4030576442491429E-3</v>
      </c>
      <c r="E234" s="11">
        <v>8.2169775043390968E-3</v>
      </c>
      <c r="F234" s="11">
        <v>1.5228853871371632E-2</v>
      </c>
      <c r="G234" s="3">
        <f t="shared" si="12"/>
        <v>2.4620850502796648E-2</v>
      </c>
      <c r="H234" s="11"/>
      <c r="I234" s="17">
        <f t="shared" si="15"/>
        <v>47207</v>
      </c>
      <c r="J234" s="18">
        <f t="shared" si="13"/>
        <v>3.0390143737166326</v>
      </c>
      <c r="K234" s="7">
        <v>2.75</v>
      </c>
      <c r="L234" s="7">
        <v>7.6954098051831149E-4</v>
      </c>
      <c r="M234" s="7">
        <v>-7.5376685542296474E-3</v>
      </c>
      <c r="N234" s="7">
        <v>2.5205811574174723E-2</v>
      </c>
      <c r="O234" s="7">
        <v>-2.9738435877511571E-3</v>
      </c>
      <c r="P234" s="11">
        <f t="shared" si="14"/>
        <v>2.5610844835096915</v>
      </c>
    </row>
    <row r="235" spans="1:16" x14ac:dyDescent="0.25">
      <c r="A235" s="11">
        <v>2.23</v>
      </c>
      <c r="B235" s="7">
        <v>1.75</v>
      </c>
      <c r="C235" s="11">
        <v>2.736059530777761E-4</v>
      </c>
      <c r="D235" s="11">
        <v>-2.4030576442491429E-3</v>
      </c>
      <c r="E235" s="11">
        <v>8.2169775043390968E-3</v>
      </c>
      <c r="F235" s="11">
        <v>1.5228853871371632E-2</v>
      </c>
      <c r="G235" s="3">
        <f t="shared" si="12"/>
        <v>2.4636719895216111E-2</v>
      </c>
      <c r="H235" s="11"/>
      <c r="I235" s="17">
        <f t="shared" si="15"/>
        <v>47212</v>
      </c>
      <c r="J235" s="18">
        <f t="shared" si="13"/>
        <v>3.052703627652293</v>
      </c>
      <c r="K235" s="7">
        <v>2.75</v>
      </c>
      <c r="L235" s="7">
        <v>7.6954098051831149E-4</v>
      </c>
      <c r="M235" s="7">
        <v>-7.5376685542296474E-3</v>
      </c>
      <c r="N235" s="7">
        <v>2.5205811574174723E-2</v>
      </c>
      <c r="O235" s="7">
        <v>-2.9738435877511571E-3</v>
      </c>
      <c r="P235" s="11">
        <f t="shared" si="14"/>
        <v>2.5620511979124982</v>
      </c>
    </row>
    <row r="236" spans="1:16" x14ac:dyDescent="0.25">
      <c r="A236" s="11">
        <v>2.2400000000000002</v>
      </c>
      <c r="B236" s="7">
        <v>1.75</v>
      </c>
      <c r="C236" s="11">
        <v>2.736059530777761E-4</v>
      </c>
      <c r="D236" s="11">
        <v>-2.4030576442491429E-3</v>
      </c>
      <c r="E236" s="11">
        <v>8.2169775043390968E-3</v>
      </c>
      <c r="F236" s="11">
        <v>1.5228853871371632E-2</v>
      </c>
      <c r="G236" s="3">
        <f t="shared" si="12"/>
        <v>2.4652474760871939E-2</v>
      </c>
      <c r="H236" s="11"/>
      <c r="I236" s="17">
        <f t="shared" si="15"/>
        <v>47217</v>
      </c>
      <c r="J236" s="18">
        <f t="shared" si="13"/>
        <v>3.0663928815879533</v>
      </c>
      <c r="K236" s="7">
        <v>2.75</v>
      </c>
      <c r="L236" s="7">
        <v>7.6954098051831149E-4</v>
      </c>
      <c r="M236" s="7">
        <v>-7.5376685542296474E-3</v>
      </c>
      <c r="N236" s="7">
        <v>2.5205811574174723E-2</v>
      </c>
      <c r="O236" s="7">
        <v>-2.9738435877511571E-3</v>
      </c>
      <c r="P236" s="11">
        <f t="shared" si="14"/>
        <v>2.5629995427822552</v>
      </c>
    </row>
    <row r="237" spans="1:16" x14ac:dyDescent="0.25">
      <c r="A237" s="11">
        <v>2.25</v>
      </c>
      <c r="B237" s="7">
        <v>1.75</v>
      </c>
      <c r="C237" s="11">
        <v>2.736059530777761E-4</v>
      </c>
      <c r="D237" s="11">
        <v>-2.4030576442491429E-3</v>
      </c>
      <c r="E237" s="11">
        <v>8.2169775043390968E-3</v>
      </c>
      <c r="F237" s="11">
        <v>1.5228853871371632E-2</v>
      </c>
      <c r="G237" s="3">
        <f t="shared" si="12"/>
        <v>2.4668116741399855E-2</v>
      </c>
      <c r="H237" s="11"/>
      <c r="I237" s="17">
        <f t="shared" si="15"/>
        <v>47222</v>
      </c>
      <c r="J237" s="18">
        <f t="shared" si="13"/>
        <v>3.0800821355236141</v>
      </c>
      <c r="K237" s="7">
        <v>2.75</v>
      </c>
      <c r="L237" s="7">
        <v>7.6954098051831149E-4</v>
      </c>
      <c r="M237" s="7">
        <v>-7.5376685542296474E-3</v>
      </c>
      <c r="N237" s="7">
        <v>2.5205811574174723E-2</v>
      </c>
      <c r="O237" s="7">
        <v>-2.9738435877511571E-3</v>
      </c>
      <c r="P237" s="11">
        <f t="shared" si="14"/>
        <v>2.5639307025842633</v>
      </c>
    </row>
    <row r="238" spans="1:16" x14ac:dyDescent="0.25">
      <c r="A238" s="11">
        <v>2.2599999999999998</v>
      </c>
      <c r="B238" s="7">
        <v>1.75</v>
      </c>
      <c r="C238" s="11">
        <v>2.736059530777761E-4</v>
      </c>
      <c r="D238" s="11">
        <v>-2.4030576442491429E-3</v>
      </c>
      <c r="E238" s="11">
        <v>8.2169775043390968E-3</v>
      </c>
      <c r="F238" s="11">
        <v>1.5228853871371632E-2</v>
      </c>
      <c r="G238" s="3">
        <f t="shared" si="12"/>
        <v>2.4683647478435579E-2</v>
      </c>
      <c r="H238" s="11"/>
      <c r="I238" s="17">
        <f t="shared" si="15"/>
        <v>47227</v>
      </c>
      <c r="J238" s="18">
        <f t="shared" si="13"/>
        <v>3.0937713894592744</v>
      </c>
      <c r="K238" s="7">
        <v>2.75</v>
      </c>
      <c r="L238" s="7">
        <v>7.6954098051831149E-4</v>
      </c>
      <c r="M238" s="7">
        <v>-7.5376685542296474E-3</v>
      </c>
      <c r="N238" s="7">
        <v>2.5205811574174723E-2</v>
      </c>
      <c r="O238" s="7">
        <v>-2.9738435877511571E-3</v>
      </c>
      <c r="P238" s="11">
        <f t="shared" si="14"/>
        <v>2.5648458617838217</v>
      </c>
    </row>
    <row r="239" spans="1:16" x14ac:dyDescent="0.25">
      <c r="A239" s="11">
        <v>2.27</v>
      </c>
      <c r="B239" s="7">
        <v>1.75</v>
      </c>
      <c r="C239" s="11">
        <v>2.736059530777761E-4</v>
      </c>
      <c r="D239" s="11">
        <v>-2.4030576442491429E-3</v>
      </c>
      <c r="E239" s="11">
        <v>8.2169775043390968E-3</v>
      </c>
      <c r="F239" s="11">
        <v>1.5228853871371632E-2</v>
      </c>
      <c r="G239" s="3">
        <f t="shared" si="12"/>
        <v>2.4699068613614827E-2</v>
      </c>
      <c r="H239" s="11"/>
      <c r="I239" s="17">
        <f t="shared" si="15"/>
        <v>47232</v>
      </c>
      <c r="J239" s="18">
        <f t="shared" si="13"/>
        <v>3.1074606433949348</v>
      </c>
      <c r="K239" s="7">
        <v>2.75</v>
      </c>
      <c r="L239" s="7">
        <v>7.6954098051831149E-4</v>
      </c>
      <c r="M239" s="7">
        <v>-7.5376685542296474E-3</v>
      </c>
      <c r="N239" s="7">
        <v>2.5205811574174723E-2</v>
      </c>
      <c r="O239" s="7">
        <v>-2.9738435877511571E-3</v>
      </c>
      <c r="P239" s="11">
        <f t="shared" si="14"/>
        <v>2.5657462048462283</v>
      </c>
    </row>
    <row r="240" spans="1:16" x14ac:dyDescent="0.25">
      <c r="A240" s="11">
        <v>2.2799999999999998</v>
      </c>
      <c r="B240" s="7">
        <v>1.75</v>
      </c>
      <c r="C240" s="11">
        <v>2.736059530777761E-4</v>
      </c>
      <c r="D240" s="11">
        <v>-2.4030576442491429E-3</v>
      </c>
      <c r="E240" s="11">
        <v>8.2169775043390968E-3</v>
      </c>
      <c r="F240" s="11">
        <v>1.5228853871371632E-2</v>
      </c>
      <c r="G240" s="3">
        <f t="shared" si="12"/>
        <v>2.4714381788573311E-2</v>
      </c>
      <c r="H240" s="11"/>
      <c r="I240" s="17">
        <f t="shared" si="15"/>
        <v>47237</v>
      </c>
      <c r="J240" s="18">
        <f t="shared" si="13"/>
        <v>3.1211498973305956</v>
      </c>
      <c r="K240" s="7">
        <v>2.75</v>
      </c>
      <c r="L240" s="7">
        <v>7.6954098051831149E-4</v>
      </c>
      <c r="M240" s="7">
        <v>-7.5376685542296474E-3</v>
      </c>
      <c r="N240" s="7">
        <v>2.5205811574174723E-2</v>
      </c>
      <c r="O240" s="7">
        <v>-2.9738435877511571E-3</v>
      </c>
      <c r="P240" s="11">
        <f t="shared" si="14"/>
        <v>2.5666329162367822</v>
      </c>
    </row>
    <row r="241" spans="1:16" x14ac:dyDescent="0.25">
      <c r="A241" s="11">
        <v>2.29</v>
      </c>
      <c r="B241" s="7">
        <v>1.75</v>
      </c>
      <c r="C241" s="11">
        <v>2.736059530777761E-4</v>
      </c>
      <c r="D241" s="11">
        <v>-2.4030576442491429E-3</v>
      </c>
      <c r="E241" s="11">
        <v>8.2169775043390968E-3</v>
      </c>
      <c r="F241" s="11">
        <v>1.5228853871371632E-2</v>
      </c>
      <c r="G241" s="3">
        <f t="shared" si="12"/>
        <v>2.4729588644946759E-2</v>
      </c>
      <c r="H241" s="11"/>
      <c r="I241" s="17">
        <f t="shared" si="15"/>
        <v>47242</v>
      </c>
      <c r="J241" s="18">
        <f t="shared" si="13"/>
        <v>3.1348391512662559</v>
      </c>
      <c r="K241" s="7">
        <v>2.75</v>
      </c>
      <c r="L241" s="7">
        <v>7.6954098051831149E-4</v>
      </c>
      <c r="M241" s="7">
        <v>-7.5376685542296474E-3</v>
      </c>
      <c r="N241" s="7">
        <v>2.5205811574174723E-2</v>
      </c>
      <c r="O241" s="7">
        <v>-2.9738435877511571E-3</v>
      </c>
      <c r="P241" s="11">
        <f t="shared" si="14"/>
        <v>2.5675071804207845</v>
      </c>
    </row>
    <row r="242" spans="1:16" x14ac:dyDescent="0.25">
      <c r="A242" s="11">
        <v>2.2999999999999998</v>
      </c>
      <c r="B242" s="7">
        <v>1.75</v>
      </c>
      <c r="C242" s="11">
        <v>2.736059530777761E-4</v>
      </c>
      <c r="D242" s="11">
        <v>-2.4030576442491429E-3</v>
      </c>
      <c r="E242" s="11">
        <v>8.2169775043390968E-3</v>
      </c>
      <c r="F242" s="11">
        <v>1.5228853871371632E-2</v>
      </c>
      <c r="G242" s="3">
        <f t="shared" si="12"/>
        <v>2.4744690824370891E-2</v>
      </c>
      <c r="H242" s="11"/>
      <c r="I242" s="17">
        <f t="shared" si="15"/>
        <v>47247</v>
      </c>
      <c r="J242" s="18">
        <f t="shared" si="13"/>
        <v>3.1485284052019167</v>
      </c>
      <c r="K242" s="7">
        <v>2.75</v>
      </c>
      <c r="L242" s="7">
        <v>7.6954098051831149E-4</v>
      </c>
      <c r="M242" s="7">
        <v>-7.5376685542296474E-3</v>
      </c>
      <c r="N242" s="7">
        <v>2.5205811574174723E-2</v>
      </c>
      <c r="O242" s="7">
        <v>-2.9738435877511571E-3</v>
      </c>
      <c r="P242" s="11">
        <f t="shared" si="14"/>
        <v>2.5683701818635356</v>
      </c>
    </row>
    <row r="243" spans="1:16" x14ac:dyDescent="0.25">
      <c r="A243" s="11">
        <v>2.31</v>
      </c>
      <c r="B243" s="7">
        <v>1.75</v>
      </c>
      <c r="C243" s="11">
        <v>2.736059530777761E-4</v>
      </c>
      <c r="D243" s="11">
        <v>-2.4030576442491429E-3</v>
      </c>
      <c r="E243" s="11">
        <v>8.2169775043390968E-3</v>
      </c>
      <c r="F243" s="11">
        <v>1.5228853871371632E-2</v>
      </c>
      <c r="G243" s="3">
        <f t="shared" si="12"/>
        <v>2.4759689968481415E-2</v>
      </c>
      <c r="H243" s="11"/>
      <c r="I243" s="17">
        <f t="shared" si="15"/>
        <v>47252</v>
      </c>
      <c r="J243" s="18">
        <f t="shared" si="13"/>
        <v>3.162217659137577</v>
      </c>
      <c r="K243" s="7">
        <v>2.75</v>
      </c>
      <c r="L243" s="7">
        <v>7.6954098051831149E-4</v>
      </c>
      <c r="M243" s="7">
        <v>-7.5376685542296474E-3</v>
      </c>
      <c r="N243" s="7">
        <v>2.5205811574174723E-2</v>
      </c>
      <c r="O243" s="7">
        <v>-2.9738435877511571E-3</v>
      </c>
      <c r="P243" s="11">
        <f t="shared" si="14"/>
        <v>2.5692231050303307</v>
      </c>
    </row>
    <row r="244" spans="1:16" x14ac:dyDescent="0.25">
      <c r="A244" s="11">
        <v>2.3199999999999998</v>
      </c>
      <c r="B244" s="7">
        <v>1.75</v>
      </c>
      <c r="C244" s="11">
        <v>2.736059530777761E-4</v>
      </c>
      <c r="D244" s="11">
        <v>-2.4030576442491429E-3</v>
      </c>
      <c r="E244" s="11">
        <v>8.2169775043390968E-3</v>
      </c>
      <c r="F244" s="11">
        <v>1.5228853871371632E-2</v>
      </c>
      <c r="G244" s="3">
        <f t="shared" si="12"/>
        <v>2.4774587718914054E-2</v>
      </c>
      <c r="H244" s="11"/>
      <c r="I244" s="17">
        <f t="shared" si="15"/>
        <v>47257</v>
      </c>
      <c r="J244" s="18">
        <f t="shared" si="13"/>
        <v>3.1759069130732374</v>
      </c>
      <c r="K244" s="7">
        <v>2.75</v>
      </c>
      <c r="L244" s="7">
        <v>7.6954098051831149E-4</v>
      </c>
      <c r="M244" s="7">
        <v>-7.5376685542296474E-3</v>
      </c>
      <c r="N244" s="7">
        <v>2.5205811574174723E-2</v>
      </c>
      <c r="O244" s="7">
        <v>-2.9738435877511571E-3</v>
      </c>
      <c r="P244" s="11">
        <f t="shared" si="14"/>
        <v>2.5700671343864707</v>
      </c>
    </row>
    <row r="245" spans="1:16" x14ac:dyDescent="0.25">
      <c r="A245" s="11">
        <v>2.33</v>
      </c>
      <c r="B245" s="7">
        <v>1.75</v>
      </c>
      <c r="C245" s="11">
        <v>2.736059530777761E-4</v>
      </c>
      <c r="D245" s="11">
        <v>-2.4030576442491429E-3</v>
      </c>
      <c r="E245" s="11">
        <v>8.2169775043390968E-3</v>
      </c>
      <c r="F245" s="11">
        <v>1.5228853871371632E-2</v>
      </c>
      <c r="G245" s="3">
        <f t="shared" si="12"/>
        <v>2.4789385717304532E-2</v>
      </c>
      <c r="H245" s="11"/>
      <c r="I245" s="17">
        <f t="shared" si="15"/>
        <v>47262</v>
      </c>
      <c r="J245" s="18">
        <f t="shared" si="13"/>
        <v>3.1895961670088981</v>
      </c>
      <c r="K245" s="7">
        <v>2.75</v>
      </c>
      <c r="L245" s="7">
        <v>7.6954098051831149E-4</v>
      </c>
      <c r="M245" s="7">
        <v>-7.5376685542296474E-3</v>
      </c>
      <c r="N245" s="7">
        <v>2.5205811574174723E-2</v>
      </c>
      <c r="O245" s="7">
        <v>-2.9738435877511571E-3</v>
      </c>
      <c r="P245" s="11">
        <f t="shared" si="14"/>
        <v>2.5709034543972553</v>
      </c>
    </row>
    <row r="246" spans="1:16" x14ac:dyDescent="0.25">
      <c r="A246" s="11">
        <v>2.34</v>
      </c>
      <c r="B246" s="7">
        <v>1.75</v>
      </c>
      <c r="C246" s="11">
        <v>2.736059530777761E-4</v>
      </c>
      <c r="D246" s="11">
        <v>-2.4030576442491429E-3</v>
      </c>
      <c r="E246" s="11">
        <v>8.2169775043390968E-3</v>
      </c>
      <c r="F246" s="11">
        <v>1.5228853871371632E-2</v>
      </c>
      <c r="G246" s="3">
        <f t="shared" si="12"/>
        <v>2.4804085605288562E-2</v>
      </c>
      <c r="H246" s="11"/>
      <c r="I246" s="17">
        <f t="shared" si="15"/>
        <v>47267</v>
      </c>
      <c r="J246" s="18">
        <f t="shared" si="13"/>
        <v>3.2032854209445585</v>
      </c>
      <c r="K246" s="7">
        <v>2.75</v>
      </c>
      <c r="L246" s="7">
        <v>7.6954098051831149E-4</v>
      </c>
      <c r="M246" s="7">
        <v>-7.5376685542296474E-3</v>
      </c>
      <c r="N246" s="7">
        <v>2.5205811574174723E-2</v>
      </c>
      <c r="O246" s="7">
        <v>-2.9738435877511571E-3</v>
      </c>
      <c r="P246" s="11">
        <f t="shared" si="14"/>
        <v>2.5717332495279863</v>
      </c>
    </row>
    <row r="247" spans="1:16" x14ac:dyDescent="0.25">
      <c r="A247" s="11">
        <v>2.35</v>
      </c>
      <c r="B247" s="7">
        <v>1.75</v>
      </c>
      <c r="C247" s="11">
        <v>2.736059530777761E-4</v>
      </c>
      <c r="D247" s="11">
        <v>-2.4030576442491429E-3</v>
      </c>
      <c r="E247" s="11">
        <v>8.2169775043390968E-3</v>
      </c>
      <c r="F247" s="11">
        <v>1.5228853871371632E-2</v>
      </c>
      <c r="G247" s="3">
        <f t="shared" si="12"/>
        <v>2.481868902450186E-2</v>
      </c>
      <c r="H247" s="11"/>
      <c r="I247" s="17">
        <f t="shared" si="15"/>
        <v>47272</v>
      </c>
      <c r="J247" s="18">
        <f t="shared" si="13"/>
        <v>3.2169746748802188</v>
      </c>
      <c r="K247" s="7">
        <v>2.75</v>
      </c>
      <c r="L247" s="7">
        <v>7.6954098051831149E-4</v>
      </c>
      <c r="M247" s="7">
        <v>-7.5376685542296474E-3</v>
      </c>
      <c r="N247" s="7">
        <v>2.5205811574174723E-2</v>
      </c>
      <c r="O247" s="7">
        <v>-2.9738435877511571E-3</v>
      </c>
      <c r="P247" s="11">
        <f t="shared" si="14"/>
        <v>2.572557704243958</v>
      </c>
    </row>
    <row r="248" spans="1:16" x14ac:dyDescent="0.25">
      <c r="A248" s="11">
        <v>2.36</v>
      </c>
      <c r="B248" s="7">
        <v>1.75</v>
      </c>
      <c r="C248" s="11">
        <v>2.736059530777761E-4</v>
      </c>
      <c r="D248" s="11">
        <v>-2.4030576442491429E-3</v>
      </c>
      <c r="E248" s="11">
        <v>8.2169775043390968E-3</v>
      </c>
      <c r="F248" s="11">
        <v>1.5228853871371632E-2</v>
      </c>
      <c r="G248" s="3">
        <f t="shared" si="12"/>
        <v>2.4833197616580153E-2</v>
      </c>
      <c r="H248" s="11"/>
      <c r="I248" s="17">
        <f t="shared" si="15"/>
        <v>47277</v>
      </c>
      <c r="J248" s="18">
        <f t="shared" si="13"/>
        <v>3.2306639288158796</v>
      </c>
      <c r="K248" s="7">
        <v>2.75</v>
      </c>
      <c r="L248" s="7">
        <v>7.6954098051831149E-4</v>
      </c>
      <c r="M248" s="7">
        <v>-7.5376685542296474E-3</v>
      </c>
      <c r="N248" s="7">
        <v>2.5205811574174723E-2</v>
      </c>
      <c r="O248" s="7">
        <v>-2.9738435877511571E-3</v>
      </c>
      <c r="P248" s="11">
        <f t="shared" si="14"/>
        <v>2.5733780030104723</v>
      </c>
    </row>
    <row r="249" spans="1:16" x14ac:dyDescent="0.25">
      <c r="A249" s="11">
        <v>2.37</v>
      </c>
      <c r="B249" s="7">
        <v>1.75</v>
      </c>
      <c r="C249" s="11">
        <v>2.736059530777761E-4</v>
      </c>
      <c r="D249" s="11">
        <v>-2.4030576442491429E-3</v>
      </c>
      <c r="E249" s="11">
        <v>8.2169775043390968E-3</v>
      </c>
      <c r="F249" s="11">
        <v>1.5228853871371632E-2</v>
      </c>
      <c r="G249" s="3">
        <f t="shared" si="12"/>
        <v>2.4847613023159153E-2</v>
      </c>
      <c r="H249" s="11"/>
      <c r="I249" s="17">
        <f t="shared" si="15"/>
        <v>47282</v>
      </c>
      <c r="J249" s="18">
        <f t="shared" si="13"/>
        <v>3.2443531827515399</v>
      </c>
      <c r="K249" s="7">
        <v>2.75</v>
      </c>
      <c r="L249" s="7">
        <v>7.6954098051831149E-4</v>
      </c>
      <c r="M249" s="7">
        <v>-7.5376685542296474E-3</v>
      </c>
      <c r="N249" s="7">
        <v>2.5205811574174723E-2</v>
      </c>
      <c r="O249" s="7">
        <v>-2.9738435877511571E-3</v>
      </c>
      <c r="P249" s="11">
        <f t="shared" si="14"/>
        <v>2.5741953302928291</v>
      </c>
    </row>
    <row r="250" spans="1:16" x14ac:dyDescent="0.25">
      <c r="A250" s="11">
        <v>2.38</v>
      </c>
      <c r="B250" s="7">
        <v>1.75</v>
      </c>
      <c r="C250" s="11">
        <v>2.736059530777761E-4</v>
      </c>
      <c r="D250" s="11">
        <v>-2.4030576442491429E-3</v>
      </c>
      <c r="E250" s="11">
        <v>8.2169775043390968E-3</v>
      </c>
      <c r="F250" s="11">
        <v>1.5228853871371632E-2</v>
      </c>
      <c r="G250" s="3">
        <f t="shared" si="12"/>
        <v>2.4861936885874573E-2</v>
      </c>
      <c r="H250" s="11"/>
      <c r="I250" s="17">
        <f t="shared" si="15"/>
        <v>47287</v>
      </c>
      <c r="J250" s="18">
        <f t="shared" si="13"/>
        <v>3.2580424366872007</v>
      </c>
      <c r="K250" s="7">
        <v>2.75</v>
      </c>
      <c r="L250" s="7">
        <v>7.6954098051831149E-4</v>
      </c>
      <c r="M250" s="7">
        <v>-7.5376685542296474E-3</v>
      </c>
      <c r="N250" s="7">
        <v>2.5205811574174723E-2</v>
      </c>
      <c r="O250" s="7">
        <v>-2.9738435877511571E-3</v>
      </c>
      <c r="P250" s="11">
        <f t="shared" si="14"/>
        <v>2.5750108705563277</v>
      </c>
    </row>
    <row r="251" spans="1:16" x14ac:dyDescent="0.25">
      <c r="A251" s="11">
        <v>2.39</v>
      </c>
      <c r="B251" s="7">
        <v>1.75</v>
      </c>
      <c r="C251" s="11">
        <v>2.736059530777761E-4</v>
      </c>
      <c r="D251" s="11">
        <v>-2.4030576442491429E-3</v>
      </c>
      <c r="E251" s="11">
        <v>8.2169775043390968E-3</v>
      </c>
      <c r="F251" s="11">
        <v>1.5228853871371632E-2</v>
      </c>
      <c r="G251" s="3">
        <f t="shared" si="12"/>
        <v>2.4876170846362143E-2</v>
      </c>
      <c r="H251" s="11"/>
      <c r="I251" s="17">
        <f t="shared" si="15"/>
        <v>47292</v>
      </c>
      <c r="J251" s="18">
        <f t="shared" si="13"/>
        <v>3.2717316906228611</v>
      </c>
      <c r="K251" s="7">
        <v>2.75</v>
      </c>
      <c r="L251" s="7">
        <v>7.6954098051831149E-4</v>
      </c>
      <c r="M251" s="7">
        <v>-7.5376685542296474E-3</v>
      </c>
      <c r="N251" s="7">
        <v>2.5205811574174723E-2</v>
      </c>
      <c r="O251" s="7">
        <v>-2.9738435877511571E-3</v>
      </c>
      <c r="P251" s="11">
        <f t="shared" si="14"/>
        <v>2.5758258082662642</v>
      </c>
    </row>
    <row r="252" spans="1:16" x14ac:dyDescent="0.25">
      <c r="A252" s="11">
        <v>2.4</v>
      </c>
      <c r="B252" s="7">
        <v>1.75</v>
      </c>
      <c r="C252" s="11">
        <v>2.736059530777761E-4</v>
      </c>
      <c r="D252" s="11">
        <v>-2.4030576442491429E-3</v>
      </c>
      <c r="E252" s="11">
        <v>8.2169775043390968E-3</v>
      </c>
      <c r="F252" s="11">
        <v>1.5228853871371632E-2</v>
      </c>
      <c r="G252" s="3">
        <f t="shared" si="12"/>
        <v>2.4890316546257577E-2</v>
      </c>
      <c r="H252" s="11"/>
      <c r="I252" s="17">
        <f t="shared" si="15"/>
        <v>47297</v>
      </c>
      <c r="J252" s="18">
        <f t="shared" si="13"/>
        <v>3.2854209445585214</v>
      </c>
      <c r="K252" s="7">
        <v>2.75</v>
      </c>
      <c r="L252" s="7">
        <v>7.6954098051831149E-4</v>
      </c>
      <c r="M252" s="7">
        <v>-7.5376685542296474E-3</v>
      </c>
      <c r="N252" s="7">
        <v>2.5205811574174723E-2</v>
      </c>
      <c r="O252" s="7">
        <v>-2.9738435877511571E-3</v>
      </c>
      <c r="P252" s="11">
        <f t="shared" si="14"/>
        <v>2.5766413278879421</v>
      </c>
    </row>
    <row r="253" spans="1:16" x14ac:dyDescent="0.25">
      <c r="A253" s="11">
        <v>2.41</v>
      </c>
      <c r="B253" s="7">
        <v>1.75</v>
      </c>
      <c r="C253" s="11">
        <v>2.736059530777761E-4</v>
      </c>
      <c r="D253" s="11">
        <v>-2.4030576442491429E-3</v>
      </c>
      <c r="E253" s="11">
        <v>8.2169775043390968E-3</v>
      </c>
      <c r="F253" s="11">
        <v>1.5228853871371632E-2</v>
      </c>
      <c r="G253" s="3">
        <f t="shared" si="12"/>
        <v>2.4904375627196593E-2</v>
      </c>
      <c r="H253" s="11"/>
      <c r="I253" s="17">
        <f t="shared" si="15"/>
        <v>47302</v>
      </c>
      <c r="J253" s="18">
        <f t="shared" si="13"/>
        <v>3.2991101984941822</v>
      </c>
      <c r="K253" s="7">
        <v>2.75</v>
      </c>
      <c r="L253" s="7">
        <v>7.6954098051831149E-4</v>
      </c>
      <c r="M253" s="7">
        <v>-7.5376685542296474E-3</v>
      </c>
      <c r="N253" s="7">
        <v>2.5205811574174723E-2</v>
      </c>
      <c r="O253" s="7">
        <v>-2.9738435877511571E-3</v>
      </c>
      <c r="P253" s="11">
        <f t="shared" si="14"/>
        <v>2.5774586138866602</v>
      </c>
    </row>
    <row r="254" spans="1:16" x14ac:dyDescent="0.25">
      <c r="A254" s="11">
        <v>2.42</v>
      </c>
      <c r="B254" s="7">
        <v>1.75</v>
      </c>
      <c r="C254" s="11">
        <v>2.736059530777761E-4</v>
      </c>
      <c r="D254" s="11">
        <v>-2.4030576442491429E-3</v>
      </c>
      <c r="E254" s="11">
        <v>8.2169775043390968E-3</v>
      </c>
      <c r="F254" s="11">
        <v>1.5228853871371632E-2</v>
      </c>
      <c r="G254" s="3">
        <f t="shared" si="12"/>
        <v>2.4918349730814911E-2</v>
      </c>
      <c r="H254" s="11"/>
      <c r="I254" s="17">
        <f t="shared" si="15"/>
        <v>47307</v>
      </c>
      <c r="J254" s="18">
        <f t="shared" si="13"/>
        <v>3.3127994524298425</v>
      </c>
      <c r="K254" s="7">
        <v>2.75</v>
      </c>
      <c r="L254" s="7">
        <v>7.6954098051831149E-4</v>
      </c>
      <c r="M254" s="7">
        <v>-7.5376685542296474E-3</v>
      </c>
      <c r="N254" s="7">
        <v>2.5205811574174723E-2</v>
      </c>
      <c r="O254" s="7">
        <v>-2.9738435877511571E-3</v>
      </c>
      <c r="P254" s="11">
        <f t="shared" si="14"/>
        <v>2.5782788507277137</v>
      </c>
    </row>
    <row r="255" spans="1:16" x14ac:dyDescent="0.25">
      <c r="A255" s="11">
        <v>2.4300000000000002</v>
      </c>
      <c r="B255" s="7">
        <v>1.75</v>
      </c>
      <c r="C255" s="11">
        <v>2.736059530777761E-4</v>
      </c>
      <c r="D255" s="11">
        <v>-2.4030576442491429E-3</v>
      </c>
      <c r="E255" s="11">
        <v>8.2169775043390968E-3</v>
      </c>
      <c r="F255" s="11">
        <v>1.5228853871371632E-2</v>
      </c>
      <c r="G255" s="3">
        <f t="shared" si="12"/>
        <v>2.4932240498748245E-2</v>
      </c>
      <c r="H255" s="11"/>
      <c r="I255" s="17">
        <f t="shared" si="15"/>
        <v>47312</v>
      </c>
      <c r="J255" s="18">
        <f t="shared" si="13"/>
        <v>3.3264887063655029</v>
      </c>
      <c r="K255" s="7">
        <v>2.75</v>
      </c>
      <c r="L255" s="7">
        <v>7.6954098051831149E-4</v>
      </c>
      <c r="M255" s="7">
        <v>-7.5376685542296474E-3</v>
      </c>
      <c r="N255" s="7">
        <v>2.5205811574174723E-2</v>
      </c>
      <c r="O255" s="7">
        <v>-2.9738435877511571E-3</v>
      </c>
      <c r="P255" s="11">
        <f t="shared" si="14"/>
        <v>2.579103222876407</v>
      </c>
    </row>
    <row r="256" spans="1:16" x14ac:dyDescent="0.25">
      <c r="A256" s="11">
        <v>2.44</v>
      </c>
      <c r="B256" s="7">
        <v>1.75</v>
      </c>
      <c r="C256" s="11">
        <v>2.736059530777761E-4</v>
      </c>
      <c r="D256" s="11">
        <v>-2.4030576442491429E-3</v>
      </c>
      <c r="E256" s="11">
        <v>8.2169775043390968E-3</v>
      </c>
      <c r="F256" s="11">
        <v>1.5228853871371632E-2</v>
      </c>
      <c r="G256" s="3">
        <f t="shared" si="12"/>
        <v>2.4946049572632321E-2</v>
      </c>
      <c r="H256" s="11"/>
      <c r="I256" s="17">
        <f t="shared" si="15"/>
        <v>47317</v>
      </c>
      <c r="J256" s="18">
        <f t="shared" si="13"/>
        <v>3.3401779603011637</v>
      </c>
      <c r="K256" s="7">
        <v>2.75</v>
      </c>
      <c r="L256" s="7">
        <v>7.6954098051831149E-4</v>
      </c>
      <c r="M256" s="7">
        <v>-7.5376685542296474E-3</v>
      </c>
      <c r="N256" s="7">
        <v>2.5205811574174723E-2</v>
      </c>
      <c r="O256" s="7">
        <v>-2.9738435877511571E-3</v>
      </c>
      <c r="P256" s="11">
        <f t="shared" si="14"/>
        <v>2.5799329147980345</v>
      </c>
    </row>
    <row r="257" spans="1:16" x14ac:dyDescent="0.25">
      <c r="A257" s="11">
        <v>2.4500000000000002</v>
      </c>
      <c r="B257" s="7">
        <v>1.75</v>
      </c>
      <c r="C257" s="11">
        <v>2.736059530777761E-4</v>
      </c>
      <c r="D257" s="11">
        <v>-2.4030576442491429E-3</v>
      </c>
      <c r="E257" s="11">
        <v>8.2169775043390968E-3</v>
      </c>
      <c r="F257" s="11">
        <v>1.5228853871371632E-2</v>
      </c>
      <c r="G257" s="3">
        <f t="shared" si="12"/>
        <v>2.4959778594102849E-2</v>
      </c>
      <c r="H257" s="11"/>
      <c r="I257" s="17">
        <f t="shared" si="15"/>
        <v>47322</v>
      </c>
      <c r="J257" s="18">
        <f t="shared" si="13"/>
        <v>3.353867214236824</v>
      </c>
      <c r="K257" s="7">
        <v>2.75</v>
      </c>
      <c r="L257" s="7">
        <v>7.6954098051831149E-4</v>
      </c>
      <c r="M257" s="7">
        <v>-7.5376685542296474E-3</v>
      </c>
      <c r="N257" s="7">
        <v>2.5205811574174723E-2</v>
      </c>
      <c r="O257" s="7">
        <v>-2.9738435877511571E-3</v>
      </c>
      <c r="P257" s="11">
        <f t="shared" si="14"/>
        <v>2.5807691109579007</v>
      </c>
    </row>
    <row r="258" spans="1:16" x14ac:dyDescent="0.25">
      <c r="A258" s="11">
        <v>2.46</v>
      </c>
      <c r="B258" s="7">
        <v>1.75</v>
      </c>
      <c r="C258" s="11">
        <v>2.736059530777761E-4</v>
      </c>
      <c r="D258" s="11">
        <v>-2.4030576442491429E-3</v>
      </c>
      <c r="E258" s="11">
        <v>8.2169775043390968E-3</v>
      </c>
      <c r="F258" s="11">
        <v>1.5228853871371632E-2</v>
      </c>
      <c r="G258" s="3">
        <f t="shared" si="12"/>
        <v>2.4973429204795554E-2</v>
      </c>
      <c r="H258" s="11"/>
      <c r="I258" s="17">
        <f t="shared" si="15"/>
        <v>47327</v>
      </c>
      <c r="J258" s="18">
        <f t="shared" si="13"/>
        <v>3.3675564681724848</v>
      </c>
      <c r="K258" s="7">
        <v>2.75</v>
      </c>
      <c r="L258" s="7">
        <v>7.6954098051831149E-4</v>
      </c>
      <c r="M258" s="7">
        <v>-7.5376685542296474E-3</v>
      </c>
      <c r="N258" s="7">
        <v>2.5205811574174723E-2</v>
      </c>
      <c r="O258" s="7">
        <v>-2.9738435877511571E-3</v>
      </c>
      <c r="P258" s="11">
        <f t="shared" si="14"/>
        <v>2.5816129958213017</v>
      </c>
    </row>
    <row r="259" spans="1:16" x14ac:dyDescent="0.25">
      <c r="A259" s="11">
        <v>2.4700000000000002</v>
      </c>
      <c r="B259" s="7">
        <v>1.75</v>
      </c>
      <c r="C259" s="11">
        <v>2.736059530777761E-4</v>
      </c>
      <c r="D259" s="11">
        <v>-2.4030576442491429E-3</v>
      </c>
      <c r="E259" s="11">
        <v>8.2169775043390968E-3</v>
      </c>
      <c r="F259" s="11">
        <v>1.5228853871371632E-2</v>
      </c>
      <c r="G259" s="3">
        <f t="shared" si="12"/>
        <v>2.498700304634615E-2</v>
      </c>
      <c r="H259" s="11"/>
      <c r="I259" s="17">
        <f t="shared" si="15"/>
        <v>47332</v>
      </c>
      <c r="J259" s="18">
        <f t="shared" si="13"/>
        <v>3.3812457221081451</v>
      </c>
      <c r="K259" s="7">
        <v>2.75</v>
      </c>
      <c r="L259" s="7">
        <v>7.6954098051831149E-4</v>
      </c>
      <c r="M259" s="7">
        <v>-7.5376685542296474E-3</v>
      </c>
      <c r="N259" s="7">
        <v>2.5205811574174723E-2</v>
      </c>
      <c r="O259" s="7">
        <v>-2.9738435877511571E-3</v>
      </c>
      <c r="P259" s="11">
        <f t="shared" si="14"/>
        <v>2.5824657538535343</v>
      </c>
    </row>
    <row r="260" spans="1:16" x14ac:dyDescent="0.25">
      <c r="A260" s="11">
        <v>2.48</v>
      </c>
      <c r="B260" s="7">
        <v>1.75</v>
      </c>
      <c r="C260" s="11">
        <v>2.736059530777761E-4</v>
      </c>
      <c r="D260" s="11">
        <v>-2.4030576442491429E-3</v>
      </c>
      <c r="E260" s="11">
        <v>8.2169775043390968E-3</v>
      </c>
      <c r="F260" s="11">
        <v>1.5228853871371632E-2</v>
      </c>
      <c r="G260" s="3">
        <f t="shared" si="12"/>
        <v>2.5000501760390356E-2</v>
      </c>
      <c r="H260" s="11"/>
      <c r="I260" s="17">
        <f t="shared" si="15"/>
        <v>47337</v>
      </c>
      <c r="J260" s="18">
        <f t="shared" si="13"/>
        <v>3.3949349760438055</v>
      </c>
      <c r="K260" s="7">
        <v>2.75</v>
      </c>
      <c r="L260" s="7">
        <v>7.6954098051831149E-4</v>
      </c>
      <c r="M260" s="7">
        <v>-7.5376685542296474E-3</v>
      </c>
      <c r="N260" s="7">
        <v>2.5205811574174723E-2</v>
      </c>
      <c r="O260" s="7">
        <v>-2.9738435877511571E-3</v>
      </c>
      <c r="P260" s="11">
        <f t="shared" si="14"/>
        <v>2.5833285695199049</v>
      </c>
    </row>
    <row r="261" spans="1:16" x14ac:dyDescent="0.25">
      <c r="A261" s="11">
        <v>2.4900000000000002</v>
      </c>
      <c r="B261" s="7">
        <v>1.75</v>
      </c>
      <c r="C261" s="11">
        <v>2.736059530777761E-4</v>
      </c>
      <c r="D261" s="11">
        <v>-2.4030576442491429E-3</v>
      </c>
      <c r="E261" s="11">
        <v>8.2169775043390968E-3</v>
      </c>
      <c r="F261" s="11">
        <v>1.5228853871371632E-2</v>
      </c>
      <c r="G261" s="3">
        <f t="shared" si="12"/>
        <v>2.5013926988563896E-2</v>
      </c>
      <c r="H261" s="11"/>
      <c r="I261" s="17">
        <f t="shared" si="15"/>
        <v>47342</v>
      </c>
      <c r="J261" s="18">
        <f t="shared" si="13"/>
        <v>3.4086242299794662</v>
      </c>
      <c r="K261" s="7">
        <v>2.75</v>
      </c>
      <c r="L261" s="7">
        <v>7.6954098051831149E-4</v>
      </c>
      <c r="M261" s="7">
        <v>-7.5376685542296474E-3</v>
      </c>
      <c r="N261" s="7">
        <v>2.5205811574174723E-2</v>
      </c>
      <c r="O261" s="7">
        <v>-2.9738435877511571E-3</v>
      </c>
      <c r="P261" s="11">
        <f t="shared" si="14"/>
        <v>2.5842026272857073</v>
      </c>
    </row>
    <row r="262" spans="1:16" x14ac:dyDescent="0.25">
      <c r="A262" s="11">
        <v>2.5</v>
      </c>
      <c r="B262" s="7">
        <v>1.75</v>
      </c>
      <c r="C262" s="11">
        <v>2.736059530777761E-4</v>
      </c>
      <c r="D262" s="11">
        <v>-2.4030576442491429E-3</v>
      </c>
      <c r="E262" s="11">
        <v>8.2169775043390968E-3</v>
      </c>
      <c r="F262" s="11">
        <v>1.5228853871371632E-2</v>
      </c>
      <c r="G262" s="3">
        <f t="shared" si="12"/>
        <v>2.5027280372502486E-2</v>
      </c>
      <c r="H262" s="11"/>
      <c r="I262" s="17">
        <f t="shared" si="15"/>
        <v>47347</v>
      </c>
      <c r="J262" s="18">
        <f t="shared" si="13"/>
        <v>3.4223134839151266</v>
      </c>
      <c r="K262" s="7">
        <v>2.75</v>
      </c>
      <c r="L262" s="7">
        <v>7.6954098051831149E-4</v>
      </c>
      <c r="M262" s="7">
        <v>-7.5376685542296474E-3</v>
      </c>
      <c r="N262" s="7">
        <v>2.5205811574174723E-2</v>
      </c>
      <c r="O262" s="7">
        <v>-2.9738435877511571E-3</v>
      </c>
      <c r="P262" s="11">
        <f t="shared" si="14"/>
        <v>2.5850891116162416</v>
      </c>
    </row>
    <row r="263" spans="1:16" x14ac:dyDescent="0.25">
      <c r="A263" s="11">
        <v>2.5099999999999998</v>
      </c>
      <c r="B263" s="7">
        <v>1.75</v>
      </c>
      <c r="C263" s="11">
        <v>2.736059530777761E-4</v>
      </c>
      <c r="D263" s="11">
        <v>-2.4030576442491429E-3</v>
      </c>
      <c r="E263" s="11">
        <v>8.2169775043390968E-3</v>
      </c>
      <c r="F263" s="11">
        <v>1.5228853871371632E-2</v>
      </c>
      <c r="G263" s="3">
        <f t="shared" si="12"/>
        <v>2.5040563553841835E-2</v>
      </c>
      <c r="H263" s="11"/>
      <c r="I263" s="17">
        <f t="shared" si="15"/>
        <v>47352</v>
      </c>
      <c r="J263" s="18">
        <f t="shared" si="13"/>
        <v>3.4360027378507869</v>
      </c>
      <c r="K263" s="7">
        <v>2.75</v>
      </c>
      <c r="L263" s="7">
        <v>7.6954098051831149E-4</v>
      </c>
      <c r="M263" s="7">
        <v>-7.5376685542296474E-3</v>
      </c>
      <c r="N263" s="7">
        <v>2.5205811574174723E-2</v>
      </c>
      <c r="O263" s="7">
        <v>-2.9738435877511571E-3</v>
      </c>
      <c r="P263" s="11">
        <f t="shared" si="14"/>
        <v>2.5859892069768069</v>
      </c>
    </row>
    <row r="264" spans="1:16" x14ac:dyDescent="0.25">
      <c r="A264" s="11">
        <v>2.52</v>
      </c>
      <c r="B264" s="7">
        <v>1.75</v>
      </c>
      <c r="C264" s="11">
        <v>2.736059530777761E-4</v>
      </c>
      <c r="D264" s="11">
        <v>-2.4030576442491429E-3</v>
      </c>
      <c r="E264" s="11">
        <v>8.2169775043390968E-3</v>
      </c>
      <c r="F264" s="11">
        <v>1.5228853871371632E-2</v>
      </c>
      <c r="G264" s="3">
        <f t="shared" si="12"/>
        <v>2.5053778174217674E-2</v>
      </c>
      <c r="H264" s="11"/>
      <c r="I264" s="17">
        <f t="shared" si="15"/>
        <v>47357</v>
      </c>
      <c r="J264" s="18">
        <f t="shared" si="13"/>
        <v>3.4496919917864477</v>
      </c>
      <c r="K264" s="7">
        <v>2.75</v>
      </c>
      <c r="L264" s="7">
        <v>7.6954098051831149E-4</v>
      </c>
      <c r="M264" s="7">
        <v>-7.5376685542296474E-3</v>
      </c>
      <c r="N264" s="7">
        <v>2.5205811574174723E-2</v>
      </c>
      <c r="O264" s="7">
        <v>-2.9738435877511571E-3</v>
      </c>
      <c r="P264" s="11">
        <f t="shared" si="14"/>
        <v>2.5869040978327056</v>
      </c>
    </row>
    <row r="265" spans="1:16" x14ac:dyDescent="0.25">
      <c r="A265" s="11">
        <v>2.5299999999999998</v>
      </c>
      <c r="B265" s="7">
        <v>1.75</v>
      </c>
      <c r="C265" s="11">
        <v>2.736059530777761E-4</v>
      </c>
      <c r="D265" s="11">
        <v>-2.4030576442491429E-3</v>
      </c>
      <c r="E265" s="11">
        <v>8.2169775043390968E-3</v>
      </c>
      <c r="F265" s="11">
        <v>1.5228853871371632E-2</v>
      </c>
      <c r="G265" s="3">
        <f t="shared" si="12"/>
        <v>2.5066925875265718E-2</v>
      </c>
      <c r="H265" s="11"/>
      <c r="I265" s="17">
        <f t="shared" si="15"/>
        <v>47362</v>
      </c>
      <c r="J265" s="18">
        <f t="shared" si="13"/>
        <v>3.463381245722108</v>
      </c>
      <c r="K265" s="7">
        <v>2.75</v>
      </c>
      <c r="L265" s="7">
        <v>7.6954098051831149E-4</v>
      </c>
      <c r="M265" s="7">
        <v>-7.5376685542296474E-3</v>
      </c>
      <c r="N265" s="7">
        <v>2.5205811574174723E-2</v>
      </c>
      <c r="O265" s="7">
        <v>-2.9738435877511571E-3</v>
      </c>
      <c r="P265" s="11">
        <f t="shared" si="14"/>
        <v>2.5878349686492323</v>
      </c>
    </row>
    <row r="266" spans="1:16" x14ac:dyDescent="0.25">
      <c r="A266" s="11">
        <v>2.54</v>
      </c>
      <c r="B266" s="7">
        <v>1.75</v>
      </c>
      <c r="C266" s="11">
        <v>2.736059530777761E-4</v>
      </c>
      <c r="D266" s="11">
        <v>-2.4030576442491429E-3</v>
      </c>
      <c r="E266" s="11">
        <v>8.2169775043390968E-3</v>
      </c>
      <c r="F266" s="11">
        <v>1.5228853871371632E-2</v>
      </c>
      <c r="G266" s="3">
        <f t="shared" si="12"/>
        <v>2.508000829862168E-2</v>
      </c>
      <c r="H266" s="11"/>
      <c r="I266" s="17">
        <f t="shared" si="15"/>
        <v>47367</v>
      </c>
      <c r="J266" s="18">
        <f t="shared" si="13"/>
        <v>3.4770704996577688</v>
      </c>
      <c r="K266" s="7">
        <v>2.75</v>
      </c>
      <c r="L266" s="7">
        <v>7.6954098051831149E-4</v>
      </c>
      <c r="M266" s="7">
        <v>-7.5376685542296474E-3</v>
      </c>
      <c r="N266" s="7">
        <v>2.5205811574174723E-2</v>
      </c>
      <c r="O266" s="7">
        <v>-2.9738435877511571E-3</v>
      </c>
      <c r="P266" s="11">
        <f t="shared" si="14"/>
        <v>2.5887830038916904</v>
      </c>
    </row>
    <row r="267" spans="1:16" x14ac:dyDescent="0.25">
      <c r="A267" s="11">
        <v>2.5499999999999998</v>
      </c>
      <c r="B267" s="7">
        <v>1.75</v>
      </c>
      <c r="C267" s="11">
        <v>2.736059530777761E-4</v>
      </c>
      <c r="D267" s="11">
        <v>-2.4030576442491429E-3</v>
      </c>
      <c r="E267" s="11">
        <v>8.2169775043390968E-3</v>
      </c>
      <c r="F267" s="11">
        <v>1.5228853871371632E-2</v>
      </c>
      <c r="G267" s="3">
        <f t="shared" si="12"/>
        <v>2.5093027085921288E-2</v>
      </c>
      <c r="H267" s="11"/>
      <c r="I267" s="17">
        <f t="shared" si="15"/>
        <v>47372</v>
      </c>
      <c r="J267" s="18">
        <f t="shared" si="13"/>
        <v>3.4907597535934292</v>
      </c>
      <c r="K267" s="7">
        <v>2.75</v>
      </c>
      <c r="L267" s="7">
        <v>7.6954098051831149E-4</v>
      </c>
      <c r="M267" s="7">
        <v>-7.5376685542296474E-3</v>
      </c>
      <c r="N267" s="7">
        <v>2.5205811574174723E-2</v>
      </c>
      <c r="O267" s="7">
        <v>-2.9738435877511571E-3</v>
      </c>
      <c r="P267" s="11">
        <f t="shared" si="14"/>
        <v>2.5897493880253761</v>
      </c>
    </row>
    <row r="268" spans="1:16" x14ac:dyDescent="0.25">
      <c r="A268" s="11">
        <v>2.56</v>
      </c>
      <c r="B268" s="7">
        <v>1.75</v>
      </c>
      <c r="C268" s="11">
        <v>2.736059530777761E-4</v>
      </c>
      <c r="D268" s="11">
        <v>-2.4030576442491429E-3</v>
      </c>
      <c r="E268" s="11">
        <v>8.2169775043390968E-3</v>
      </c>
      <c r="F268" s="11">
        <v>1.5228853871371632E-2</v>
      </c>
      <c r="G268" s="3">
        <f t="shared" si="12"/>
        <v>2.5105983878800253E-2</v>
      </c>
      <c r="H268" s="11"/>
      <c r="I268" s="17">
        <f t="shared" si="15"/>
        <v>47377</v>
      </c>
      <c r="J268" s="18">
        <f t="shared" si="13"/>
        <v>3.5044490075290895</v>
      </c>
      <c r="K268" s="7">
        <v>2.75</v>
      </c>
      <c r="L268" s="7">
        <v>7.6954098051831149E-4</v>
      </c>
      <c r="M268" s="7">
        <v>-7.5376685542296474E-3</v>
      </c>
      <c r="N268" s="7">
        <v>2.5205811574174723E-2</v>
      </c>
      <c r="O268" s="7">
        <v>-2.9738435877511571E-3</v>
      </c>
      <c r="P268" s="11">
        <f t="shared" si="14"/>
        <v>2.5907353055155893</v>
      </c>
    </row>
    <row r="269" spans="1:16" x14ac:dyDescent="0.25">
      <c r="A269" s="11">
        <v>2.57</v>
      </c>
      <c r="B269" s="7">
        <v>1.75</v>
      </c>
      <c r="C269" s="11">
        <v>2.736059530777761E-4</v>
      </c>
      <c r="D269" s="11">
        <v>-2.4030576442491429E-3</v>
      </c>
      <c r="E269" s="11">
        <v>8.2169775043390968E-3</v>
      </c>
      <c r="F269" s="11">
        <v>1.5228853871371632E-2</v>
      </c>
      <c r="G269" s="3">
        <f t="shared" ref="G269:G332" si="16">C269*A269^3 + D269*A269^2 + E269*A269 + F269</f>
        <v>2.5118880318894293E-2</v>
      </c>
      <c r="H269" s="11"/>
      <c r="I269" s="17">
        <f t="shared" si="15"/>
        <v>47382</v>
      </c>
      <c r="J269" s="18">
        <f t="shared" ref="J269:J332" si="17">(I269-$I$12)/365.25</f>
        <v>3.5181382614647503</v>
      </c>
      <c r="K269" s="7">
        <v>2.75</v>
      </c>
      <c r="L269" s="7">
        <v>7.6954098051831149E-4</v>
      </c>
      <c r="M269" s="7">
        <v>-7.5376685542296474E-3</v>
      </c>
      <c r="N269" s="7">
        <v>2.5205811574174723E-2</v>
      </c>
      <c r="O269" s="7">
        <v>-2.9738435877511571E-3</v>
      </c>
      <c r="P269" s="11">
        <f t="shared" ref="P269:P332" si="18">100*(L269*J269^3 + M269*J269^2 + N269*J269 + O269)</f>
        <v>2.5917419408276325</v>
      </c>
    </row>
    <row r="270" spans="1:16" x14ac:dyDescent="0.25">
      <c r="A270" s="11">
        <v>2.58</v>
      </c>
      <c r="B270" s="7">
        <v>1.75</v>
      </c>
      <c r="C270" s="11">
        <v>2.736059530777761E-4</v>
      </c>
      <c r="D270" s="11">
        <v>-2.4030576442491429E-3</v>
      </c>
      <c r="E270" s="11">
        <v>8.2169775043390968E-3</v>
      </c>
      <c r="F270" s="11">
        <v>1.5228853871371632E-2</v>
      </c>
      <c r="G270" s="3">
        <f t="shared" si="16"/>
        <v>2.5131718047839133E-2</v>
      </c>
      <c r="H270" s="11"/>
      <c r="I270" s="17">
        <f t="shared" ref="I270:I333" si="19">I269+5</f>
        <v>47387</v>
      </c>
      <c r="J270" s="18">
        <f t="shared" si="17"/>
        <v>3.5318275154004106</v>
      </c>
      <c r="K270" s="7">
        <v>2.75</v>
      </c>
      <c r="L270" s="7">
        <v>7.6954098051831149E-4</v>
      </c>
      <c r="M270" s="7">
        <v>-7.5376685542296474E-3</v>
      </c>
      <c r="N270" s="7">
        <v>2.5205811574174723E-2</v>
      </c>
      <c r="O270" s="7">
        <v>-2.9738435877511571E-3</v>
      </c>
      <c r="P270" s="11">
        <f t="shared" si="18"/>
        <v>2.5927704784268006</v>
      </c>
    </row>
    <row r="271" spans="1:16" x14ac:dyDescent="0.25">
      <c r="A271" s="11">
        <v>2.59</v>
      </c>
      <c r="B271" s="7">
        <v>1.75</v>
      </c>
      <c r="C271" s="11">
        <v>2.736059530777761E-4</v>
      </c>
      <c r="D271" s="11">
        <v>-2.4030576442491429E-3</v>
      </c>
      <c r="E271" s="11">
        <v>8.2169775043390968E-3</v>
      </c>
      <c r="F271" s="11">
        <v>1.5228853871371632E-2</v>
      </c>
      <c r="G271" s="3">
        <f t="shared" si="16"/>
        <v>2.514449870727048E-2</v>
      </c>
      <c r="H271" s="11"/>
      <c r="I271" s="17">
        <f t="shared" si="19"/>
        <v>47392</v>
      </c>
      <c r="J271" s="18">
        <f t="shared" si="17"/>
        <v>3.5455167693360714</v>
      </c>
      <c r="K271" s="7">
        <v>2.75</v>
      </c>
      <c r="L271" s="7">
        <v>7.6954098051831149E-4</v>
      </c>
      <c r="M271" s="7">
        <v>-7.5376685542296474E-3</v>
      </c>
      <c r="N271" s="7">
        <v>2.5205811574174723E-2</v>
      </c>
      <c r="O271" s="7">
        <v>-2.9738435877511571E-3</v>
      </c>
      <c r="P271" s="11">
        <f t="shared" si="18"/>
        <v>2.5938221027783941</v>
      </c>
    </row>
    <row r="272" spans="1:16" x14ac:dyDescent="0.25">
      <c r="A272" s="11">
        <v>2.6</v>
      </c>
      <c r="B272" s="7">
        <v>1.75</v>
      </c>
      <c r="C272" s="11">
        <v>2.736059530777761E-4</v>
      </c>
      <c r="D272" s="11">
        <v>-2.4030576442491429E-3</v>
      </c>
      <c r="E272" s="11">
        <v>8.2169775043390968E-3</v>
      </c>
      <c r="F272" s="11">
        <v>1.5228853871371632E-2</v>
      </c>
      <c r="G272" s="3">
        <f t="shared" si="16"/>
        <v>2.5157223938824073E-2</v>
      </c>
      <c r="H272" s="11"/>
      <c r="I272" s="17">
        <f t="shared" si="19"/>
        <v>47397</v>
      </c>
      <c r="J272" s="18">
        <f t="shared" si="17"/>
        <v>3.5592060232717317</v>
      </c>
      <c r="K272" s="7">
        <v>2.75</v>
      </c>
      <c r="L272" s="7">
        <v>7.6954098051831149E-4</v>
      </c>
      <c r="M272" s="7">
        <v>-7.5376685542296474E-3</v>
      </c>
      <c r="N272" s="7">
        <v>2.5205811574174723E-2</v>
      </c>
      <c r="O272" s="7">
        <v>-2.9738435877511571E-3</v>
      </c>
      <c r="P272" s="11">
        <f t="shared" si="18"/>
        <v>2.5948979983477138</v>
      </c>
    </row>
    <row r="273" spans="1:16" x14ac:dyDescent="0.25">
      <c r="A273" s="11">
        <v>2.61</v>
      </c>
      <c r="B273" s="7">
        <v>1.75</v>
      </c>
      <c r="C273" s="11">
        <v>2.736059530777761E-4</v>
      </c>
      <c r="D273" s="11">
        <v>-2.4030576442491429E-3</v>
      </c>
      <c r="E273" s="11">
        <v>8.2169775043390968E-3</v>
      </c>
      <c r="F273" s="11">
        <v>1.5228853871371632E-2</v>
      </c>
      <c r="G273" s="3">
        <f t="shared" si="16"/>
        <v>2.516989538413561E-2</v>
      </c>
      <c r="H273" s="11"/>
      <c r="I273" s="17">
        <f t="shared" si="19"/>
        <v>47402</v>
      </c>
      <c r="J273" s="18">
        <f t="shared" si="17"/>
        <v>3.5728952772073921</v>
      </c>
      <c r="K273" s="7">
        <v>2.75</v>
      </c>
      <c r="L273" s="7">
        <v>7.6954098051831149E-4</v>
      </c>
      <c r="M273" s="7">
        <v>-7.5376685542296474E-3</v>
      </c>
      <c r="N273" s="7">
        <v>2.5205811574174723E-2</v>
      </c>
      <c r="O273" s="7">
        <v>-2.9738435877511571E-3</v>
      </c>
      <c r="P273" s="11">
        <f t="shared" si="18"/>
        <v>2.5959993496000582</v>
      </c>
    </row>
    <row r="274" spans="1:16" x14ac:dyDescent="0.25">
      <c r="A274" s="11">
        <v>2.62</v>
      </c>
      <c r="B274" s="7">
        <v>1.75</v>
      </c>
      <c r="C274" s="11">
        <v>2.736059530777761E-4</v>
      </c>
      <c r="D274" s="11">
        <v>-2.4030576442491429E-3</v>
      </c>
      <c r="E274" s="11">
        <v>8.2169775043390968E-3</v>
      </c>
      <c r="F274" s="11">
        <v>1.5228853871371632E-2</v>
      </c>
      <c r="G274" s="3">
        <f t="shared" si="16"/>
        <v>2.5182514684840816E-2</v>
      </c>
      <c r="H274" s="11"/>
      <c r="I274" s="17">
        <f t="shared" si="19"/>
        <v>47407</v>
      </c>
      <c r="J274" s="18">
        <f t="shared" si="17"/>
        <v>3.5865845311430529</v>
      </c>
      <c r="K274" s="7">
        <v>2.75</v>
      </c>
      <c r="L274" s="7">
        <v>7.6954098051831149E-4</v>
      </c>
      <c r="M274" s="7">
        <v>-7.5376685542296474E-3</v>
      </c>
      <c r="N274" s="7">
        <v>2.5205811574174723E-2</v>
      </c>
      <c r="O274" s="7">
        <v>-2.9738435877511571E-3</v>
      </c>
      <c r="P274" s="11">
        <f t="shared" si="18"/>
        <v>2.5971273410007267</v>
      </c>
    </row>
    <row r="275" spans="1:16" x14ac:dyDescent="0.25">
      <c r="A275" s="11">
        <v>2.63</v>
      </c>
      <c r="B275" s="7">
        <v>1.75</v>
      </c>
      <c r="C275" s="11">
        <v>2.736059530777761E-4</v>
      </c>
      <c r="D275" s="11">
        <v>-2.4030576442491429E-3</v>
      </c>
      <c r="E275" s="11">
        <v>8.2169775043390968E-3</v>
      </c>
      <c r="F275" s="11">
        <v>1.5228853871371632E-2</v>
      </c>
      <c r="G275" s="3">
        <f t="shared" si="16"/>
        <v>2.5195083482575414E-2</v>
      </c>
      <c r="H275" s="11"/>
      <c r="I275" s="17">
        <f t="shared" si="19"/>
        <v>47412</v>
      </c>
      <c r="J275" s="18">
        <f t="shared" si="17"/>
        <v>3.6002737850787132</v>
      </c>
      <c r="K275" s="7">
        <v>2.75</v>
      </c>
      <c r="L275" s="7">
        <v>7.6954098051831149E-4</v>
      </c>
      <c r="M275" s="7">
        <v>-7.5376685542296474E-3</v>
      </c>
      <c r="N275" s="7">
        <v>2.5205811574174723E-2</v>
      </c>
      <c r="O275" s="7">
        <v>-2.9738435877511571E-3</v>
      </c>
      <c r="P275" s="11">
        <f t="shared" si="18"/>
        <v>2.5982831570150169</v>
      </c>
    </row>
    <row r="276" spans="1:16" x14ac:dyDescent="0.25">
      <c r="A276" s="11">
        <v>2.64</v>
      </c>
      <c r="B276" s="7">
        <v>1.75</v>
      </c>
      <c r="C276" s="11">
        <v>2.736059530777761E-4</v>
      </c>
      <c r="D276" s="11">
        <v>-2.4030576442491429E-3</v>
      </c>
      <c r="E276" s="11">
        <v>8.2169775043390968E-3</v>
      </c>
      <c r="F276" s="11">
        <v>1.5228853871371632E-2</v>
      </c>
      <c r="G276" s="3">
        <f t="shared" si="16"/>
        <v>2.5207603418975114E-2</v>
      </c>
      <c r="H276" s="11"/>
      <c r="I276" s="17">
        <f t="shared" si="19"/>
        <v>47417</v>
      </c>
      <c r="J276" s="18">
        <f t="shared" si="17"/>
        <v>3.6139630390143735</v>
      </c>
      <c r="K276" s="7">
        <v>2.75</v>
      </c>
      <c r="L276" s="7">
        <v>7.6954098051831149E-4</v>
      </c>
      <c r="M276" s="7">
        <v>-7.5376685542296474E-3</v>
      </c>
      <c r="N276" s="7">
        <v>2.5205811574174723E-2</v>
      </c>
      <c r="O276" s="7">
        <v>-2.9738435877511571E-3</v>
      </c>
      <c r="P276" s="11">
        <f t="shared" si="18"/>
        <v>2.59946798210823</v>
      </c>
    </row>
    <row r="277" spans="1:16" x14ac:dyDescent="0.25">
      <c r="A277" s="11">
        <v>2.65</v>
      </c>
      <c r="B277" s="7">
        <v>1.75</v>
      </c>
      <c r="C277" s="11">
        <v>2.736059530777761E-4</v>
      </c>
      <c r="D277" s="11">
        <v>-2.4030576442491429E-3</v>
      </c>
      <c r="E277" s="11">
        <v>8.2169775043390968E-3</v>
      </c>
      <c r="F277" s="11">
        <v>1.5228853871371632E-2</v>
      </c>
      <c r="G277" s="3">
        <f t="shared" si="16"/>
        <v>2.5220076135675638E-2</v>
      </c>
      <c r="H277" s="11"/>
      <c r="I277" s="17">
        <f t="shared" si="19"/>
        <v>47422</v>
      </c>
      <c r="J277" s="18">
        <f t="shared" si="17"/>
        <v>3.6276522929500343</v>
      </c>
      <c r="K277" s="7">
        <v>2.75</v>
      </c>
      <c r="L277" s="7">
        <v>7.6954098051831149E-4</v>
      </c>
      <c r="M277" s="7">
        <v>-7.5376685542296474E-3</v>
      </c>
      <c r="N277" s="7">
        <v>2.5205811574174723E-2</v>
      </c>
      <c r="O277" s="7">
        <v>-2.9738435877511571E-3</v>
      </c>
      <c r="P277" s="11">
        <f t="shared" si="18"/>
        <v>2.6006830007456654</v>
      </c>
    </row>
    <row r="278" spans="1:16" x14ac:dyDescent="0.25">
      <c r="A278" s="11">
        <v>2.66</v>
      </c>
      <c r="B278" s="7">
        <v>1.75</v>
      </c>
      <c r="C278" s="11">
        <v>2.736059530777761E-4</v>
      </c>
      <c r="D278" s="11">
        <v>-2.4030576442491429E-3</v>
      </c>
      <c r="E278" s="11">
        <v>8.2169775043390968E-3</v>
      </c>
      <c r="F278" s="11">
        <v>1.5228853871371632E-2</v>
      </c>
      <c r="G278" s="3">
        <f t="shared" si="16"/>
        <v>2.5232503274312711E-2</v>
      </c>
      <c r="H278" s="11"/>
      <c r="I278" s="17">
        <f t="shared" si="19"/>
        <v>47427</v>
      </c>
      <c r="J278" s="18">
        <f t="shared" si="17"/>
        <v>3.6413415468856947</v>
      </c>
      <c r="K278" s="7">
        <v>2.75</v>
      </c>
      <c r="L278" s="7">
        <v>7.6954098051831149E-4</v>
      </c>
      <c r="M278" s="7">
        <v>-7.5376685542296474E-3</v>
      </c>
      <c r="N278" s="7">
        <v>2.5205811574174723E-2</v>
      </c>
      <c r="O278" s="7">
        <v>-2.9738435877511571E-3</v>
      </c>
      <c r="P278" s="11">
        <f t="shared" si="18"/>
        <v>2.6019293973926216</v>
      </c>
    </row>
    <row r="279" spans="1:16" x14ac:dyDescent="0.25">
      <c r="A279" s="11">
        <v>2.67</v>
      </c>
      <c r="B279" s="7">
        <v>1.75</v>
      </c>
      <c r="C279" s="11">
        <v>2.736059530777761E-4</v>
      </c>
      <c r="D279" s="11">
        <v>-2.4030576442491429E-3</v>
      </c>
      <c r="E279" s="11">
        <v>8.2169775043390968E-3</v>
      </c>
      <c r="F279" s="11">
        <v>1.5228853871371632E-2</v>
      </c>
      <c r="G279" s="3">
        <f t="shared" si="16"/>
        <v>2.5244886476522052E-2</v>
      </c>
      <c r="H279" s="11"/>
      <c r="I279" s="17">
        <f t="shared" si="19"/>
        <v>47432</v>
      </c>
      <c r="J279" s="18">
        <f t="shared" si="17"/>
        <v>3.6550308008213555</v>
      </c>
      <c r="K279" s="7">
        <v>2.75</v>
      </c>
      <c r="L279" s="7">
        <v>7.6954098051831149E-4</v>
      </c>
      <c r="M279" s="7">
        <v>-7.5376685542296474E-3</v>
      </c>
      <c r="N279" s="7">
        <v>2.5205811574174723E-2</v>
      </c>
      <c r="O279" s="7">
        <v>-2.9738435877511571E-3</v>
      </c>
      <c r="P279" s="11">
        <f t="shared" si="18"/>
        <v>2.6032083565143984</v>
      </c>
    </row>
    <row r="280" spans="1:16" x14ac:dyDescent="0.25">
      <c r="A280" s="11">
        <v>2.68</v>
      </c>
      <c r="B280" s="7">
        <v>1.75</v>
      </c>
      <c r="C280" s="11">
        <v>2.736059530777761E-4</v>
      </c>
      <c r="D280" s="11">
        <v>-2.4030576442491429E-3</v>
      </c>
      <c r="E280" s="11">
        <v>8.2169775043390968E-3</v>
      </c>
      <c r="F280" s="11">
        <v>1.5228853871371632E-2</v>
      </c>
      <c r="G280" s="3">
        <f t="shared" si="16"/>
        <v>2.525722738393936E-2</v>
      </c>
      <c r="H280" s="11"/>
      <c r="I280" s="17">
        <f t="shared" si="19"/>
        <v>47437</v>
      </c>
      <c r="J280" s="18">
        <f t="shared" si="17"/>
        <v>3.6687200547570158</v>
      </c>
      <c r="K280" s="7">
        <v>2.75</v>
      </c>
      <c r="L280" s="7">
        <v>7.6954098051831149E-4</v>
      </c>
      <c r="M280" s="7">
        <v>-7.5376685542296474E-3</v>
      </c>
      <c r="N280" s="7">
        <v>2.5205811574174723E-2</v>
      </c>
      <c r="O280" s="7">
        <v>-2.9738435877511571E-3</v>
      </c>
      <c r="P280" s="11">
        <f t="shared" si="18"/>
        <v>2.604521062576294</v>
      </c>
    </row>
    <row r="281" spans="1:16" x14ac:dyDescent="0.25">
      <c r="A281" s="11">
        <v>2.69</v>
      </c>
      <c r="B281" s="7">
        <v>1.75</v>
      </c>
      <c r="C281" s="11">
        <v>2.736059530777761E-4</v>
      </c>
      <c r="D281" s="11">
        <v>-2.4030576442491429E-3</v>
      </c>
      <c r="E281" s="11">
        <v>8.2169775043390968E-3</v>
      </c>
      <c r="F281" s="11">
        <v>1.5228853871371632E-2</v>
      </c>
      <c r="G281" s="3">
        <f t="shared" si="16"/>
        <v>2.5269527638200378E-2</v>
      </c>
      <c r="H281" s="11"/>
      <c r="I281" s="17">
        <f t="shared" si="19"/>
        <v>47442</v>
      </c>
      <c r="J281" s="18">
        <f t="shared" si="17"/>
        <v>3.6824093086926761</v>
      </c>
      <c r="K281" s="7">
        <v>2.75</v>
      </c>
      <c r="L281" s="7">
        <v>7.6954098051831149E-4</v>
      </c>
      <c r="M281" s="7">
        <v>-7.5376685542296474E-3</v>
      </c>
      <c r="N281" s="7">
        <v>2.5205811574174723E-2</v>
      </c>
      <c r="O281" s="7">
        <v>-2.9738435877511571E-3</v>
      </c>
      <c r="P281" s="11">
        <f t="shared" si="18"/>
        <v>2.6058687000436094</v>
      </c>
    </row>
    <row r="282" spans="1:16" x14ac:dyDescent="0.25">
      <c r="A282" s="11">
        <v>2.7</v>
      </c>
      <c r="B282" s="7">
        <v>1.75</v>
      </c>
      <c r="C282" s="11">
        <v>2.736059530777761E-4</v>
      </c>
      <c r="D282" s="11">
        <v>-2.4030576442491429E-3</v>
      </c>
      <c r="E282" s="11">
        <v>8.2169775043390968E-3</v>
      </c>
      <c r="F282" s="11">
        <v>1.5228853871371632E-2</v>
      </c>
      <c r="G282" s="3">
        <f t="shared" si="16"/>
        <v>2.5281788880940806E-2</v>
      </c>
      <c r="H282" s="11"/>
      <c r="I282" s="17">
        <f t="shared" si="19"/>
        <v>47447</v>
      </c>
      <c r="J282" s="18">
        <f t="shared" si="17"/>
        <v>3.6960985626283369</v>
      </c>
      <c r="K282" s="7">
        <v>2.75</v>
      </c>
      <c r="L282" s="7">
        <v>7.6954098051831149E-4</v>
      </c>
      <c r="M282" s="7">
        <v>-7.5376685542296474E-3</v>
      </c>
      <c r="N282" s="7">
        <v>2.5205811574174723E-2</v>
      </c>
      <c r="O282" s="7">
        <v>-2.9738435877511571E-3</v>
      </c>
      <c r="P282" s="11">
        <f t="shared" si="18"/>
        <v>2.6072524533816424</v>
      </c>
    </row>
    <row r="283" spans="1:16" x14ac:dyDescent="0.25">
      <c r="A283" s="11">
        <v>2.71</v>
      </c>
      <c r="B283" s="7">
        <v>1.75</v>
      </c>
      <c r="C283" s="11">
        <v>2.736059530777761E-4</v>
      </c>
      <c r="D283" s="11">
        <v>-2.4030576442491429E-3</v>
      </c>
      <c r="E283" s="11">
        <v>8.2169775043390968E-3</v>
      </c>
      <c r="F283" s="11">
        <v>1.5228853871371632E-2</v>
      </c>
      <c r="G283" s="3">
        <f t="shared" si="16"/>
        <v>2.5294012753796377E-2</v>
      </c>
      <c r="H283" s="11"/>
      <c r="I283" s="17">
        <f t="shared" si="19"/>
        <v>47452</v>
      </c>
      <c r="J283" s="18">
        <f t="shared" si="17"/>
        <v>3.7097878165639973</v>
      </c>
      <c r="K283" s="7">
        <v>2.75</v>
      </c>
      <c r="L283" s="7">
        <v>7.6954098051831149E-4</v>
      </c>
      <c r="M283" s="7">
        <v>-7.5376685542296474E-3</v>
      </c>
      <c r="N283" s="7">
        <v>2.5205811574174723E-2</v>
      </c>
      <c r="O283" s="7">
        <v>-2.9738435877511571E-3</v>
      </c>
      <c r="P283" s="11">
        <f t="shared" si="18"/>
        <v>2.6086735070556921</v>
      </c>
    </row>
    <row r="284" spans="1:16" x14ac:dyDescent="0.25">
      <c r="A284" s="11">
        <v>2.72</v>
      </c>
      <c r="B284" s="7">
        <v>1.75</v>
      </c>
      <c r="C284" s="11">
        <v>2.736059530777761E-4</v>
      </c>
      <c r="D284" s="11">
        <v>-2.4030576442491429E-3</v>
      </c>
      <c r="E284" s="11">
        <v>8.2169775043390968E-3</v>
      </c>
      <c r="F284" s="11">
        <v>1.5228853871371632E-2</v>
      </c>
      <c r="G284" s="3">
        <f t="shared" si="16"/>
        <v>2.5306200898402801E-2</v>
      </c>
      <c r="H284" s="11"/>
      <c r="I284" s="17">
        <f t="shared" si="19"/>
        <v>47457</v>
      </c>
      <c r="J284" s="18">
        <f t="shared" si="17"/>
        <v>3.7234770704996576</v>
      </c>
      <c r="K284" s="7">
        <v>2.75</v>
      </c>
      <c r="L284" s="7">
        <v>7.6954098051831149E-4</v>
      </c>
      <c r="M284" s="7">
        <v>-7.5376685542296474E-3</v>
      </c>
      <c r="N284" s="7">
        <v>2.5205811574174723E-2</v>
      </c>
      <c r="O284" s="7">
        <v>-2.9738435877511571E-3</v>
      </c>
      <c r="P284" s="11">
        <f t="shared" si="18"/>
        <v>2.6101330455310601</v>
      </c>
    </row>
    <row r="285" spans="1:16" x14ac:dyDescent="0.25">
      <c r="A285" s="11">
        <v>2.73</v>
      </c>
      <c r="B285" s="7">
        <v>1.75</v>
      </c>
      <c r="C285" s="11">
        <v>2.736059530777761E-4</v>
      </c>
      <c r="D285" s="11">
        <v>-2.4030576442491429E-3</v>
      </c>
      <c r="E285" s="11">
        <v>8.2169775043390968E-3</v>
      </c>
      <c r="F285" s="11">
        <v>1.5228853871371632E-2</v>
      </c>
      <c r="G285" s="3">
        <f t="shared" si="16"/>
        <v>2.5318354956395797E-2</v>
      </c>
      <c r="H285" s="11"/>
      <c r="I285" s="17">
        <f t="shared" si="19"/>
        <v>47462</v>
      </c>
      <c r="J285" s="18">
        <f t="shared" si="17"/>
        <v>3.7371663244353184</v>
      </c>
      <c r="K285" s="7">
        <v>2.75</v>
      </c>
      <c r="L285" s="7">
        <v>7.6954098051831149E-4</v>
      </c>
      <c r="M285" s="7">
        <v>-7.5376685542296474E-3</v>
      </c>
      <c r="N285" s="7">
        <v>2.5205811574174723E-2</v>
      </c>
      <c r="O285" s="7">
        <v>-2.9738435877511571E-3</v>
      </c>
      <c r="P285" s="11">
        <f t="shared" si="18"/>
        <v>2.6116322532730427</v>
      </c>
    </row>
    <row r="286" spans="1:16" x14ac:dyDescent="0.25">
      <c r="A286" s="11">
        <v>2.74</v>
      </c>
      <c r="B286" s="7">
        <v>1.75</v>
      </c>
      <c r="C286" s="11">
        <v>2.736059530777761E-4</v>
      </c>
      <c r="D286" s="11">
        <v>-2.4030576442491429E-3</v>
      </c>
      <c r="E286" s="11">
        <v>8.2169775043390968E-3</v>
      </c>
      <c r="F286" s="11">
        <v>1.5228853871371632E-2</v>
      </c>
      <c r="G286" s="3">
        <f t="shared" si="16"/>
        <v>2.5330476569411085E-2</v>
      </c>
      <c r="H286" s="11"/>
      <c r="I286" s="17">
        <f t="shared" si="19"/>
        <v>47467</v>
      </c>
      <c r="J286" s="18">
        <f t="shared" si="17"/>
        <v>3.7508555783709787</v>
      </c>
      <c r="K286" s="7">
        <v>3.75</v>
      </c>
      <c r="L286" s="7">
        <v>-9.9382572676861604E-4</v>
      </c>
      <c r="M286" s="7">
        <v>1.2524491648998591E-2</v>
      </c>
      <c r="N286" s="7">
        <v>-5.0868356986369802E-2</v>
      </c>
      <c r="O286" s="7">
        <v>9.3170201860977769E-2</v>
      </c>
      <c r="P286" s="11">
        <f t="shared" si="18"/>
        <v>2.6131723310544683</v>
      </c>
    </row>
    <row r="287" spans="1:16" x14ac:dyDescent="0.25">
      <c r="A287" s="11">
        <v>2.75</v>
      </c>
      <c r="B287" s="7">
        <v>2.75</v>
      </c>
      <c r="C287" s="11">
        <v>7.6954098051831149E-4</v>
      </c>
      <c r="D287" s="11">
        <v>-7.5376685542296474E-3</v>
      </c>
      <c r="E287" s="11">
        <v>2.5205811574174723E-2</v>
      </c>
      <c r="F287" s="11">
        <v>-2.9738435877511571E-3</v>
      </c>
      <c r="G287" s="3">
        <f t="shared" si="16"/>
        <v>2.5342567379084385E-2</v>
      </c>
      <c r="H287" s="11"/>
      <c r="I287" s="17">
        <f t="shared" si="19"/>
        <v>47472</v>
      </c>
      <c r="J287" s="18">
        <f t="shared" si="17"/>
        <v>3.7645448323066395</v>
      </c>
      <c r="K287" s="7">
        <v>3.75</v>
      </c>
      <c r="L287" s="7">
        <v>-9.9382572676861604E-4</v>
      </c>
      <c r="M287" s="7">
        <v>1.2524491648998591E-2</v>
      </c>
      <c r="N287" s="7">
        <v>-5.0868356986369802E-2</v>
      </c>
      <c r="O287" s="7">
        <v>9.3170201860977769E-2</v>
      </c>
      <c r="P287" s="11">
        <f t="shared" si="18"/>
        <v>2.6147586166237469</v>
      </c>
    </row>
    <row r="288" spans="1:16" x14ac:dyDescent="0.25">
      <c r="A288" s="11">
        <v>2.76</v>
      </c>
      <c r="B288" s="7">
        <v>2.75</v>
      </c>
      <c r="C288" s="11">
        <v>7.6954098051831149E-4</v>
      </c>
      <c r="D288" s="11">
        <v>-7.5376685542296474E-3</v>
      </c>
      <c r="E288" s="11">
        <v>2.5205811574174723E-2</v>
      </c>
      <c r="F288" s="11">
        <v>-2.9738435877511571E-3</v>
      </c>
      <c r="G288" s="3">
        <f t="shared" si="16"/>
        <v>2.535452520829308E-2</v>
      </c>
      <c r="H288" s="11"/>
      <c r="I288" s="17">
        <f t="shared" si="19"/>
        <v>47477</v>
      </c>
      <c r="J288" s="18">
        <f t="shared" si="17"/>
        <v>3.7782340862422998</v>
      </c>
      <c r="K288" s="7">
        <v>3.75</v>
      </c>
      <c r="L288" s="7">
        <v>-9.9382572676861604E-4</v>
      </c>
      <c r="M288" s="7">
        <v>1.2524491648998591E-2</v>
      </c>
      <c r="N288" s="7">
        <v>-5.0868356986369802E-2</v>
      </c>
      <c r="O288" s="7">
        <v>9.3170201860977769E-2</v>
      </c>
      <c r="P288" s="11">
        <f t="shared" si="18"/>
        <v>2.6163936470734921</v>
      </c>
    </row>
    <row r="289" spans="1:16" x14ac:dyDescent="0.25">
      <c r="A289" s="11">
        <v>2.77</v>
      </c>
      <c r="B289" s="7">
        <v>2.75</v>
      </c>
      <c r="C289" s="11">
        <v>7.6954098051831149E-4</v>
      </c>
      <c r="D289" s="11">
        <v>-7.5376685542296474E-3</v>
      </c>
      <c r="E289" s="11">
        <v>2.5205811574174723E-2</v>
      </c>
      <c r="F289" s="11">
        <v>-2.9738435877511571E-3</v>
      </c>
      <c r="G289" s="3">
        <f t="shared" si="16"/>
        <v>2.5366249863654655E-2</v>
      </c>
      <c r="H289" s="11"/>
      <c r="I289" s="17">
        <f t="shared" si="19"/>
        <v>47482</v>
      </c>
      <c r="J289" s="18">
        <f t="shared" si="17"/>
        <v>3.7919233401779602</v>
      </c>
      <c r="K289" s="7">
        <v>3.75</v>
      </c>
      <c r="L289" s="7">
        <v>-9.9382572676861604E-4</v>
      </c>
      <c r="M289" s="7">
        <v>1.2524491648998591E-2</v>
      </c>
      <c r="N289" s="7">
        <v>-5.0868356986369802E-2</v>
      </c>
      <c r="O289" s="7">
        <v>9.3170201860977769E-2</v>
      </c>
      <c r="P289" s="11">
        <f t="shared" si="18"/>
        <v>2.618075892722854</v>
      </c>
    </row>
    <row r="290" spans="1:16" x14ac:dyDescent="0.25">
      <c r="A290" s="11">
        <v>2.78</v>
      </c>
      <c r="B290" s="7">
        <v>2.75</v>
      </c>
      <c r="C290" s="11">
        <v>7.6954098051831149E-4</v>
      </c>
      <c r="D290" s="11">
        <v>-7.5376685542296474E-3</v>
      </c>
      <c r="E290" s="11">
        <v>2.5205811574174723E-2</v>
      </c>
      <c r="F290" s="11">
        <v>-2.9738435877511571E-3</v>
      </c>
      <c r="G290" s="3">
        <f t="shared" si="16"/>
        <v>2.537774596241503E-2</v>
      </c>
      <c r="H290" s="11"/>
      <c r="I290" s="17">
        <f t="shared" si="19"/>
        <v>47487</v>
      </c>
      <c r="J290" s="18">
        <f t="shared" si="17"/>
        <v>3.805612594113621</v>
      </c>
      <c r="K290" s="7">
        <v>3.75</v>
      </c>
      <c r="L290" s="7">
        <v>-9.9382572676861604E-4</v>
      </c>
      <c r="M290" s="7">
        <v>1.2524491648998591E-2</v>
      </c>
      <c r="N290" s="7">
        <v>-5.0868356986369802E-2</v>
      </c>
      <c r="O290" s="7">
        <v>9.3170201860977769E-2</v>
      </c>
      <c r="P290" s="11">
        <f t="shared" si="18"/>
        <v>2.6198038238910177</v>
      </c>
    </row>
    <row r="291" spans="1:16" x14ac:dyDescent="0.25">
      <c r="A291" s="11">
        <v>2.79</v>
      </c>
      <c r="B291" s="7">
        <v>2.75</v>
      </c>
      <c r="C291" s="11">
        <v>7.6954098051831149E-4</v>
      </c>
      <c r="D291" s="11">
        <v>-7.5376685542296474E-3</v>
      </c>
      <c r="E291" s="11">
        <v>2.5205811574174723E-2</v>
      </c>
      <c r="F291" s="11">
        <v>-2.9738435877511571E-3</v>
      </c>
      <c r="G291" s="3">
        <f t="shared" si="16"/>
        <v>2.5389018121820039E-2</v>
      </c>
      <c r="H291" s="11"/>
      <c r="I291" s="17">
        <f t="shared" si="19"/>
        <v>47492</v>
      </c>
      <c r="J291" s="18">
        <f t="shared" si="17"/>
        <v>3.8193018480492813</v>
      </c>
      <c r="K291" s="7">
        <v>3.75</v>
      </c>
      <c r="L291" s="7">
        <v>-9.9382572676861604E-4</v>
      </c>
      <c r="M291" s="7">
        <v>1.2524491648998591E-2</v>
      </c>
      <c r="N291" s="7">
        <v>-5.0868356986369802E-2</v>
      </c>
      <c r="O291" s="7">
        <v>9.3170201860977769E-2</v>
      </c>
      <c r="P291" s="11">
        <f t="shared" si="18"/>
        <v>2.621575910897139</v>
      </c>
    </row>
    <row r="292" spans="1:16" x14ac:dyDescent="0.25">
      <c r="A292" s="11">
        <v>2.8</v>
      </c>
      <c r="B292" s="7">
        <v>2.75</v>
      </c>
      <c r="C292" s="11">
        <v>7.6954098051831149E-4</v>
      </c>
      <c r="D292" s="11">
        <v>-7.5376685542296474E-3</v>
      </c>
      <c r="E292" s="11">
        <v>2.5205811574174723E-2</v>
      </c>
      <c r="F292" s="11">
        <v>-2.9738435877511571E-3</v>
      </c>
      <c r="G292" s="3">
        <f t="shared" si="16"/>
        <v>2.5400070959115603E-2</v>
      </c>
      <c r="H292" s="11"/>
      <c r="I292" s="17">
        <f t="shared" si="19"/>
        <v>47497</v>
      </c>
      <c r="J292" s="18">
        <f t="shared" si="17"/>
        <v>3.8329911019849416</v>
      </c>
      <c r="K292" s="7">
        <v>3.75</v>
      </c>
      <c r="L292" s="7">
        <v>-9.9382572676861604E-4</v>
      </c>
      <c r="M292" s="7">
        <v>1.2524491648998591E-2</v>
      </c>
      <c r="N292" s="7">
        <v>-5.0868356986369802E-2</v>
      </c>
      <c r="O292" s="7">
        <v>9.3170201860977769E-2</v>
      </c>
      <c r="P292" s="11">
        <f t="shared" si="18"/>
        <v>2.6233906240603981</v>
      </c>
    </row>
    <row r="293" spans="1:16" x14ac:dyDescent="0.25">
      <c r="A293" s="11">
        <v>2.81</v>
      </c>
      <c r="B293" s="7">
        <v>2.75</v>
      </c>
      <c r="C293" s="11">
        <v>7.6954098051831149E-4</v>
      </c>
      <c r="D293" s="11">
        <v>-7.5376685542296474E-3</v>
      </c>
      <c r="E293" s="11">
        <v>2.5205811574174723E-2</v>
      </c>
      <c r="F293" s="11">
        <v>-2.9738435877511571E-3</v>
      </c>
      <c r="G293" s="3">
        <f t="shared" si="16"/>
        <v>2.5410909091547591E-2</v>
      </c>
      <c r="H293" s="11"/>
      <c r="I293" s="17">
        <f t="shared" si="19"/>
        <v>47502</v>
      </c>
      <c r="J293" s="18">
        <f t="shared" si="17"/>
        <v>3.8466803559206024</v>
      </c>
      <c r="K293" s="7">
        <v>3.75</v>
      </c>
      <c r="L293" s="7">
        <v>-9.9382572676861604E-4</v>
      </c>
      <c r="M293" s="7">
        <v>1.2524491648998591E-2</v>
      </c>
      <c r="N293" s="7">
        <v>-5.0868356986369802E-2</v>
      </c>
      <c r="O293" s="7">
        <v>9.3170201860977769E-2</v>
      </c>
      <c r="P293" s="11">
        <f t="shared" si="18"/>
        <v>2.6252464336999544</v>
      </c>
    </row>
    <row r="294" spans="1:16" x14ac:dyDescent="0.25">
      <c r="A294" s="11">
        <v>2.82</v>
      </c>
      <c r="B294" s="7">
        <v>2.75</v>
      </c>
      <c r="C294" s="11">
        <v>7.6954098051831149E-4</v>
      </c>
      <c r="D294" s="11">
        <v>-7.5376685542296474E-3</v>
      </c>
      <c r="E294" s="11">
        <v>2.5205811574174723E-2</v>
      </c>
      <c r="F294" s="11">
        <v>-2.9738435877511571E-3</v>
      </c>
      <c r="G294" s="3">
        <f t="shared" si="16"/>
        <v>2.5421537136361888E-2</v>
      </c>
      <c r="H294" s="11"/>
      <c r="I294" s="17">
        <f t="shared" si="19"/>
        <v>47507</v>
      </c>
      <c r="J294" s="18">
        <f t="shared" si="17"/>
        <v>3.8603696098562628</v>
      </c>
      <c r="K294" s="7">
        <v>3.75</v>
      </c>
      <c r="L294" s="7">
        <v>-9.9382572676861604E-4</v>
      </c>
      <c r="M294" s="7">
        <v>1.2524491648998591E-2</v>
      </c>
      <c r="N294" s="7">
        <v>-5.0868356986369802E-2</v>
      </c>
      <c r="O294" s="7">
        <v>9.3170201860977769E-2</v>
      </c>
      <c r="P294" s="11">
        <f t="shared" si="18"/>
        <v>2.6271418101349808</v>
      </c>
    </row>
    <row r="295" spans="1:16" x14ac:dyDescent="0.25">
      <c r="A295" s="11">
        <v>2.83</v>
      </c>
      <c r="B295" s="7">
        <v>2.75</v>
      </c>
      <c r="C295" s="11">
        <v>7.6954098051831149E-4</v>
      </c>
      <c r="D295" s="11">
        <v>-7.5376685542296474E-3</v>
      </c>
      <c r="E295" s="11">
        <v>2.5205811574174723E-2</v>
      </c>
      <c r="F295" s="11">
        <v>-2.9738435877511571E-3</v>
      </c>
      <c r="G295" s="3">
        <f t="shared" si="16"/>
        <v>2.5431959710804378E-2</v>
      </c>
      <c r="H295" s="11"/>
      <c r="I295" s="17">
        <f t="shared" si="19"/>
        <v>47512</v>
      </c>
      <c r="J295" s="18">
        <f t="shared" si="17"/>
        <v>3.8740588637919235</v>
      </c>
      <c r="K295" s="7">
        <v>3.75</v>
      </c>
      <c r="L295" s="7">
        <v>-9.9382572676861604E-4</v>
      </c>
      <c r="M295" s="7">
        <v>1.2524491648998591E-2</v>
      </c>
      <c r="N295" s="7">
        <v>-5.0868356986369802E-2</v>
      </c>
      <c r="O295" s="7">
        <v>9.3170201860977769E-2</v>
      </c>
      <c r="P295" s="11">
        <f t="shared" si="18"/>
        <v>2.6290752236846431</v>
      </c>
    </row>
    <row r="296" spans="1:16" x14ac:dyDescent="0.25">
      <c r="A296" s="11">
        <v>2.84</v>
      </c>
      <c r="B296" s="7">
        <v>2.75</v>
      </c>
      <c r="C296" s="11">
        <v>7.6954098051831149E-4</v>
      </c>
      <c r="D296" s="11">
        <v>-7.5376685542296474E-3</v>
      </c>
      <c r="E296" s="11">
        <v>2.5205811574174723E-2</v>
      </c>
      <c r="F296" s="11">
        <v>-2.9738435877511571E-3</v>
      </c>
      <c r="G296" s="3">
        <f t="shared" si="16"/>
        <v>2.5442181432120931E-2</v>
      </c>
      <c r="H296" s="11"/>
      <c r="I296" s="17">
        <f t="shared" si="19"/>
        <v>47517</v>
      </c>
      <c r="J296" s="18">
        <f t="shared" si="17"/>
        <v>3.8877481177275839</v>
      </c>
      <c r="K296" s="7">
        <v>3.75</v>
      </c>
      <c r="L296" s="7">
        <v>-9.9382572676861604E-4</v>
      </c>
      <c r="M296" s="7">
        <v>1.2524491648998591E-2</v>
      </c>
      <c r="N296" s="7">
        <v>-5.0868356986369802E-2</v>
      </c>
      <c r="O296" s="7">
        <v>9.3170201860977769E-2</v>
      </c>
      <c r="P296" s="11">
        <f t="shared" si="18"/>
        <v>2.6310451446681151</v>
      </c>
    </row>
    <row r="297" spans="1:16" x14ac:dyDescent="0.25">
      <c r="A297" s="11">
        <v>2.85</v>
      </c>
      <c r="B297" s="7">
        <v>2.75</v>
      </c>
      <c r="C297" s="11">
        <v>7.6954098051831149E-4</v>
      </c>
      <c r="D297" s="11">
        <v>-7.5376685542296474E-3</v>
      </c>
      <c r="E297" s="11">
        <v>2.5205811574174723E-2</v>
      </c>
      <c r="F297" s="11">
        <v>-2.9738435877511571E-3</v>
      </c>
      <c r="G297" s="3">
        <f t="shared" si="16"/>
        <v>2.5452206917557452E-2</v>
      </c>
      <c r="H297" s="11"/>
      <c r="I297" s="17">
        <f t="shared" si="19"/>
        <v>47522</v>
      </c>
      <c r="J297" s="18">
        <f t="shared" si="17"/>
        <v>3.9014373716632442</v>
      </c>
      <c r="K297" s="7">
        <v>3.75</v>
      </c>
      <c r="L297" s="7">
        <v>-9.9382572676861604E-4</v>
      </c>
      <c r="M297" s="7">
        <v>1.2524491648998591E-2</v>
      </c>
      <c r="N297" s="7">
        <v>-5.0868356986369802E-2</v>
      </c>
      <c r="O297" s="7">
        <v>9.3170201860977769E-2</v>
      </c>
      <c r="P297" s="11">
        <f t="shared" si="18"/>
        <v>2.6330500434045554</v>
      </c>
    </row>
    <row r="298" spans="1:16" x14ac:dyDescent="0.25">
      <c r="A298" s="11">
        <v>2.86</v>
      </c>
      <c r="B298" s="7">
        <v>2.75</v>
      </c>
      <c r="C298" s="11">
        <v>7.6954098051831149E-4</v>
      </c>
      <c r="D298" s="11">
        <v>-7.5376685542296474E-3</v>
      </c>
      <c r="E298" s="11">
        <v>2.5205811574174723E-2</v>
      </c>
      <c r="F298" s="11">
        <v>-2.9738435877511571E-3</v>
      </c>
      <c r="G298" s="3">
        <f t="shared" si="16"/>
        <v>2.5462040784359811E-2</v>
      </c>
      <c r="H298" s="11"/>
      <c r="I298" s="17">
        <f t="shared" si="19"/>
        <v>47527</v>
      </c>
      <c r="J298" s="18">
        <f t="shared" si="17"/>
        <v>3.915126625598905</v>
      </c>
      <c r="K298" s="7">
        <v>3.75</v>
      </c>
      <c r="L298" s="7">
        <v>-9.9382572676861604E-4</v>
      </c>
      <c r="M298" s="7">
        <v>1.2524491648998591E-2</v>
      </c>
      <c r="N298" s="7">
        <v>-5.0868356986369802E-2</v>
      </c>
      <c r="O298" s="7">
        <v>9.3170201860977769E-2</v>
      </c>
      <c r="P298" s="11">
        <f t="shared" si="18"/>
        <v>2.6350883902131446</v>
      </c>
    </row>
    <row r="299" spans="1:16" x14ac:dyDescent="0.25">
      <c r="A299" s="11">
        <v>2.87</v>
      </c>
      <c r="B299" s="7">
        <v>2.75</v>
      </c>
      <c r="C299" s="11">
        <v>7.6954098051831149E-4</v>
      </c>
      <c r="D299" s="11">
        <v>-7.5376685542296474E-3</v>
      </c>
      <c r="E299" s="11">
        <v>2.5205811574174723E-2</v>
      </c>
      <c r="F299" s="11">
        <v>-2.9738435877511571E-3</v>
      </c>
      <c r="G299" s="3">
        <f t="shared" si="16"/>
        <v>2.547168764977388E-2</v>
      </c>
      <c r="H299" s="11"/>
      <c r="I299" s="17">
        <f t="shared" si="19"/>
        <v>47532</v>
      </c>
      <c r="J299" s="18">
        <f t="shared" si="17"/>
        <v>3.9288158795345653</v>
      </c>
      <c r="K299" s="7">
        <v>3.75</v>
      </c>
      <c r="L299" s="7">
        <v>-9.9382572676861604E-4</v>
      </c>
      <c r="M299" s="7">
        <v>1.2524491648998591E-2</v>
      </c>
      <c r="N299" s="7">
        <v>-5.0868356986369802E-2</v>
      </c>
      <c r="O299" s="7">
        <v>9.3170201860977769E-2</v>
      </c>
      <c r="P299" s="11">
        <f t="shared" si="18"/>
        <v>2.6371586554130411</v>
      </c>
    </row>
    <row r="300" spans="1:16" x14ac:dyDescent="0.25">
      <c r="A300" s="11">
        <v>2.88</v>
      </c>
      <c r="B300" s="7">
        <v>2.75</v>
      </c>
      <c r="C300" s="11">
        <v>7.6954098051831149E-4</v>
      </c>
      <c r="D300" s="11">
        <v>-7.5376685542296474E-3</v>
      </c>
      <c r="E300" s="11">
        <v>2.5205811574174723E-2</v>
      </c>
      <c r="F300" s="11">
        <v>-2.9738435877511571E-3</v>
      </c>
      <c r="G300" s="3">
        <f t="shared" si="16"/>
        <v>2.548115213104557E-2</v>
      </c>
      <c r="H300" s="11"/>
      <c r="I300" s="17">
        <f t="shared" si="19"/>
        <v>47537</v>
      </c>
      <c r="J300" s="18">
        <f t="shared" si="17"/>
        <v>3.9425051334702257</v>
      </c>
      <c r="K300" s="7">
        <v>3.75</v>
      </c>
      <c r="L300" s="7">
        <v>-9.9382572676861604E-4</v>
      </c>
      <c r="M300" s="7">
        <v>1.2524491648998591E-2</v>
      </c>
      <c r="N300" s="7">
        <v>-5.0868356986369802E-2</v>
      </c>
      <c r="O300" s="7">
        <v>9.3170201860977769E-2</v>
      </c>
      <c r="P300" s="11">
        <f t="shared" si="18"/>
        <v>2.6392593093234247</v>
      </c>
    </row>
    <row r="301" spans="1:16" x14ac:dyDescent="0.25">
      <c r="A301" s="11">
        <v>2.89</v>
      </c>
      <c r="B301" s="7">
        <v>2.75</v>
      </c>
      <c r="C301" s="11">
        <v>7.6954098051831149E-4</v>
      </c>
      <c r="D301" s="11">
        <v>-7.5376685542296474E-3</v>
      </c>
      <c r="E301" s="11">
        <v>2.5205811574174723E-2</v>
      </c>
      <c r="F301" s="11">
        <v>-2.9738435877511571E-3</v>
      </c>
      <c r="G301" s="3">
        <f t="shared" si="16"/>
        <v>2.5490438845420751E-2</v>
      </c>
      <c r="H301" s="11"/>
      <c r="I301" s="17">
        <f t="shared" si="19"/>
        <v>47542</v>
      </c>
      <c r="J301" s="18">
        <f t="shared" si="17"/>
        <v>3.9561943874058865</v>
      </c>
      <c r="K301" s="7">
        <v>3.75</v>
      </c>
      <c r="L301" s="7">
        <v>-9.9382572676861604E-4</v>
      </c>
      <c r="M301" s="7">
        <v>1.2524491648998591E-2</v>
      </c>
      <c r="N301" s="7">
        <v>-5.0868356986369802E-2</v>
      </c>
      <c r="O301" s="7">
        <v>9.3170201860977769E-2</v>
      </c>
      <c r="P301" s="11">
        <f t="shared" si="18"/>
        <v>2.6413888222634521</v>
      </c>
    </row>
    <row r="302" spans="1:16" x14ac:dyDescent="0.25">
      <c r="A302" s="11">
        <v>2.9</v>
      </c>
      <c r="B302" s="7">
        <v>2.75</v>
      </c>
      <c r="C302" s="11">
        <v>7.6954098051831149E-4</v>
      </c>
      <c r="D302" s="11">
        <v>-7.5376685542296474E-3</v>
      </c>
      <c r="E302" s="11">
        <v>2.5205811574174723E-2</v>
      </c>
      <c r="F302" s="11">
        <v>-2.9738435877511571E-3</v>
      </c>
      <c r="G302" s="3">
        <f t="shared" si="16"/>
        <v>2.5499552410145315E-2</v>
      </c>
      <c r="H302" s="11"/>
      <c r="I302" s="17">
        <f t="shared" si="19"/>
        <v>47547</v>
      </c>
      <c r="J302" s="18">
        <f t="shared" si="17"/>
        <v>3.9698836413415468</v>
      </c>
      <c r="K302" s="7">
        <v>3.75</v>
      </c>
      <c r="L302" s="7">
        <v>-9.9382572676861604E-4</v>
      </c>
      <c r="M302" s="7">
        <v>1.2524491648998591E-2</v>
      </c>
      <c r="N302" s="7">
        <v>-5.0868356986369802E-2</v>
      </c>
      <c r="O302" s="7">
        <v>9.3170201860977769E-2</v>
      </c>
      <c r="P302" s="11">
        <f t="shared" si="18"/>
        <v>2.6435456645522963</v>
      </c>
    </row>
    <row r="303" spans="1:16" x14ac:dyDescent="0.25">
      <c r="A303" s="11">
        <v>2.91</v>
      </c>
      <c r="B303" s="7">
        <v>2.75</v>
      </c>
      <c r="C303" s="11">
        <v>7.6954098051831149E-4</v>
      </c>
      <c r="D303" s="11">
        <v>-7.5376685542296474E-3</v>
      </c>
      <c r="E303" s="11">
        <v>2.5205811574174723E-2</v>
      </c>
      <c r="F303" s="11">
        <v>-2.9738435877511571E-3</v>
      </c>
      <c r="G303" s="3">
        <f t="shared" si="16"/>
        <v>2.5508497442465111E-2</v>
      </c>
      <c r="H303" s="11"/>
      <c r="I303" s="17">
        <f t="shared" si="19"/>
        <v>47552</v>
      </c>
      <c r="J303" s="18">
        <f t="shared" si="17"/>
        <v>3.9835728952772076</v>
      </c>
      <c r="K303" s="7">
        <v>3.75</v>
      </c>
      <c r="L303" s="7">
        <v>-9.9382572676861604E-4</v>
      </c>
      <c r="M303" s="7">
        <v>1.2524491648998591E-2</v>
      </c>
      <c r="N303" s="7">
        <v>-5.0868356986369802E-2</v>
      </c>
      <c r="O303" s="7">
        <v>9.3170201860977769E-2</v>
      </c>
      <c r="P303" s="11">
        <f t="shared" si="18"/>
        <v>2.6457283065091293</v>
      </c>
    </row>
    <row r="304" spans="1:16" x14ac:dyDescent="0.25">
      <c r="A304" s="11">
        <v>2.92</v>
      </c>
      <c r="B304" s="7">
        <v>2.75</v>
      </c>
      <c r="C304" s="11">
        <v>7.6954098051831149E-4</v>
      </c>
      <c r="D304" s="11">
        <v>-7.5376685542296474E-3</v>
      </c>
      <c r="E304" s="11">
        <v>2.5205811574174723E-2</v>
      </c>
      <c r="F304" s="11">
        <v>-2.9738435877511571E-3</v>
      </c>
      <c r="G304" s="3">
        <f t="shared" si="16"/>
        <v>2.5517278559626051E-2</v>
      </c>
      <c r="H304" s="11"/>
      <c r="I304" s="17">
        <f t="shared" si="19"/>
        <v>47557</v>
      </c>
      <c r="J304" s="18">
        <f t="shared" si="17"/>
        <v>3.9972621492128679</v>
      </c>
      <c r="K304" s="7">
        <v>3.75</v>
      </c>
      <c r="L304" s="7">
        <v>-9.9382572676861604E-4</v>
      </c>
      <c r="M304" s="7">
        <v>1.2524491648998591E-2</v>
      </c>
      <c r="N304" s="7">
        <v>-5.0868356986369802E-2</v>
      </c>
      <c r="O304" s="7">
        <v>9.3170201860977769E-2</v>
      </c>
      <c r="P304" s="11">
        <f t="shared" si="18"/>
        <v>2.6479352184531182</v>
      </c>
    </row>
    <row r="305" spans="1:16" x14ac:dyDescent="0.25">
      <c r="A305" s="11">
        <v>2.93</v>
      </c>
      <c r="B305" s="7">
        <v>2.75</v>
      </c>
      <c r="C305" s="11">
        <v>7.6954098051831149E-4</v>
      </c>
      <c r="D305" s="11">
        <v>-7.5376685542296474E-3</v>
      </c>
      <c r="E305" s="11">
        <v>2.5205811574174723E-2</v>
      </c>
      <c r="F305" s="11">
        <v>-2.9738435877511571E-3</v>
      </c>
      <c r="G305" s="3">
        <f t="shared" si="16"/>
        <v>2.5525900378874034E-2</v>
      </c>
      <c r="H305" s="11"/>
      <c r="I305" s="17">
        <f t="shared" si="19"/>
        <v>47562</v>
      </c>
      <c r="J305" s="18">
        <f t="shared" si="17"/>
        <v>4.0109514031485283</v>
      </c>
      <c r="K305" s="7">
        <v>3.75</v>
      </c>
      <c r="L305" s="7">
        <v>-9.9382572676861604E-4</v>
      </c>
      <c r="M305" s="7">
        <v>1.2524491648998591E-2</v>
      </c>
      <c r="N305" s="7">
        <v>-5.0868356986369802E-2</v>
      </c>
      <c r="O305" s="7">
        <v>9.3170201860977769E-2</v>
      </c>
      <c r="P305" s="11">
        <f t="shared" si="18"/>
        <v>2.6501648707034251</v>
      </c>
    </row>
    <row r="306" spans="1:16" x14ac:dyDescent="0.25">
      <c r="A306" s="11">
        <v>2.94</v>
      </c>
      <c r="B306" s="7">
        <v>2.75</v>
      </c>
      <c r="C306" s="11">
        <v>7.6954098051831149E-4</v>
      </c>
      <c r="D306" s="11">
        <v>-7.5376685542296474E-3</v>
      </c>
      <c r="E306" s="11">
        <v>2.5205811574174723E-2</v>
      </c>
      <c r="F306" s="11">
        <v>-2.9738435877511571E-3</v>
      </c>
      <c r="G306" s="3">
        <f t="shared" si="16"/>
        <v>2.5534367517454901E-2</v>
      </c>
      <c r="H306" s="11"/>
      <c r="I306" s="17">
        <f t="shared" si="19"/>
        <v>47567</v>
      </c>
      <c r="J306" s="18">
        <f t="shared" si="17"/>
        <v>4.0246406570841886</v>
      </c>
      <c r="K306" s="7">
        <v>3.75</v>
      </c>
      <c r="L306" s="7">
        <v>-9.9382572676861604E-4</v>
      </c>
      <c r="M306" s="7">
        <v>1.2524491648998591E-2</v>
      </c>
      <c r="N306" s="7">
        <v>-5.0868356986369802E-2</v>
      </c>
      <c r="O306" s="7">
        <v>9.3170201860977769E-2</v>
      </c>
      <c r="P306" s="11">
        <f t="shared" si="18"/>
        <v>2.6524157335792302</v>
      </c>
    </row>
    <row r="307" spans="1:16" x14ac:dyDescent="0.25">
      <c r="A307" s="11">
        <v>2.95</v>
      </c>
      <c r="B307" s="7">
        <v>2.75</v>
      </c>
      <c r="C307" s="11">
        <v>7.6954098051831149E-4</v>
      </c>
      <c r="D307" s="11">
        <v>-7.5376685542296474E-3</v>
      </c>
      <c r="E307" s="11">
        <v>2.5205811574174723E-2</v>
      </c>
      <c r="F307" s="11">
        <v>-2.9738435877511571E-3</v>
      </c>
      <c r="G307" s="3">
        <f t="shared" si="16"/>
        <v>2.5542684592614551E-2</v>
      </c>
      <c r="H307" s="11"/>
      <c r="I307" s="17">
        <f t="shared" si="19"/>
        <v>47572</v>
      </c>
      <c r="J307" s="18">
        <f t="shared" si="17"/>
        <v>4.0383299110198498</v>
      </c>
      <c r="K307" s="7">
        <v>3.75</v>
      </c>
      <c r="L307" s="7">
        <v>-9.9382572676861604E-4</v>
      </c>
      <c r="M307" s="7">
        <v>1.2524491648998591E-2</v>
      </c>
      <c r="N307" s="7">
        <v>-5.0868356986369802E-2</v>
      </c>
      <c r="O307" s="7">
        <v>9.3170201860977769E-2</v>
      </c>
      <c r="P307" s="11">
        <f t="shared" si="18"/>
        <v>2.6546862773996924</v>
      </c>
    </row>
    <row r="308" spans="1:16" x14ac:dyDescent="0.25">
      <c r="A308" s="11">
        <v>2.96</v>
      </c>
      <c r="B308" s="7">
        <v>2.75</v>
      </c>
      <c r="C308" s="11">
        <v>7.6954098051831149E-4</v>
      </c>
      <c r="D308" s="11">
        <v>-7.5376685542296474E-3</v>
      </c>
      <c r="E308" s="11">
        <v>2.5205811574174723E-2</v>
      </c>
      <c r="F308" s="11">
        <v>-2.9738435877511571E-3</v>
      </c>
      <c r="G308" s="3">
        <f t="shared" si="16"/>
        <v>2.5550856221598903E-2</v>
      </c>
      <c r="H308" s="11"/>
      <c r="I308" s="17">
        <f t="shared" si="19"/>
        <v>47577</v>
      </c>
      <c r="J308" s="18">
        <f t="shared" si="17"/>
        <v>4.0520191649555102</v>
      </c>
      <c r="K308" s="7">
        <v>3.75</v>
      </c>
      <c r="L308" s="7">
        <v>-9.9382572676861604E-4</v>
      </c>
      <c r="M308" s="7">
        <v>1.2524491648998591E-2</v>
      </c>
      <c r="N308" s="7">
        <v>-5.0868356986369802E-2</v>
      </c>
      <c r="O308" s="7">
        <v>9.3170201860977769E-2</v>
      </c>
      <c r="P308" s="11">
        <f t="shared" si="18"/>
        <v>2.6569749724839804</v>
      </c>
    </row>
    <row r="309" spans="1:16" x14ac:dyDescent="0.25">
      <c r="A309" s="11">
        <v>2.97</v>
      </c>
      <c r="B309" s="7">
        <v>2.75</v>
      </c>
      <c r="C309" s="11">
        <v>7.6954098051831149E-4</v>
      </c>
      <c r="D309" s="11">
        <v>-7.5376685542296474E-3</v>
      </c>
      <c r="E309" s="11">
        <v>2.5205811574174723E-2</v>
      </c>
      <c r="F309" s="11">
        <v>-2.9738435877511571E-3</v>
      </c>
      <c r="G309" s="3">
        <f t="shared" si="16"/>
        <v>2.5558887021653764E-2</v>
      </c>
      <c r="H309" s="11"/>
      <c r="I309" s="17">
        <f t="shared" si="19"/>
        <v>47582</v>
      </c>
      <c r="J309" s="18">
        <f t="shared" si="17"/>
        <v>4.0657084188911705</v>
      </c>
      <c r="K309" s="7">
        <v>3.75</v>
      </c>
      <c r="L309" s="7">
        <v>-9.9382572676861604E-4</v>
      </c>
      <c r="M309" s="7">
        <v>1.2524491648998591E-2</v>
      </c>
      <c r="N309" s="7">
        <v>-5.0868356986369802E-2</v>
      </c>
      <c r="O309" s="7">
        <v>9.3170201860977769E-2</v>
      </c>
      <c r="P309" s="11">
        <f t="shared" si="18"/>
        <v>2.6592802891512779</v>
      </c>
    </row>
    <row r="310" spans="1:16" x14ac:dyDescent="0.25">
      <c r="A310" s="11">
        <v>2.98</v>
      </c>
      <c r="B310" s="7">
        <v>2.75</v>
      </c>
      <c r="C310" s="11">
        <v>7.6954098051831149E-4</v>
      </c>
      <c r="D310" s="11">
        <v>-7.5376685542296474E-3</v>
      </c>
      <c r="E310" s="11">
        <v>2.5205811574174723E-2</v>
      </c>
      <c r="F310" s="11">
        <v>-2.9738435877511571E-3</v>
      </c>
      <c r="G310" s="3">
        <f t="shared" si="16"/>
        <v>2.5566781610025111E-2</v>
      </c>
      <c r="H310" s="11"/>
      <c r="I310" s="17">
        <f t="shared" si="19"/>
        <v>47587</v>
      </c>
      <c r="J310" s="18">
        <f t="shared" si="17"/>
        <v>4.0793976728268309</v>
      </c>
      <c r="K310" s="7">
        <v>3.75</v>
      </c>
      <c r="L310" s="7">
        <v>-9.9382572676861604E-4</v>
      </c>
      <c r="M310" s="7">
        <v>1.2524491648998591E-2</v>
      </c>
      <c r="N310" s="7">
        <v>-5.0868356986369802E-2</v>
      </c>
      <c r="O310" s="7">
        <v>9.3170201860977769E-2</v>
      </c>
      <c r="P310" s="11">
        <f t="shared" si="18"/>
        <v>2.6616006977207314</v>
      </c>
    </row>
    <row r="311" spans="1:16" x14ac:dyDescent="0.25">
      <c r="A311" s="11">
        <v>2.99</v>
      </c>
      <c r="B311" s="7">
        <v>2.75</v>
      </c>
      <c r="C311" s="11">
        <v>7.6954098051831149E-4</v>
      </c>
      <c r="D311" s="11">
        <v>-7.5376685542296474E-3</v>
      </c>
      <c r="E311" s="11">
        <v>2.5205811574174723E-2</v>
      </c>
      <c r="F311" s="11">
        <v>-2.9738435877511571E-3</v>
      </c>
      <c r="G311" s="3">
        <f t="shared" si="16"/>
        <v>2.5574544603958749E-2</v>
      </c>
      <c r="H311" s="11"/>
      <c r="I311" s="17">
        <f t="shared" si="19"/>
        <v>47592</v>
      </c>
      <c r="J311" s="18">
        <f t="shared" si="17"/>
        <v>4.0930869267624912</v>
      </c>
      <c r="K311" s="7">
        <v>3.75</v>
      </c>
      <c r="L311" s="7">
        <v>-9.9382572676861604E-4</v>
      </c>
      <c r="M311" s="7">
        <v>1.2524491648998591E-2</v>
      </c>
      <c r="N311" s="7">
        <v>-5.0868356986369802E-2</v>
      </c>
      <c r="O311" s="7">
        <v>9.3170201860977769E-2</v>
      </c>
      <c r="P311" s="11">
        <f t="shared" si="18"/>
        <v>2.6639346685115224</v>
      </c>
    </row>
    <row r="312" spans="1:16" x14ac:dyDescent="0.25">
      <c r="A312" s="11">
        <v>3</v>
      </c>
      <c r="B312" s="7">
        <v>2.75</v>
      </c>
      <c r="C312" s="11">
        <v>7.6954098051831149E-4</v>
      </c>
      <c r="D312" s="11">
        <v>-7.5376685542296474E-3</v>
      </c>
      <c r="E312" s="11">
        <v>2.5205811574174723E-2</v>
      </c>
      <c r="F312" s="11">
        <v>-2.9738435877511571E-3</v>
      </c>
      <c r="G312" s="3">
        <f t="shared" si="16"/>
        <v>2.5582180620700591E-2</v>
      </c>
      <c r="H312" s="11"/>
      <c r="I312" s="17">
        <f t="shared" si="19"/>
        <v>47597</v>
      </c>
      <c r="J312" s="18">
        <f t="shared" si="17"/>
        <v>4.1067761806981515</v>
      </c>
      <c r="K312" s="7">
        <v>3.75</v>
      </c>
      <c r="L312" s="7">
        <v>-9.9382572676861604E-4</v>
      </c>
      <c r="M312" s="7">
        <v>1.2524491648998591E-2</v>
      </c>
      <c r="N312" s="7">
        <v>-5.0868356986369802E-2</v>
      </c>
      <c r="O312" s="7">
        <v>9.3170201860977769E-2</v>
      </c>
      <c r="P312" s="11">
        <f t="shared" si="18"/>
        <v>2.666280671842816</v>
      </c>
    </row>
    <row r="313" spans="1:16" x14ac:dyDescent="0.25">
      <c r="A313" s="11">
        <v>3.01</v>
      </c>
      <c r="B313" s="7">
        <v>2.75</v>
      </c>
      <c r="C313" s="11">
        <v>7.6954098051831149E-4</v>
      </c>
      <c r="D313" s="11">
        <v>-7.5376685542296474E-3</v>
      </c>
      <c r="E313" s="11">
        <v>2.5205811574174723E-2</v>
      </c>
      <c r="F313" s="11">
        <v>-2.9738435877511571E-3</v>
      </c>
      <c r="G313" s="3">
        <f t="shared" si="16"/>
        <v>2.5589694277496536E-2</v>
      </c>
      <c r="H313" s="11"/>
      <c r="I313" s="17">
        <f t="shared" si="19"/>
        <v>47602</v>
      </c>
      <c r="J313" s="18">
        <f t="shared" si="17"/>
        <v>4.1204654346338128</v>
      </c>
      <c r="K313" s="7">
        <v>3.75</v>
      </c>
      <c r="L313" s="7">
        <v>-9.9382572676861604E-4</v>
      </c>
      <c r="M313" s="7">
        <v>1.2524491648998591E-2</v>
      </c>
      <c r="N313" s="7">
        <v>-5.0868356986369802E-2</v>
      </c>
      <c r="O313" s="7">
        <v>9.3170201860977769E-2</v>
      </c>
      <c r="P313" s="11">
        <f t="shared" si="18"/>
        <v>2.6686371780337836</v>
      </c>
    </row>
    <row r="314" spans="1:16" x14ac:dyDescent="0.25">
      <c r="A314" s="11">
        <v>3.02</v>
      </c>
      <c r="B314" s="7">
        <v>2.75</v>
      </c>
      <c r="C314" s="11">
        <v>7.6954098051831149E-4</v>
      </c>
      <c r="D314" s="11">
        <v>-7.5376685542296474E-3</v>
      </c>
      <c r="E314" s="11">
        <v>2.5205811574174723E-2</v>
      </c>
      <c r="F314" s="11">
        <v>-2.9738435877511571E-3</v>
      </c>
      <c r="G314" s="3">
        <f t="shared" si="16"/>
        <v>2.5597090191592425E-2</v>
      </c>
      <c r="H314" s="11"/>
      <c r="I314" s="17">
        <f t="shared" si="19"/>
        <v>47607</v>
      </c>
      <c r="J314" s="18">
        <f t="shared" si="17"/>
        <v>4.1341546885694731</v>
      </c>
      <c r="K314" s="7">
        <v>3.75</v>
      </c>
      <c r="L314" s="7">
        <v>-9.9382572676861604E-4</v>
      </c>
      <c r="M314" s="7">
        <v>1.2524491648998591E-2</v>
      </c>
      <c r="N314" s="7">
        <v>-5.0868356986369802E-2</v>
      </c>
      <c r="O314" s="7">
        <v>9.3170201860977769E-2</v>
      </c>
      <c r="P314" s="11">
        <f t="shared" si="18"/>
        <v>2.6710026574035872</v>
      </c>
    </row>
    <row r="315" spans="1:16" x14ac:dyDescent="0.25">
      <c r="A315" s="11">
        <v>3.03</v>
      </c>
      <c r="B315" s="7">
        <v>2.75</v>
      </c>
      <c r="C315" s="11">
        <v>7.6954098051831149E-4</v>
      </c>
      <c r="D315" s="11">
        <v>-7.5376685542296474E-3</v>
      </c>
      <c r="E315" s="11">
        <v>2.5205811574174723E-2</v>
      </c>
      <c r="F315" s="11">
        <v>-2.9738435877511571E-3</v>
      </c>
      <c r="G315" s="3">
        <f t="shared" si="16"/>
        <v>2.56043729802342E-2</v>
      </c>
      <c r="H315" s="11"/>
      <c r="I315" s="17">
        <f t="shared" si="19"/>
        <v>47612</v>
      </c>
      <c r="J315" s="18">
        <f t="shared" si="17"/>
        <v>4.1478439425051334</v>
      </c>
      <c r="K315" s="7">
        <v>3.75</v>
      </c>
      <c r="L315" s="7">
        <v>-9.9382572676861604E-4</v>
      </c>
      <c r="M315" s="7">
        <v>1.2524491648998591E-2</v>
      </c>
      <c r="N315" s="7">
        <v>-5.0868356986369802E-2</v>
      </c>
      <c r="O315" s="7">
        <v>9.3170201860977769E-2</v>
      </c>
      <c r="P315" s="11">
        <f t="shared" si="18"/>
        <v>2.6733755802714034</v>
      </c>
    </row>
    <row r="316" spans="1:16" x14ac:dyDescent="0.25">
      <c r="A316" s="11">
        <v>3.04</v>
      </c>
      <c r="B316" s="7">
        <v>2.75</v>
      </c>
      <c r="C316" s="11">
        <v>7.6954098051831149E-4</v>
      </c>
      <c r="D316" s="11">
        <v>-7.5376685542296474E-3</v>
      </c>
      <c r="E316" s="11">
        <v>2.5205811574174723E-2</v>
      </c>
      <c r="F316" s="11">
        <v>-2.9738435877511571E-3</v>
      </c>
      <c r="G316" s="3">
        <f t="shared" si="16"/>
        <v>2.5611547260667694E-2</v>
      </c>
      <c r="H316" s="11"/>
      <c r="I316" s="17">
        <f t="shared" si="19"/>
        <v>47617</v>
      </c>
      <c r="J316" s="18">
        <f t="shared" si="17"/>
        <v>4.1615331964407938</v>
      </c>
      <c r="K316" s="7">
        <v>3.75</v>
      </c>
      <c r="L316" s="7">
        <v>-9.9382572676861604E-4</v>
      </c>
      <c r="M316" s="7">
        <v>1.2524491648998591E-2</v>
      </c>
      <c r="N316" s="7">
        <v>-5.0868356986369802E-2</v>
      </c>
      <c r="O316" s="7">
        <v>9.3170201860977769E-2</v>
      </c>
      <c r="P316" s="11">
        <f t="shared" si="18"/>
        <v>2.6757544169563969</v>
      </c>
    </row>
    <row r="317" spans="1:16" x14ac:dyDescent="0.25">
      <c r="A317" s="11">
        <v>3.05</v>
      </c>
      <c r="B317" s="7">
        <v>2.75</v>
      </c>
      <c r="C317" s="11">
        <v>7.6954098051831149E-4</v>
      </c>
      <c r="D317" s="11">
        <v>-7.5376685542296474E-3</v>
      </c>
      <c r="E317" s="11">
        <v>2.5205811574174723E-2</v>
      </c>
      <c r="F317" s="11">
        <v>-2.9738435877511571E-3</v>
      </c>
      <c r="G317" s="3">
        <f t="shared" si="16"/>
        <v>2.5618617650138814E-2</v>
      </c>
      <c r="H317" s="11"/>
      <c r="I317" s="17">
        <f t="shared" si="19"/>
        <v>47622</v>
      </c>
      <c r="J317" s="18">
        <f t="shared" si="17"/>
        <v>4.1752224503764541</v>
      </c>
      <c r="K317" s="7">
        <v>3.75</v>
      </c>
      <c r="L317" s="7">
        <v>-9.9382572676861604E-4</v>
      </c>
      <c r="M317" s="7">
        <v>1.2524491648998591E-2</v>
      </c>
      <c r="N317" s="7">
        <v>-5.0868356986369802E-2</v>
      </c>
      <c r="O317" s="7">
        <v>9.3170201860977769E-2</v>
      </c>
      <c r="P317" s="11">
        <f t="shared" si="18"/>
        <v>2.6781376377777386</v>
      </c>
    </row>
    <row r="318" spans="1:16" x14ac:dyDescent="0.25">
      <c r="A318" s="11">
        <v>3.06</v>
      </c>
      <c r="B318" s="7">
        <v>2.75</v>
      </c>
      <c r="C318" s="11">
        <v>7.6954098051831149E-4</v>
      </c>
      <c r="D318" s="11">
        <v>-7.5376685542296474E-3</v>
      </c>
      <c r="E318" s="11">
        <v>2.5205811574174723E-2</v>
      </c>
      <c r="F318" s="11">
        <v>-2.9738435877511571E-3</v>
      </c>
      <c r="G318" s="3">
        <f t="shared" si="16"/>
        <v>2.5625588765893437E-2</v>
      </c>
      <c r="H318" s="11"/>
      <c r="I318" s="17">
        <f t="shared" si="19"/>
        <v>47627</v>
      </c>
      <c r="J318" s="18">
        <f t="shared" si="17"/>
        <v>4.1889117043121153</v>
      </c>
      <c r="K318" s="7">
        <v>3.75</v>
      </c>
      <c r="L318" s="7">
        <v>-9.9382572676861604E-4</v>
      </c>
      <c r="M318" s="7">
        <v>1.2524491648998591E-2</v>
      </c>
      <c r="N318" s="7">
        <v>-5.0868356986369802E-2</v>
      </c>
      <c r="O318" s="7">
        <v>9.3170201860977769E-2</v>
      </c>
      <c r="P318" s="11">
        <f t="shared" si="18"/>
        <v>2.6805237130545945</v>
      </c>
    </row>
    <row r="319" spans="1:16" x14ac:dyDescent="0.25">
      <c r="A319" s="11">
        <v>3.07</v>
      </c>
      <c r="B319" s="7">
        <v>2.75</v>
      </c>
      <c r="C319" s="11">
        <v>7.6954098051831149E-4</v>
      </c>
      <c r="D319" s="11">
        <v>-7.5376685542296474E-3</v>
      </c>
      <c r="E319" s="11">
        <v>2.5205811574174723E-2</v>
      </c>
      <c r="F319" s="11">
        <v>-2.9738435877511571E-3</v>
      </c>
      <c r="G319" s="3">
        <f t="shared" si="16"/>
        <v>2.5632465225177425E-2</v>
      </c>
      <c r="H319" s="11"/>
      <c r="I319" s="17">
        <f t="shared" si="19"/>
        <v>47632</v>
      </c>
      <c r="J319" s="18">
        <f t="shared" si="17"/>
        <v>4.2026009582477757</v>
      </c>
      <c r="K319" s="7">
        <v>3.75</v>
      </c>
      <c r="L319" s="7">
        <v>-9.9382572676861604E-4</v>
      </c>
      <c r="M319" s="7">
        <v>1.2524491648998591E-2</v>
      </c>
      <c r="N319" s="7">
        <v>-5.0868356986369802E-2</v>
      </c>
      <c r="O319" s="7">
        <v>9.3170201860977769E-2</v>
      </c>
      <c r="P319" s="11">
        <f t="shared" si="18"/>
        <v>2.6829111131061287</v>
      </c>
    </row>
    <row r="320" spans="1:16" x14ac:dyDescent="0.25">
      <c r="A320" s="11">
        <v>3.08</v>
      </c>
      <c r="B320" s="7">
        <v>2.75</v>
      </c>
      <c r="C320" s="11">
        <v>7.6954098051831149E-4</v>
      </c>
      <c r="D320" s="11">
        <v>-7.5376685542296474E-3</v>
      </c>
      <c r="E320" s="11">
        <v>2.5205811574174723E-2</v>
      </c>
      <c r="F320" s="11">
        <v>-2.9738435877511571E-3</v>
      </c>
      <c r="G320" s="3">
        <f t="shared" si="16"/>
        <v>2.5639251645236713E-2</v>
      </c>
      <c r="H320" s="11"/>
      <c r="I320" s="17">
        <f t="shared" si="19"/>
        <v>47637</v>
      </c>
      <c r="J320" s="18">
        <f t="shared" si="17"/>
        <v>4.216290212183436</v>
      </c>
      <c r="K320" s="7">
        <v>3.75</v>
      </c>
      <c r="L320" s="7">
        <v>-9.9382572676861604E-4</v>
      </c>
      <c r="M320" s="7">
        <v>1.2524491648998591E-2</v>
      </c>
      <c r="N320" s="7">
        <v>-5.0868356986369802E-2</v>
      </c>
      <c r="O320" s="7">
        <v>9.3170201860977769E-2</v>
      </c>
      <c r="P320" s="11">
        <f t="shared" si="18"/>
        <v>2.6852983082515185</v>
      </c>
    </row>
    <row r="321" spans="1:16" x14ac:dyDescent="0.25">
      <c r="A321" s="11">
        <v>3.09</v>
      </c>
      <c r="B321" s="7">
        <v>2.75</v>
      </c>
      <c r="C321" s="11">
        <v>7.6954098051831149E-4</v>
      </c>
      <c r="D321" s="11">
        <v>-7.5376685542296474E-3</v>
      </c>
      <c r="E321" s="11">
        <v>2.5205811574174723E-2</v>
      </c>
      <c r="F321" s="11">
        <v>-2.9738435877511571E-3</v>
      </c>
      <c r="G321" s="3">
        <f t="shared" si="16"/>
        <v>2.5645952643317135E-2</v>
      </c>
      <c r="H321" s="11"/>
      <c r="I321" s="17">
        <f t="shared" si="19"/>
        <v>47642</v>
      </c>
      <c r="J321" s="18">
        <f t="shared" si="17"/>
        <v>4.2299794661190964</v>
      </c>
      <c r="K321" s="7">
        <v>3.75</v>
      </c>
      <c r="L321" s="7">
        <v>-9.9382572676861604E-4</v>
      </c>
      <c r="M321" s="7">
        <v>1.2524491648998591E-2</v>
      </c>
      <c r="N321" s="7">
        <v>-5.0868356986369802E-2</v>
      </c>
      <c r="O321" s="7">
        <v>9.3170201860977769E-2</v>
      </c>
      <c r="P321" s="11">
        <f t="shared" si="18"/>
        <v>2.6876837688099284</v>
      </c>
    </row>
    <row r="322" spans="1:16" x14ac:dyDescent="0.25">
      <c r="A322" s="11">
        <v>3.1</v>
      </c>
      <c r="B322" s="7">
        <v>2.75</v>
      </c>
      <c r="C322" s="11">
        <v>7.6954098051831149E-4</v>
      </c>
      <c r="D322" s="11">
        <v>-7.5376685542296474E-3</v>
      </c>
      <c r="E322" s="11">
        <v>2.5205811574174723E-2</v>
      </c>
      <c r="F322" s="11">
        <v>-2.9738435877511571E-3</v>
      </c>
      <c r="G322" s="3">
        <f t="shared" si="16"/>
        <v>2.5652572836664583E-2</v>
      </c>
      <c r="H322" s="11"/>
      <c r="I322" s="17">
        <f t="shared" si="19"/>
        <v>47647</v>
      </c>
      <c r="J322" s="18">
        <f t="shared" si="17"/>
        <v>4.2436687200547567</v>
      </c>
      <c r="K322" s="7">
        <v>3.75</v>
      </c>
      <c r="L322" s="7">
        <v>-9.9382572676861604E-4</v>
      </c>
      <c r="M322" s="7">
        <v>1.2524491648998591E-2</v>
      </c>
      <c r="N322" s="7">
        <v>-5.0868356986369802E-2</v>
      </c>
      <c r="O322" s="7">
        <v>9.3170201860977769E-2</v>
      </c>
      <c r="P322" s="11">
        <f t="shared" si="18"/>
        <v>2.6900659651005299</v>
      </c>
    </row>
    <row r="323" spans="1:16" x14ac:dyDescent="0.25">
      <c r="A323" s="11">
        <v>3.11</v>
      </c>
      <c r="B323" s="7">
        <v>2.75</v>
      </c>
      <c r="C323" s="11">
        <v>7.6954098051831149E-4</v>
      </c>
      <c r="D323" s="11">
        <v>-7.5376685542296474E-3</v>
      </c>
      <c r="E323" s="11">
        <v>2.5205811574174723E-2</v>
      </c>
      <c r="F323" s="11">
        <v>-2.9738435877511571E-3</v>
      </c>
      <c r="G323" s="3">
        <f t="shared" si="16"/>
        <v>2.5659116842524976E-2</v>
      </c>
      <c r="H323" s="11"/>
      <c r="I323" s="17">
        <f t="shared" si="19"/>
        <v>47652</v>
      </c>
      <c r="J323" s="18">
        <f t="shared" si="17"/>
        <v>4.2573579739904179</v>
      </c>
      <c r="K323" s="7">
        <v>3.75</v>
      </c>
      <c r="L323" s="7">
        <v>-9.9382572676861604E-4</v>
      </c>
      <c r="M323" s="7">
        <v>1.2524491648998591E-2</v>
      </c>
      <c r="N323" s="7">
        <v>-5.0868356986369802E-2</v>
      </c>
      <c r="O323" s="7">
        <v>9.3170201860977769E-2</v>
      </c>
      <c r="P323" s="11">
        <f t="shared" si="18"/>
        <v>2.6924433674424875</v>
      </c>
    </row>
    <row r="324" spans="1:16" x14ac:dyDescent="0.25">
      <c r="A324" s="11">
        <v>3.12</v>
      </c>
      <c r="B324" s="7">
        <v>2.75</v>
      </c>
      <c r="C324" s="11">
        <v>7.6954098051831149E-4</v>
      </c>
      <c r="D324" s="11">
        <v>-7.5376685542296474E-3</v>
      </c>
      <c r="E324" s="11">
        <v>2.5205811574174723E-2</v>
      </c>
      <c r="F324" s="11">
        <v>-2.9738435877511571E-3</v>
      </c>
      <c r="G324" s="3">
        <f t="shared" si="16"/>
        <v>2.5665589278144142E-2</v>
      </c>
      <c r="H324" s="11"/>
      <c r="I324" s="17">
        <f t="shared" si="19"/>
        <v>47657</v>
      </c>
      <c r="J324" s="18">
        <f t="shared" si="17"/>
        <v>4.2710472279260783</v>
      </c>
      <c r="K324" s="7">
        <v>3.75</v>
      </c>
      <c r="L324" s="7">
        <v>-9.9382572676861604E-4</v>
      </c>
      <c r="M324" s="7">
        <v>1.2524491648998591E-2</v>
      </c>
      <c r="N324" s="7">
        <v>-5.0868356986369802E-2</v>
      </c>
      <c r="O324" s="7">
        <v>9.3170201860977769E-2</v>
      </c>
      <c r="P324" s="11">
        <f t="shared" si="18"/>
        <v>2.6948144461549752</v>
      </c>
    </row>
    <row r="325" spans="1:16" x14ac:dyDescent="0.25">
      <c r="A325" s="11">
        <v>3.13</v>
      </c>
      <c r="B325" s="7">
        <v>2.75</v>
      </c>
      <c r="C325" s="11">
        <v>7.6954098051831149E-4</v>
      </c>
      <c r="D325" s="11">
        <v>-7.5376685542296474E-3</v>
      </c>
      <c r="E325" s="11">
        <v>2.5205811574174723E-2</v>
      </c>
      <c r="F325" s="11">
        <v>-2.9738435877511571E-3</v>
      </c>
      <c r="G325" s="3">
        <f t="shared" si="16"/>
        <v>2.5671994760768022E-2</v>
      </c>
      <c r="H325" s="11"/>
      <c r="I325" s="17">
        <f t="shared" si="19"/>
        <v>47662</v>
      </c>
      <c r="J325" s="18">
        <f t="shared" si="17"/>
        <v>4.2847364818617386</v>
      </c>
      <c r="K325" s="7">
        <v>3.75</v>
      </c>
      <c r="L325" s="7">
        <v>-9.9382572676861604E-4</v>
      </c>
      <c r="M325" s="7">
        <v>1.2524491648998591E-2</v>
      </c>
      <c r="N325" s="7">
        <v>-5.0868356986369802E-2</v>
      </c>
      <c r="O325" s="7">
        <v>9.3170201860977769E-2</v>
      </c>
      <c r="P325" s="11">
        <f t="shared" si="18"/>
        <v>2.697177671557152</v>
      </c>
    </row>
    <row r="326" spans="1:16" x14ac:dyDescent="0.25">
      <c r="A326" s="11">
        <v>3.14</v>
      </c>
      <c r="B326" s="7">
        <v>2.75</v>
      </c>
      <c r="C326" s="11">
        <v>7.6954098051831149E-4</v>
      </c>
      <c r="D326" s="11">
        <v>-7.5376685542296474E-3</v>
      </c>
      <c r="E326" s="11">
        <v>2.5205811574174723E-2</v>
      </c>
      <c r="F326" s="11">
        <v>-2.9738435877511571E-3</v>
      </c>
      <c r="G326" s="3">
        <f t="shared" si="16"/>
        <v>2.567833790764245E-2</v>
      </c>
      <c r="H326" s="11"/>
      <c r="I326" s="17">
        <f t="shared" si="19"/>
        <v>47667</v>
      </c>
      <c r="J326" s="18">
        <f t="shared" si="17"/>
        <v>4.2984257357973989</v>
      </c>
      <c r="K326" s="7">
        <v>3.75</v>
      </c>
      <c r="L326" s="7">
        <v>-9.9382572676861604E-4</v>
      </c>
      <c r="M326" s="7">
        <v>1.2524491648998591E-2</v>
      </c>
      <c r="N326" s="7">
        <v>-5.0868356986369802E-2</v>
      </c>
      <c r="O326" s="7">
        <v>9.3170201860977769E-2</v>
      </c>
      <c r="P326" s="11">
        <f t="shared" si="18"/>
        <v>2.6995315139681924</v>
      </c>
    </row>
    <row r="327" spans="1:16" x14ac:dyDescent="0.25">
      <c r="A327" s="11">
        <v>3.15</v>
      </c>
      <c r="B327" s="7">
        <v>2.75</v>
      </c>
      <c r="C327" s="11">
        <v>7.6954098051831149E-4</v>
      </c>
      <c r="D327" s="11">
        <v>-7.5376685542296474E-3</v>
      </c>
      <c r="E327" s="11">
        <v>2.5205811574174723E-2</v>
      </c>
      <c r="F327" s="11">
        <v>-2.9738435877511571E-3</v>
      </c>
      <c r="G327" s="3">
        <f t="shared" si="16"/>
        <v>2.5684623336013318E-2</v>
      </c>
      <c r="H327" s="11"/>
      <c r="I327" s="17">
        <f t="shared" si="19"/>
        <v>47672</v>
      </c>
      <c r="J327" s="18">
        <f t="shared" si="17"/>
        <v>4.3121149897330593</v>
      </c>
      <c r="K327" s="7">
        <v>3.75</v>
      </c>
      <c r="L327" s="7">
        <v>-9.9382572676861604E-4</v>
      </c>
      <c r="M327" s="7">
        <v>1.2524491648998591E-2</v>
      </c>
      <c r="N327" s="7">
        <v>-5.0868356986369802E-2</v>
      </c>
      <c r="O327" s="7">
        <v>9.3170201860977769E-2</v>
      </c>
      <c r="P327" s="11">
        <f t="shared" si="18"/>
        <v>2.7018744437072666</v>
      </c>
    </row>
    <row r="328" spans="1:16" x14ac:dyDescent="0.25">
      <c r="A328" s="11">
        <v>3.16</v>
      </c>
      <c r="B328" s="7">
        <v>2.75</v>
      </c>
      <c r="C328" s="11">
        <v>7.6954098051831149E-4</v>
      </c>
      <c r="D328" s="11">
        <v>-7.5376685542296474E-3</v>
      </c>
      <c r="E328" s="11">
        <v>2.5205811574174723E-2</v>
      </c>
      <c r="F328" s="11">
        <v>-2.9738435877511571E-3</v>
      </c>
      <c r="G328" s="3">
        <f t="shared" si="16"/>
        <v>2.5690855663126538E-2</v>
      </c>
      <c r="H328" s="11"/>
      <c r="I328" s="17">
        <f t="shared" si="19"/>
        <v>47677</v>
      </c>
      <c r="J328" s="18">
        <f t="shared" si="17"/>
        <v>4.3258042436687196</v>
      </c>
      <c r="K328" s="7">
        <v>3.75</v>
      </c>
      <c r="L328" s="7">
        <v>-9.9382572676861604E-4</v>
      </c>
      <c r="M328" s="7">
        <v>1.2524491648998591E-2</v>
      </c>
      <c r="N328" s="7">
        <v>-5.0868356986369802E-2</v>
      </c>
      <c r="O328" s="7">
        <v>9.3170201860977769E-2</v>
      </c>
      <c r="P328" s="11">
        <f t="shared" si="18"/>
        <v>2.704204931093543</v>
      </c>
    </row>
    <row r="329" spans="1:16" x14ac:dyDescent="0.25">
      <c r="A329" s="11">
        <v>3.17</v>
      </c>
      <c r="B329" s="7">
        <v>2.75</v>
      </c>
      <c r="C329" s="11">
        <v>7.6954098051831149E-4</v>
      </c>
      <c r="D329" s="11">
        <v>-7.5376685542296474E-3</v>
      </c>
      <c r="E329" s="11">
        <v>2.5205811574174723E-2</v>
      </c>
      <c r="F329" s="11">
        <v>-2.9738435877511571E-3</v>
      </c>
      <c r="G329" s="3">
        <f t="shared" si="16"/>
        <v>2.5697039506227974E-2</v>
      </c>
      <c r="H329" s="11"/>
      <c r="I329" s="17">
        <f t="shared" si="19"/>
        <v>47682</v>
      </c>
      <c r="J329" s="18">
        <f t="shared" si="17"/>
        <v>4.3394934976043809</v>
      </c>
      <c r="K329" s="7">
        <v>3.75</v>
      </c>
      <c r="L329" s="7">
        <v>-9.9382572676861604E-4</v>
      </c>
      <c r="M329" s="7">
        <v>1.2524491648998591E-2</v>
      </c>
      <c r="N329" s="7">
        <v>-5.0868356986369802E-2</v>
      </c>
      <c r="O329" s="7">
        <v>9.3170201860977769E-2</v>
      </c>
      <c r="P329" s="11">
        <f t="shared" si="18"/>
        <v>2.7065214464461862</v>
      </c>
    </row>
    <row r="330" spans="1:16" x14ac:dyDescent="0.25">
      <c r="A330" s="11">
        <v>3.18</v>
      </c>
      <c r="B330" s="7">
        <v>2.75</v>
      </c>
      <c r="C330" s="11">
        <v>7.6954098051831149E-4</v>
      </c>
      <c r="D330" s="11">
        <v>-7.5376685542296474E-3</v>
      </c>
      <c r="E330" s="11">
        <v>2.5205811574174723E-2</v>
      </c>
      <c r="F330" s="11">
        <v>-2.9738435877511571E-3</v>
      </c>
      <c r="G330" s="3">
        <f t="shared" si="16"/>
        <v>2.570317948256351E-2</v>
      </c>
      <c r="H330" s="11"/>
      <c r="I330" s="17">
        <f t="shared" si="19"/>
        <v>47687</v>
      </c>
      <c r="J330" s="18">
        <f t="shared" si="17"/>
        <v>4.3531827515400412</v>
      </c>
      <c r="K330" s="7">
        <v>3.75</v>
      </c>
      <c r="L330" s="7">
        <v>-9.9382572676861604E-4</v>
      </c>
      <c r="M330" s="7">
        <v>1.2524491648998591E-2</v>
      </c>
      <c r="N330" s="7">
        <v>-5.0868356986369802E-2</v>
      </c>
      <c r="O330" s="7">
        <v>9.3170201860977769E-2</v>
      </c>
      <c r="P330" s="11">
        <f t="shared" si="18"/>
        <v>2.7088224600843676</v>
      </c>
    </row>
    <row r="331" spans="1:16" x14ac:dyDescent="0.25">
      <c r="A331" s="11">
        <v>3.19</v>
      </c>
      <c r="B331" s="7">
        <v>2.75</v>
      </c>
      <c r="C331" s="11">
        <v>7.6954098051831149E-4</v>
      </c>
      <c r="D331" s="11">
        <v>-7.5376685542296474E-3</v>
      </c>
      <c r="E331" s="11">
        <v>2.5205811574174723E-2</v>
      </c>
      <c r="F331" s="11">
        <v>-2.9738435877511571E-3</v>
      </c>
      <c r="G331" s="3">
        <f t="shared" si="16"/>
        <v>2.5709280209379022E-2</v>
      </c>
      <c r="H331" s="11"/>
      <c r="I331" s="17">
        <f t="shared" si="19"/>
        <v>47692</v>
      </c>
      <c r="J331" s="18">
        <f t="shared" si="17"/>
        <v>4.3668720054757015</v>
      </c>
      <c r="K331" s="7">
        <v>3.75</v>
      </c>
      <c r="L331" s="7">
        <v>-9.9382572676861604E-4</v>
      </c>
      <c r="M331" s="7">
        <v>1.2524491648998591E-2</v>
      </c>
      <c r="N331" s="7">
        <v>-5.0868356986369802E-2</v>
      </c>
      <c r="O331" s="7">
        <v>9.3170201860977769E-2</v>
      </c>
      <c r="P331" s="11">
        <f t="shared" si="18"/>
        <v>2.7111064423272575</v>
      </c>
    </row>
    <row r="332" spans="1:16" x14ac:dyDescent="0.25">
      <c r="A332" s="11">
        <v>3.2</v>
      </c>
      <c r="B332" s="7">
        <v>2.75</v>
      </c>
      <c r="C332" s="11">
        <v>7.6954098051831149E-4</v>
      </c>
      <c r="D332" s="11">
        <v>-7.5376685542296474E-3</v>
      </c>
      <c r="E332" s="11">
        <v>2.5205811574174723E-2</v>
      </c>
      <c r="F332" s="11">
        <v>-2.9738435877511571E-3</v>
      </c>
      <c r="G332" s="3">
        <f t="shared" si="16"/>
        <v>2.5715346303920389E-2</v>
      </c>
      <c r="H332" s="11"/>
      <c r="I332" s="17">
        <f t="shared" si="19"/>
        <v>47697</v>
      </c>
      <c r="J332" s="18">
        <f t="shared" si="17"/>
        <v>4.3805612594113619</v>
      </c>
      <c r="K332" s="7">
        <v>3.75</v>
      </c>
      <c r="L332" s="7">
        <v>-9.9382572676861604E-4</v>
      </c>
      <c r="M332" s="7">
        <v>1.2524491648998591E-2</v>
      </c>
      <c r="N332" s="7">
        <v>-5.0868356986369802E-2</v>
      </c>
      <c r="O332" s="7">
        <v>9.3170201860977769E-2</v>
      </c>
      <c r="P332" s="11">
        <f t="shared" si="18"/>
        <v>2.7133718634940243</v>
      </c>
    </row>
    <row r="333" spans="1:16" x14ac:dyDescent="0.25">
      <c r="A333" s="11">
        <v>3.21</v>
      </c>
      <c r="B333" s="7">
        <v>2.75</v>
      </c>
      <c r="C333" s="11">
        <v>7.6954098051831149E-4</v>
      </c>
      <c r="D333" s="11">
        <v>-7.5376685542296474E-3</v>
      </c>
      <c r="E333" s="11">
        <v>2.5205811574174723E-2</v>
      </c>
      <c r="F333" s="11">
        <v>-2.9738435877511571E-3</v>
      </c>
      <c r="G333" s="3">
        <f t="shared" ref="G333:G396" si="20">C333*A333^3 + D333*A333^2 + E333*A333 + F333</f>
        <v>2.5721382383433522E-2</v>
      </c>
      <c r="H333" s="11"/>
      <c r="I333" s="17">
        <f t="shared" si="19"/>
        <v>47702</v>
      </c>
      <c r="J333" s="18">
        <f t="shared" ref="J333:J396" si="21">(I333-$I$12)/365.25</f>
        <v>4.3942505133470222</v>
      </c>
      <c r="K333" s="7">
        <v>3.75</v>
      </c>
      <c r="L333" s="7">
        <v>-9.9382572676861604E-4</v>
      </c>
      <c r="M333" s="7">
        <v>1.2524491648998591E-2</v>
      </c>
      <c r="N333" s="7">
        <v>-5.0868356986369802E-2</v>
      </c>
      <c r="O333" s="7">
        <v>9.3170201860977769E-2</v>
      </c>
      <c r="P333" s="11">
        <f t="shared" ref="P333:P396" si="22">100*(L333*J333^3 + M333*J333^2 + N333*J333 + O333)</f>
        <v>2.7156171939038298</v>
      </c>
    </row>
    <row r="334" spans="1:16" x14ac:dyDescent="0.25">
      <c r="A334" s="11">
        <v>3.22</v>
      </c>
      <c r="B334" s="7">
        <v>2.75</v>
      </c>
      <c r="C334" s="11">
        <v>7.6954098051831149E-4</v>
      </c>
      <c r="D334" s="11">
        <v>-7.5376685542296474E-3</v>
      </c>
      <c r="E334" s="11">
        <v>2.5205811574174723E-2</v>
      </c>
      <c r="F334" s="11">
        <v>-2.9738435877511571E-3</v>
      </c>
      <c r="G334" s="3">
        <f t="shared" si="20"/>
        <v>2.5727393065164292E-2</v>
      </c>
      <c r="H334" s="11"/>
      <c r="I334" s="17">
        <f t="shared" ref="I334:I397" si="23">I333+5</f>
        <v>47707</v>
      </c>
      <c r="J334" s="18">
        <f t="shared" si="21"/>
        <v>4.4079397672826834</v>
      </c>
      <c r="K334" s="7">
        <v>3.75</v>
      </c>
      <c r="L334" s="7">
        <v>-9.9382572676861604E-4</v>
      </c>
      <c r="M334" s="7">
        <v>1.2524491648998591E-2</v>
      </c>
      <c r="N334" s="7">
        <v>-5.0868356986369802E-2</v>
      </c>
      <c r="O334" s="7">
        <v>9.3170201860977769E-2</v>
      </c>
      <c r="P334" s="11">
        <f t="shared" si="22"/>
        <v>2.7178409038758482</v>
      </c>
    </row>
    <row r="335" spans="1:16" x14ac:dyDescent="0.25">
      <c r="A335" s="11">
        <v>3.23</v>
      </c>
      <c r="B335" s="7">
        <v>2.75</v>
      </c>
      <c r="C335" s="11">
        <v>7.6954098051831149E-4</v>
      </c>
      <c r="D335" s="11">
        <v>-7.5376685542296474E-3</v>
      </c>
      <c r="E335" s="11">
        <v>2.5205811574174723E-2</v>
      </c>
      <c r="F335" s="11">
        <v>-2.9738435877511571E-3</v>
      </c>
      <c r="G335" s="3">
        <f t="shared" si="20"/>
        <v>2.5733382966358583E-2</v>
      </c>
      <c r="H335" s="11"/>
      <c r="I335" s="17">
        <f t="shared" si="23"/>
        <v>47712</v>
      </c>
      <c r="J335" s="18">
        <f t="shared" si="21"/>
        <v>4.4216290212183438</v>
      </c>
      <c r="K335" s="7">
        <v>3.75</v>
      </c>
      <c r="L335" s="7">
        <v>-9.9382572676861604E-4</v>
      </c>
      <c r="M335" s="7">
        <v>1.2524491648998591E-2</v>
      </c>
      <c r="N335" s="7">
        <v>-5.0868356986369802E-2</v>
      </c>
      <c r="O335" s="7">
        <v>9.3170201860977769E-2</v>
      </c>
      <c r="P335" s="11">
        <f t="shared" si="22"/>
        <v>2.7200414637292476</v>
      </c>
    </row>
    <row r="336" spans="1:16" x14ac:dyDescent="0.25">
      <c r="A336" s="11">
        <v>3.24</v>
      </c>
      <c r="B336" s="7">
        <v>2.75</v>
      </c>
      <c r="C336" s="11">
        <v>7.6954098051831149E-4</v>
      </c>
      <c r="D336" s="11">
        <v>-7.5376685542296474E-3</v>
      </c>
      <c r="E336" s="11">
        <v>2.5205811574174723E-2</v>
      </c>
      <c r="F336" s="11">
        <v>-2.9738435877511571E-3</v>
      </c>
      <c r="G336" s="3">
        <f t="shared" si="20"/>
        <v>2.5739356704262251E-2</v>
      </c>
      <c r="H336" s="11"/>
      <c r="I336" s="17">
        <f t="shared" si="23"/>
        <v>47717</v>
      </c>
      <c r="J336" s="18">
        <f t="shared" si="21"/>
        <v>4.4353182751540041</v>
      </c>
      <c r="K336" s="7">
        <v>3.75</v>
      </c>
      <c r="L336" s="7">
        <v>-9.9382572676861604E-4</v>
      </c>
      <c r="M336" s="7">
        <v>1.2524491648998591E-2</v>
      </c>
      <c r="N336" s="7">
        <v>-5.0868356986369802E-2</v>
      </c>
      <c r="O336" s="7">
        <v>9.3170201860977769E-2</v>
      </c>
      <c r="P336" s="11">
        <f t="shared" si="22"/>
        <v>2.7222173437831954</v>
      </c>
    </row>
    <row r="337" spans="1:16" x14ac:dyDescent="0.25">
      <c r="A337" s="11">
        <v>3.25</v>
      </c>
      <c r="B337" s="7">
        <v>2.75</v>
      </c>
      <c r="C337" s="11">
        <v>7.6954098051831149E-4</v>
      </c>
      <c r="D337" s="11">
        <v>-7.5376685542296474E-3</v>
      </c>
      <c r="E337" s="11">
        <v>2.5205811574174723E-2</v>
      </c>
      <c r="F337" s="11">
        <v>-2.9738435877511571E-3</v>
      </c>
      <c r="G337" s="3">
        <f t="shared" si="20"/>
        <v>2.5745318896121194E-2</v>
      </c>
      <c r="H337" s="11"/>
      <c r="I337" s="17">
        <f t="shared" si="23"/>
        <v>47722</v>
      </c>
      <c r="J337" s="18">
        <f t="shared" si="21"/>
        <v>4.4490075290896645</v>
      </c>
      <c r="K337" s="7">
        <v>3.75</v>
      </c>
      <c r="L337" s="7">
        <v>-9.9382572676861604E-4</v>
      </c>
      <c r="M337" s="7">
        <v>1.2524491648998591E-2</v>
      </c>
      <c r="N337" s="7">
        <v>-5.0868356986369802E-2</v>
      </c>
      <c r="O337" s="7">
        <v>9.3170201860977769E-2</v>
      </c>
      <c r="P337" s="11">
        <f t="shared" si="22"/>
        <v>2.7243670143568597</v>
      </c>
    </row>
    <row r="338" spans="1:16" x14ac:dyDescent="0.25">
      <c r="A338" s="11">
        <v>3.26</v>
      </c>
      <c r="B338" s="7">
        <v>2.75</v>
      </c>
      <c r="C338" s="11">
        <v>7.6954098051831149E-4</v>
      </c>
      <c r="D338" s="11">
        <v>-7.5376685542296474E-3</v>
      </c>
      <c r="E338" s="11">
        <v>2.5205811574174723E-2</v>
      </c>
      <c r="F338" s="11">
        <v>-2.9738435877511571E-3</v>
      </c>
      <c r="G338" s="3">
        <f t="shared" si="20"/>
        <v>2.5751274159181332E-2</v>
      </c>
      <c r="H338" s="11"/>
      <c r="I338" s="17">
        <f t="shared" si="23"/>
        <v>47727</v>
      </c>
      <c r="J338" s="18">
        <f t="shared" si="21"/>
        <v>4.4626967830253248</v>
      </c>
      <c r="K338" s="7">
        <v>3.75</v>
      </c>
      <c r="L338" s="7">
        <v>-9.9382572676861604E-4</v>
      </c>
      <c r="M338" s="7">
        <v>1.2524491648998591E-2</v>
      </c>
      <c r="N338" s="7">
        <v>-5.0868356986369802E-2</v>
      </c>
      <c r="O338" s="7">
        <v>9.3170201860977769E-2</v>
      </c>
      <c r="P338" s="11">
        <f t="shared" si="22"/>
        <v>2.7264889457694204</v>
      </c>
    </row>
    <row r="339" spans="1:16" x14ac:dyDescent="0.25">
      <c r="A339" s="11">
        <v>3.27</v>
      </c>
      <c r="B339" s="7">
        <v>2.75</v>
      </c>
      <c r="C339" s="11">
        <v>7.6954098051831149E-4</v>
      </c>
      <c r="D339" s="11">
        <v>-7.5376685542296474E-3</v>
      </c>
      <c r="E339" s="11">
        <v>2.5205811574174723E-2</v>
      </c>
      <c r="F339" s="11">
        <v>-2.9738435877511571E-3</v>
      </c>
      <c r="G339" s="3">
        <f t="shared" si="20"/>
        <v>2.5757227110688508E-2</v>
      </c>
      <c r="H339" s="11"/>
      <c r="I339" s="17">
        <f t="shared" si="23"/>
        <v>47732</v>
      </c>
      <c r="J339" s="18">
        <f t="shared" si="21"/>
        <v>4.476386036960986</v>
      </c>
      <c r="K339" s="7">
        <v>3.75</v>
      </c>
      <c r="L339" s="7">
        <v>-9.9382572676861604E-4</v>
      </c>
      <c r="M339" s="7">
        <v>1.2524491648998591E-2</v>
      </c>
      <c r="N339" s="7">
        <v>-5.0868356986369802E-2</v>
      </c>
      <c r="O339" s="7">
        <v>9.3170201860977769E-2</v>
      </c>
      <c r="P339" s="11">
        <f t="shared" si="22"/>
        <v>2.7285816083400247</v>
      </c>
    </row>
    <row r="340" spans="1:16" x14ac:dyDescent="0.25">
      <c r="A340" s="11">
        <v>3.28</v>
      </c>
      <c r="B340" s="7">
        <v>2.75</v>
      </c>
      <c r="C340" s="11">
        <v>7.6954098051831149E-4</v>
      </c>
      <c r="D340" s="11">
        <v>-7.5376685542296474E-3</v>
      </c>
      <c r="E340" s="11">
        <v>2.5205811574174723E-2</v>
      </c>
      <c r="F340" s="11">
        <v>-2.9738435877511571E-3</v>
      </c>
      <c r="G340" s="3">
        <f t="shared" si="20"/>
        <v>2.5763182367888604E-2</v>
      </c>
      <c r="H340" s="11"/>
      <c r="I340" s="17">
        <f t="shared" si="23"/>
        <v>47737</v>
      </c>
      <c r="J340" s="18">
        <f t="shared" si="21"/>
        <v>4.4900752908966464</v>
      </c>
      <c r="K340" s="7">
        <v>3.75</v>
      </c>
      <c r="L340" s="7">
        <v>-9.9382572676861604E-4</v>
      </c>
      <c r="M340" s="7">
        <v>1.2524491648998591E-2</v>
      </c>
      <c r="N340" s="7">
        <v>-5.0868356986369802E-2</v>
      </c>
      <c r="O340" s="7">
        <v>9.3170201860977769E-2</v>
      </c>
      <c r="P340" s="11">
        <f t="shared" si="22"/>
        <v>2.7306434723878614</v>
      </c>
    </row>
    <row r="341" spans="1:16" x14ac:dyDescent="0.25">
      <c r="A341" s="11">
        <v>3.29</v>
      </c>
      <c r="B341" s="7">
        <v>2.75</v>
      </c>
      <c r="C341" s="11">
        <v>7.6954098051831149E-4</v>
      </c>
      <c r="D341" s="11">
        <v>-7.5376685542296474E-3</v>
      </c>
      <c r="E341" s="11">
        <v>2.5205811574174723E-2</v>
      </c>
      <c r="F341" s="11">
        <v>-2.9738435877511571E-3</v>
      </c>
      <c r="G341" s="3">
        <f t="shared" si="20"/>
        <v>2.576914454802752E-2</v>
      </c>
      <c r="H341" s="11"/>
      <c r="I341" s="17">
        <f t="shared" si="23"/>
        <v>47742</v>
      </c>
      <c r="J341" s="18">
        <f t="shared" si="21"/>
        <v>4.5037645448323067</v>
      </c>
      <c r="K341" s="7">
        <v>3.75</v>
      </c>
      <c r="L341" s="7">
        <v>-9.9382572676861604E-4</v>
      </c>
      <c r="M341" s="7">
        <v>1.2524491648998591E-2</v>
      </c>
      <c r="N341" s="7">
        <v>-5.0868356986369802E-2</v>
      </c>
      <c r="O341" s="7">
        <v>9.3170201860977769E-2</v>
      </c>
      <c r="P341" s="11">
        <f t="shared" si="22"/>
        <v>2.7326730082320809</v>
      </c>
    </row>
    <row r="342" spans="1:16" x14ac:dyDescent="0.25">
      <c r="A342" s="11">
        <v>3.3</v>
      </c>
      <c r="B342" s="7">
        <v>2.75</v>
      </c>
      <c r="C342" s="11">
        <v>7.6954098051831149E-4</v>
      </c>
      <c r="D342" s="11">
        <v>-7.5376685542296474E-3</v>
      </c>
      <c r="E342" s="11">
        <v>2.5205811574174723E-2</v>
      </c>
      <c r="F342" s="11">
        <v>-2.9738435877511571E-3</v>
      </c>
      <c r="G342" s="3">
        <f t="shared" si="20"/>
        <v>2.5775118268351126E-2</v>
      </c>
      <c r="H342" s="11"/>
      <c r="I342" s="17">
        <f t="shared" si="23"/>
        <v>47747</v>
      </c>
      <c r="J342" s="18">
        <f t="shared" si="21"/>
        <v>4.517453798767967</v>
      </c>
      <c r="K342" s="7">
        <v>3.75</v>
      </c>
      <c r="L342" s="7">
        <v>-9.9382572676861604E-4</v>
      </c>
      <c r="M342" s="7">
        <v>1.2524491648998591E-2</v>
      </c>
      <c r="N342" s="7">
        <v>-5.0868356986369802E-2</v>
      </c>
      <c r="O342" s="7">
        <v>9.3170201860977769E-2</v>
      </c>
      <c r="P342" s="11">
        <f t="shared" si="22"/>
        <v>2.7346686861918683</v>
      </c>
    </row>
    <row r="343" spans="1:16" x14ac:dyDescent="0.25">
      <c r="A343" s="11">
        <v>3.31</v>
      </c>
      <c r="B343" s="7">
        <v>2.75</v>
      </c>
      <c r="C343" s="11">
        <v>7.6954098051831149E-4</v>
      </c>
      <c r="D343" s="11">
        <v>-7.5376685542296474E-3</v>
      </c>
      <c r="E343" s="11">
        <v>2.5205811574174723E-2</v>
      </c>
      <c r="F343" s="11">
        <v>-2.9738435877511571E-3</v>
      </c>
      <c r="G343" s="3">
        <f t="shared" si="20"/>
        <v>2.5781108146105333E-2</v>
      </c>
      <c r="H343" s="11"/>
      <c r="I343" s="17">
        <f t="shared" si="23"/>
        <v>47752</v>
      </c>
      <c r="J343" s="18">
        <f t="shared" si="21"/>
        <v>4.5311430527036274</v>
      </c>
      <c r="K343" s="7">
        <v>3.75</v>
      </c>
      <c r="L343" s="7">
        <v>-9.9382572676861604E-4</v>
      </c>
      <c r="M343" s="7">
        <v>1.2524491648998591E-2</v>
      </c>
      <c r="N343" s="7">
        <v>-5.0868356986369802E-2</v>
      </c>
      <c r="O343" s="7">
        <v>9.3170201860977769E-2</v>
      </c>
      <c r="P343" s="11">
        <f t="shared" si="22"/>
        <v>2.7366289765863803</v>
      </c>
    </row>
    <row r="344" spans="1:16" x14ac:dyDescent="0.25">
      <c r="A344" s="11">
        <v>3.32</v>
      </c>
      <c r="B344" s="7">
        <v>2.75</v>
      </c>
      <c r="C344" s="11">
        <v>7.6954098051831149E-4</v>
      </c>
      <c r="D344" s="11">
        <v>-7.5376685542296474E-3</v>
      </c>
      <c r="E344" s="11">
        <v>2.5205811574174723E-2</v>
      </c>
      <c r="F344" s="11">
        <v>-2.9738435877511571E-3</v>
      </c>
      <c r="G344" s="3">
        <f t="shared" si="20"/>
        <v>2.5787118798535978E-2</v>
      </c>
      <c r="H344" s="11"/>
      <c r="I344" s="17">
        <f t="shared" si="23"/>
        <v>47757</v>
      </c>
      <c r="J344" s="18">
        <f t="shared" si="21"/>
        <v>4.5448323066392877</v>
      </c>
      <c r="K344" s="7">
        <v>3.75</v>
      </c>
      <c r="L344" s="7">
        <v>-9.9382572676861604E-4</v>
      </c>
      <c r="M344" s="7">
        <v>1.2524491648998591E-2</v>
      </c>
      <c r="N344" s="7">
        <v>-5.0868356986369802E-2</v>
      </c>
      <c r="O344" s="7">
        <v>9.3170201860977769E-2</v>
      </c>
      <c r="P344" s="11">
        <f t="shared" si="22"/>
        <v>2.7385523497347908</v>
      </c>
    </row>
    <row r="345" spans="1:16" x14ac:dyDescent="0.25">
      <c r="A345" s="11">
        <v>3.33</v>
      </c>
      <c r="B345" s="7">
        <v>2.75</v>
      </c>
      <c r="C345" s="11">
        <v>7.6954098051831149E-4</v>
      </c>
      <c r="D345" s="11">
        <v>-7.5376685542296474E-3</v>
      </c>
      <c r="E345" s="11">
        <v>2.5205811574174723E-2</v>
      </c>
      <c r="F345" s="11">
        <v>-2.9738435877511571E-3</v>
      </c>
      <c r="G345" s="3">
        <f t="shared" si="20"/>
        <v>2.5793154842888993E-2</v>
      </c>
      <c r="H345" s="11"/>
      <c r="I345" s="17">
        <f t="shared" si="23"/>
        <v>47762</v>
      </c>
      <c r="J345" s="18">
        <f t="shared" si="21"/>
        <v>4.5585215605749489</v>
      </c>
      <c r="K345" s="7">
        <v>3.75</v>
      </c>
      <c r="L345" s="7">
        <v>-9.9382572676861604E-4</v>
      </c>
      <c r="M345" s="7">
        <v>1.2524491648998591E-2</v>
      </c>
      <c r="N345" s="7">
        <v>-5.0868356986369802E-2</v>
      </c>
      <c r="O345" s="7">
        <v>9.3170201860977769E-2</v>
      </c>
      <c r="P345" s="11">
        <f t="shared" si="22"/>
        <v>2.740437275956273</v>
      </c>
    </row>
    <row r="346" spans="1:16" x14ac:dyDescent="0.25">
      <c r="A346" s="11">
        <v>3.34</v>
      </c>
      <c r="B346" s="7">
        <v>2.75</v>
      </c>
      <c r="C346" s="11">
        <v>7.6954098051831149E-4</v>
      </c>
      <c r="D346" s="11">
        <v>-7.5376685542296474E-3</v>
      </c>
      <c r="E346" s="11">
        <v>2.5205811574174723E-2</v>
      </c>
      <c r="F346" s="11">
        <v>-2.9738435877511571E-3</v>
      </c>
      <c r="G346" s="3">
        <f t="shared" si="20"/>
        <v>2.5799220896410215E-2</v>
      </c>
      <c r="H346" s="11"/>
      <c r="I346" s="17">
        <f t="shared" si="23"/>
        <v>47767</v>
      </c>
      <c r="J346" s="18">
        <f t="shared" si="21"/>
        <v>4.5722108145106093</v>
      </c>
      <c r="K346" s="7">
        <v>3.75</v>
      </c>
      <c r="L346" s="7">
        <v>-9.9382572676861604E-4</v>
      </c>
      <c r="M346" s="7">
        <v>1.2524491648998591E-2</v>
      </c>
      <c r="N346" s="7">
        <v>-5.0868356986369802E-2</v>
      </c>
      <c r="O346" s="7">
        <v>9.3170201860977769E-2</v>
      </c>
      <c r="P346" s="11">
        <f t="shared" si="22"/>
        <v>2.7422822255699835</v>
      </c>
    </row>
    <row r="347" spans="1:16" x14ac:dyDescent="0.25">
      <c r="A347" s="11">
        <v>3.35</v>
      </c>
      <c r="B347" s="7">
        <v>2.75</v>
      </c>
      <c r="C347" s="11">
        <v>7.6954098051831149E-4</v>
      </c>
      <c r="D347" s="11">
        <v>-7.5376685542296474E-3</v>
      </c>
      <c r="E347" s="11">
        <v>2.5205811574174723E-2</v>
      </c>
      <c r="F347" s="11">
        <v>-2.9738435877511571E-3</v>
      </c>
      <c r="G347" s="3">
        <f t="shared" si="20"/>
        <v>2.5805321576345561E-2</v>
      </c>
      <c r="H347" s="11"/>
      <c r="I347" s="17">
        <f t="shared" si="23"/>
        <v>47772</v>
      </c>
      <c r="J347" s="18">
        <f t="shared" si="21"/>
        <v>4.5859000684462696</v>
      </c>
      <c r="K347" s="7">
        <v>3.75</v>
      </c>
      <c r="L347" s="7">
        <v>-9.9382572676861604E-4</v>
      </c>
      <c r="M347" s="7">
        <v>1.2524491648998591E-2</v>
      </c>
      <c r="N347" s="7">
        <v>-5.0868356986369802E-2</v>
      </c>
      <c r="O347" s="7">
        <v>9.3170201860977769E-2</v>
      </c>
      <c r="P347" s="11">
        <f t="shared" si="22"/>
        <v>2.7440856688951047</v>
      </c>
    </row>
    <row r="348" spans="1:16" x14ac:dyDescent="0.25">
      <c r="A348" s="11">
        <v>3.36</v>
      </c>
      <c r="B348" s="7">
        <v>2.75</v>
      </c>
      <c r="C348" s="11">
        <v>7.6954098051831149E-4</v>
      </c>
      <c r="D348" s="11">
        <v>-7.5376685542296474E-3</v>
      </c>
      <c r="E348" s="11">
        <v>2.5205811574174723E-2</v>
      </c>
      <c r="F348" s="11">
        <v>-2.9738435877511571E-3</v>
      </c>
      <c r="G348" s="3">
        <f t="shared" si="20"/>
        <v>2.5811461499940916E-2</v>
      </c>
      <c r="H348" s="11"/>
      <c r="I348" s="17">
        <f t="shared" si="23"/>
        <v>47777</v>
      </c>
      <c r="J348" s="18">
        <f t="shared" si="21"/>
        <v>4.59958932238193</v>
      </c>
      <c r="K348" s="7">
        <v>3.75</v>
      </c>
      <c r="L348" s="7">
        <v>-9.9382572676861604E-4</v>
      </c>
      <c r="M348" s="7">
        <v>1.2524491648998591E-2</v>
      </c>
      <c r="N348" s="7">
        <v>-5.0868356986369802E-2</v>
      </c>
      <c r="O348" s="7">
        <v>9.3170201860977769E-2</v>
      </c>
      <c r="P348" s="11">
        <f t="shared" si="22"/>
        <v>2.7458460762507908</v>
      </c>
    </row>
    <row r="349" spans="1:16" x14ac:dyDescent="0.25">
      <c r="A349" s="11">
        <v>3.37</v>
      </c>
      <c r="B349" s="7">
        <v>2.75</v>
      </c>
      <c r="C349" s="11">
        <v>7.6954098051831149E-4</v>
      </c>
      <c r="D349" s="11">
        <v>-7.5376685542296474E-3</v>
      </c>
      <c r="E349" s="11">
        <v>2.5205811574174723E-2</v>
      </c>
      <c r="F349" s="11">
        <v>-2.9738435877511571E-3</v>
      </c>
      <c r="G349" s="3">
        <f t="shared" si="20"/>
        <v>2.5817645284442123E-2</v>
      </c>
      <c r="H349" s="11"/>
      <c r="I349" s="17">
        <f t="shared" si="23"/>
        <v>47782</v>
      </c>
      <c r="J349" s="18">
        <f t="shared" si="21"/>
        <v>4.6132785763175903</v>
      </c>
      <c r="K349" s="7">
        <v>3.75</v>
      </c>
      <c r="L349" s="7">
        <v>-9.9382572676861604E-4</v>
      </c>
      <c r="M349" s="7">
        <v>1.2524491648998591E-2</v>
      </c>
      <c r="N349" s="7">
        <v>-5.0868356986369802E-2</v>
      </c>
      <c r="O349" s="7">
        <v>9.3170201860977769E-2</v>
      </c>
      <c r="P349" s="11">
        <f t="shared" si="22"/>
        <v>2.7475619179562178</v>
      </c>
    </row>
    <row r="350" spans="1:16" x14ac:dyDescent="0.25">
      <c r="A350" s="11">
        <v>3.38</v>
      </c>
      <c r="B350" s="7">
        <v>2.75</v>
      </c>
      <c r="C350" s="11">
        <v>7.6954098051831149E-4</v>
      </c>
      <c r="D350" s="11">
        <v>-7.5376685542296474E-3</v>
      </c>
      <c r="E350" s="11">
        <v>2.5205811574174723E-2</v>
      </c>
      <c r="F350" s="11">
        <v>-2.9738435877511571E-3</v>
      </c>
      <c r="G350" s="3">
        <f t="shared" si="20"/>
        <v>2.5823877547095114E-2</v>
      </c>
      <c r="H350" s="11"/>
      <c r="I350" s="17">
        <f t="shared" si="23"/>
        <v>47787</v>
      </c>
      <c r="J350" s="18">
        <f t="shared" si="21"/>
        <v>4.6269678302532515</v>
      </c>
      <c r="K350" s="7">
        <v>3.75</v>
      </c>
      <c r="L350" s="7">
        <v>-9.9382572676861604E-4</v>
      </c>
      <c r="M350" s="7">
        <v>1.2524491648998591E-2</v>
      </c>
      <c r="N350" s="7">
        <v>-5.0868356986369802E-2</v>
      </c>
      <c r="O350" s="7">
        <v>9.3170201860977769E-2</v>
      </c>
      <c r="P350" s="11">
        <f t="shared" si="22"/>
        <v>2.7492316643305621</v>
      </c>
    </row>
    <row r="351" spans="1:16" x14ac:dyDescent="0.25">
      <c r="A351" s="11">
        <v>3.39</v>
      </c>
      <c r="B351" s="7">
        <v>2.75</v>
      </c>
      <c r="C351" s="11">
        <v>7.6954098051831149E-4</v>
      </c>
      <c r="D351" s="11">
        <v>-7.5376685542296474E-3</v>
      </c>
      <c r="E351" s="11">
        <v>2.5205811574174723E-2</v>
      </c>
      <c r="F351" s="11">
        <v>-2.9738435877511571E-3</v>
      </c>
      <c r="G351" s="3">
        <f t="shared" si="20"/>
        <v>2.583016290514574E-2</v>
      </c>
      <c r="H351" s="11"/>
      <c r="I351" s="17">
        <f t="shared" si="23"/>
        <v>47792</v>
      </c>
      <c r="J351" s="18">
        <f t="shared" si="21"/>
        <v>4.6406570841889119</v>
      </c>
      <c r="K351" s="7">
        <v>3.75</v>
      </c>
      <c r="L351" s="7">
        <v>-9.9382572676861604E-4</v>
      </c>
      <c r="M351" s="7">
        <v>1.2524491648998591E-2</v>
      </c>
      <c r="N351" s="7">
        <v>-5.0868356986369802E-2</v>
      </c>
      <c r="O351" s="7">
        <v>9.3170201860977769E-2</v>
      </c>
      <c r="P351" s="11">
        <f t="shared" si="22"/>
        <v>2.7508537856929802</v>
      </c>
    </row>
    <row r="352" spans="1:16" x14ac:dyDescent="0.25">
      <c r="A352" s="11">
        <v>3.4</v>
      </c>
      <c r="B352" s="7">
        <v>2.75</v>
      </c>
      <c r="C352" s="11">
        <v>7.6954098051831149E-4</v>
      </c>
      <c r="D352" s="11">
        <v>-7.5376685542296474E-3</v>
      </c>
      <c r="E352" s="11">
        <v>2.5205811574174723E-2</v>
      </c>
      <c r="F352" s="11">
        <v>-2.9738435877511571E-3</v>
      </c>
      <c r="G352" s="3">
        <f t="shared" si="20"/>
        <v>2.5836505975839898E-2</v>
      </c>
      <c r="H352" s="11"/>
      <c r="I352" s="17">
        <f t="shared" si="23"/>
        <v>47797</v>
      </c>
      <c r="J352" s="18">
        <f t="shared" si="21"/>
        <v>4.6543463381245722</v>
      </c>
      <c r="K352" s="7">
        <v>3.75</v>
      </c>
      <c r="L352" s="7">
        <v>-9.9382572676861604E-4</v>
      </c>
      <c r="M352" s="7">
        <v>1.2524491648998591E-2</v>
      </c>
      <c r="N352" s="7">
        <v>-5.0868356986369802E-2</v>
      </c>
      <c r="O352" s="7">
        <v>9.3170201860977769E-2</v>
      </c>
      <c r="P352" s="11">
        <f t="shared" si="22"/>
        <v>2.752426752362644</v>
      </c>
    </row>
    <row r="353" spans="1:16" x14ac:dyDescent="0.25">
      <c r="A353" s="11">
        <v>3.41</v>
      </c>
      <c r="B353" s="7">
        <v>2.75</v>
      </c>
      <c r="C353" s="11">
        <v>7.6954098051831149E-4</v>
      </c>
      <c r="D353" s="11">
        <v>-7.5376685542296474E-3</v>
      </c>
      <c r="E353" s="11">
        <v>2.5205811574174723E-2</v>
      </c>
      <c r="F353" s="11">
        <v>-2.9738435877511571E-3</v>
      </c>
      <c r="G353" s="3">
        <f t="shared" si="20"/>
        <v>2.5842911376423472E-2</v>
      </c>
      <c r="H353" s="11"/>
      <c r="I353" s="17">
        <f t="shared" si="23"/>
        <v>47802</v>
      </c>
      <c r="J353" s="18">
        <f t="shared" si="21"/>
        <v>4.6680355920602326</v>
      </c>
      <c r="K353" s="7">
        <v>3.75</v>
      </c>
      <c r="L353" s="7">
        <v>-9.9382572676861604E-4</v>
      </c>
      <c r="M353" s="7">
        <v>1.2524491648998591E-2</v>
      </c>
      <c r="N353" s="7">
        <v>-5.0868356986369802E-2</v>
      </c>
      <c r="O353" s="7">
        <v>9.3170201860977769E-2</v>
      </c>
      <c r="P353" s="11">
        <f t="shared" si="22"/>
        <v>2.753949034658723</v>
      </c>
    </row>
    <row r="354" spans="1:16" x14ac:dyDescent="0.25">
      <c r="A354" s="11">
        <v>3.42</v>
      </c>
      <c r="B354" s="7">
        <v>2.75</v>
      </c>
      <c r="C354" s="11">
        <v>7.6954098051831149E-4</v>
      </c>
      <c r="D354" s="11">
        <v>-7.5376685542296474E-3</v>
      </c>
      <c r="E354" s="11">
        <v>2.5205811574174723E-2</v>
      </c>
      <c r="F354" s="11">
        <v>-2.9738435877511571E-3</v>
      </c>
      <c r="G354" s="3">
        <f t="shared" si="20"/>
        <v>2.5849383724142326E-2</v>
      </c>
      <c r="H354" s="11"/>
      <c r="I354" s="17">
        <f t="shared" si="23"/>
        <v>47807</v>
      </c>
      <c r="J354" s="18">
        <f t="shared" si="21"/>
        <v>4.6817248459958929</v>
      </c>
      <c r="K354" s="7">
        <v>3.75</v>
      </c>
      <c r="L354" s="7">
        <v>-9.9382572676861604E-4</v>
      </c>
      <c r="M354" s="7">
        <v>1.2524491648998591E-2</v>
      </c>
      <c r="N354" s="7">
        <v>-5.0868356986369802E-2</v>
      </c>
      <c r="O354" s="7">
        <v>9.3170201860977769E-2</v>
      </c>
      <c r="P354" s="11">
        <f t="shared" si="22"/>
        <v>2.7554191029003832</v>
      </c>
    </row>
    <row r="355" spans="1:16" x14ac:dyDescent="0.25">
      <c r="A355" s="11">
        <v>3.43</v>
      </c>
      <c r="B355" s="7">
        <v>2.75</v>
      </c>
      <c r="C355" s="11">
        <v>7.6954098051831149E-4</v>
      </c>
      <c r="D355" s="11">
        <v>-7.5376685542296474E-3</v>
      </c>
      <c r="E355" s="11">
        <v>2.5205811574174723E-2</v>
      </c>
      <c r="F355" s="11">
        <v>-2.9738435877511571E-3</v>
      </c>
      <c r="G355" s="3">
        <f t="shared" si="20"/>
        <v>2.5855927636242358E-2</v>
      </c>
      <c r="H355" s="11"/>
      <c r="I355" s="17">
        <f t="shared" si="23"/>
        <v>47812</v>
      </c>
      <c r="J355" s="18">
        <f t="shared" si="21"/>
        <v>4.6954140999315541</v>
      </c>
      <c r="K355" s="7">
        <v>3.75</v>
      </c>
      <c r="L355" s="7">
        <v>-9.9382572676861604E-4</v>
      </c>
      <c r="M355" s="7">
        <v>1.2524491648998591E-2</v>
      </c>
      <c r="N355" s="7">
        <v>-5.0868356986369802E-2</v>
      </c>
      <c r="O355" s="7">
        <v>9.3170201860977769E-2</v>
      </c>
      <c r="P355" s="11">
        <f t="shared" si="22"/>
        <v>2.7568354274068008</v>
      </c>
    </row>
    <row r="356" spans="1:16" x14ac:dyDescent="0.25">
      <c r="A356" s="11">
        <v>3.44</v>
      </c>
      <c r="B356" s="7">
        <v>2.75</v>
      </c>
      <c r="C356" s="11">
        <v>7.6954098051831149E-4</v>
      </c>
      <c r="D356" s="11">
        <v>-7.5376685542296474E-3</v>
      </c>
      <c r="E356" s="11">
        <v>2.5205811574174723E-2</v>
      </c>
      <c r="F356" s="11">
        <v>-2.9738435877511571E-3</v>
      </c>
      <c r="G356" s="3">
        <f t="shared" si="20"/>
        <v>2.5862547729969473E-2</v>
      </c>
      <c r="H356" s="11"/>
      <c r="I356" s="17">
        <f t="shared" si="23"/>
        <v>47817</v>
      </c>
      <c r="J356" s="18">
        <f t="shared" si="21"/>
        <v>4.7091033538672145</v>
      </c>
      <c r="K356" s="7">
        <v>3.75</v>
      </c>
      <c r="L356" s="7">
        <v>-9.9382572676861604E-4</v>
      </c>
      <c r="M356" s="7">
        <v>1.2524491648998591E-2</v>
      </c>
      <c r="N356" s="7">
        <v>-5.0868356986369802E-2</v>
      </c>
      <c r="O356" s="7">
        <v>9.3170201860977769E-2</v>
      </c>
      <c r="P356" s="11">
        <f t="shared" si="22"/>
        <v>2.7581964784971378</v>
      </c>
    </row>
    <row r="357" spans="1:16" x14ac:dyDescent="0.25">
      <c r="A357" s="11">
        <v>3.45</v>
      </c>
      <c r="B357" s="7">
        <v>2.75</v>
      </c>
      <c r="C357" s="11">
        <v>7.6954098051831149E-4</v>
      </c>
      <c r="D357" s="11">
        <v>-7.5376685542296474E-3</v>
      </c>
      <c r="E357" s="11">
        <v>2.5205811574174723E-2</v>
      </c>
      <c r="F357" s="11">
        <v>-2.9738435877511571E-3</v>
      </c>
      <c r="G357" s="3">
        <f t="shared" si="20"/>
        <v>2.58692486225695E-2</v>
      </c>
      <c r="H357" s="11"/>
      <c r="I357" s="17">
        <f t="shared" si="23"/>
        <v>47822</v>
      </c>
      <c r="J357" s="18">
        <f t="shared" si="21"/>
        <v>4.7227926078028748</v>
      </c>
      <c r="K357" s="7">
        <v>3.75</v>
      </c>
      <c r="L357" s="7">
        <v>-9.9382572676861604E-4</v>
      </c>
      <c r="M357" s="7">
        <v>1.2524491648998591E-2</v>
      </c>
      <c r="N357" s="7">
        <v>-5.0868356986369802E-2</v>
      </c>
      <c r="O357" s="7">
        <v>9.3170201860977769E-2</v>
      </c>
      <c r="P357" s="11">
        <f t="shared" si="22"/>
        <v>2.7595007264905629</v>
      </c>
    </row>
    <row r="358" spans="1:16" x14ac:dyDescent="0.25">
      <c r="A358" s="11">
        <v>3.46</v>
      </c>
      <c r="B358" s="7">
        <v>2.75</v>
      </c>
      <c r="C358" s="11">
        <v>7.6954098051831149E-4</v>
      </c>
      <c r="D358" s="11">
        <v>-7.5376685542296474E-3</v>
      </c>
      <c r="E358" s="11">
        <v>2.5205811574174723E-2</v>
      </c>
      <c r="F358" s="11">
        <v>-2.9738435877511571E-3</v>
      </c>
      <c r="G358" s="3">
        <f t="shared" si="20"/>
        <v>2.5876034931288379E-2</v>
      </c>
      <c r="H358" s="11"/>
      <c r="I358" s="17">
        <f t="shared" si="23"/>
        <v>47827</v>
      </c>
      <c r="J358" s="18">
        <f t="shared" si="21"/>
        <v>4.7364818617385351</v>
      </c>
      <c r="K358" s="7">
        <v>3.75</v>
      </c>
      <c r="L358" s="7">
        <v>-9.9382572676861604E-4</v>
      </c>
      <c r="M358" s="7">
        <v>1.2524491648998591E-2</v>
      </c>
      <c r="N358" s="7">
        <v>-5.0868356986369802E-2</v>
      </c>
      <c r="O358" s="7">
        <v>9.3170201860977769E-2</v>
      </c>
      <c r="P358" s="11">
        <f t="shared" si="22"/>
        <v>2.7607466417062438</v>
      </c>
    </row>
    <row r="359" spans="1:16" x14ac:dyDescent="0.25">
      <c r="A359" s="11">
        <v>3.47</v>
      </c>
      <c r="B359" s="7">
        <v>2.75</v>
      </c>
      <c r="C359" s="11">
        <v>7.6954098051831149E-4</v>
      </c>
      <c r="D359" s="11">
        <v>-7.5376685542296474E-3</v>
      </c>
      <c r="E359" s="11">
        <v>2.5205811574174723E-2</v>
      </c>
      <c r="F359" s="11">
        <v>-2.9738435877511571E-3</v>
      </c>
      <c r="G359" s="3">
        <f t="shared" si="20"/>
        <v>2.5882911273371965E-2</v>
      </c>
      <c r="H359" s="11"/>
      <c r="I359" s="17">
        <f t="shared" si="23"/>
        <v>47832</v>
      </c>
      <c r="J359" s="18">
        <f t="shared" si="21"/>
        <v>4.7501711156741955</v>
      </c>
      <c r="K359" s="7">
        <v>4.75</v>
      </c>
      <c r="L359" s="7">
        <v>2.714864453332381E-4</v>
      </c>
      <c r="M359" s="7">
        <v>-4.7335043520079041E-3</v>
      </c>
      <c r="N359" s="7">
        <v>2.7436787374047648E-2</v>
      </c>
      <c r="O359" s="7">
        <v>-2.5001577022774474E-2</v>
      </c>
      <c r="P359" s="11">
        <f t="shared" si="22"/>
        <v>2.7619326967265074</v>
      </c>
    </row>
    <row r="360" spans="1:16" x14ac:dyDescent="0.25">
      <c r="A360" s="11">
        <v>3.48</v>
      </c>
      <c r="B360" s="7">
        <v>2.75</v>
      </c>
      <c r="C360" s="11">
        <v>7.6954098051831149E-4</v>
      </c>
      <c r="D360" s="11">
        <v>-7.5376685542296474E-3</v>
      </c>
      <c r="E360" s="11">
        <v>2.5205811574174723E-2</v>
      </c>
      <c r="F360" s="11">
        <v>-2.9738435877511571E-3</v>
      </c>
      <c r="G360" s="3">
        <f t="shared" si="20"/>
        <v>2.588988226606613E-2</v>
      </c>
      <c r="H360" s="11"/>
      <c r="I360" s="17">
        <f t="shared" si="23"/>
        <v>47837</v>
      </c>
      <c r="J360" s="18">
        <f t="shared" si="21"/>
        <v>4.7638603696098567</v>
      </c>
      <c r="K360" s="7">
        <v>4.75</v>
      </c>
      <c r="L360" s="7">
        <v>2.714864453332381E-4</v>
      </c>
      <c r="M360" s="7">
        <v>-4.7335043520079041E-3</v>
      </c>
      <c r="N360" s="7">
        <v>2.7436787374047648E-2</v>
      </c>
      <c r="O360" s="7">
        <v>-2.5001577022774474E-2</v>
      </c>
      <c r="P360" s="11">
        <f t="shared" si="22"/>
        <v>2.763072536372309</v>
      </c>
    </row>
    <row r="361" spans="1:16" x14ac:dyDescent="0.25">
      <c r="A361" s="11">
        <v>3.49</v>
      </c>
      <c r="B361" s="7">
        <v>2.75</v>
      </c>
      <c r="C361" s="11">
        <v>7.6954098051831149E-4</v>
      </c>
      <c r="D361" s="11">
        <v>-7.5376685542296474E-3</v>
      </c>
      <c r="E361" s="11">
        <v>2.5205811574174723E-2</v>
      </c>
      <c r="F361" s="11">
        <v>-2.9738435877511571E-3</v>
      </c>
      <c r="G361" s="3">
        <f t="shared" si="20"/>
        <v>2.5896952526616793E-2</v>
      </c>
      <c r="H361" s="11"/>
      <c r="I361" s="17">
        <f t="shared" si="23"/>
        <v>47842</v>
      </c>
      <c r="J361" s="18">
        <f t="shared" si="21"/>
        <v>4.777549623545517</v>
      </c>
      <c r="K361" s="7">
        <v>4.75</v>
      </c>
      <c r="L361" s="7">
        <v>2.714864453332381E-4</v>
      </c>
      <c r="M361" s="7">
        <v>-4.7335043520079041E-3</v>
      </c>
      <c r="N361" s="7">
        <v>2.7436787374047648E-2</v>
      </c>
      <c r="O361" s="7">
        <v>-2.5001577022774474E-2</v>
      </c>
      <c r="P361" s="11">
        <f t="shared" si="22"/>
        <v>2.7641803863099392</v>
      </c>
    </row>
    <row r="362" spans="1:16" x14ac:dyDescent="0.25">
      <c r="A362" s="11">
        <v>3.5</v>
      </c>
      <c r="B362" s="7">
        <v>2.75</v>
      </c>
      <c r="C362" s="11">
        <v>7.6954098051831149E-4</v>
      </c>
      <c r="D362" s="11">
        <v>-7.5376685542296474E-3</v>
      </c>
      <c r="E362" s="11">
        <v>2.5205811574174723E-2</v>
      </c>
      <c r="F362" s="11">
        <v>-2.9738435877511571E-3</v>
      </c>
      <c r="G362" s="3">
        <f t="shared" si="20"/>
        <v>2.5904126672269802E-2</v>
      </c>
      <c r="H362" s="11"/>
      <c r="I362" s="17">
        <f t="shared" si="23"/>
        <v>47847</v>
      </c>
      <c r="J362" s="18">
        <f t="shared" si="21"/>
        <v>4.7912388774811774</v>
      </c>
      <c r="K362" s="7">
        <v>4.75</v>
      </c>
      <c r="L362" s="7">
        <v>2.714864453332381E-4</v>
      </c>
      <c r="M362" s="7">
        <v>-4.7335043520079041E-3</v>
      </c>
      <c r="N362" s="7">
        <v>2.7436787374047648E-2</v>
      </c>
      <c r="O362" s="7">
        <v>-2.5001577022774474E-2</v>
      </c>
      <c r="P362" s="11">
        <f t="shared" si="22"/>
        <v>2.7652566644070302</v>
      </c>
    </row>
    <row r="363" spans="1:16" x14ac:dyDescent="0.25">
      <c r="A363" s="11">
        <v>3.51</v>
      </c>
      <c r="B363" s="7">
        <v>2.75</v>
      </c>
      <c r="C363" s="11">
        <v>7.6954098051831149E-4</v>
      </c>
      <c r="D363" s="11">
        <v>-7.5376685542296474E-3</v>
      </c>
      <c r="E363" s="11">
        <v>2.5205811574174723E-2</v>
      </c>
      <c r="F363" s="11">
        <v>-2.9738435877511571E-3</v>
      </c>
      <c r="G363" s="3">
        <f t="shared" si="20"/>
        <v>2.5911409320271056E-2</v>
      </c>
      <c r="H363" s="11"/>
      <c r="I363" s="17">
        <f t="shared" si="23"/>
        <v>47852</v>
      </c>
      <c r="J363" s="18">
        <f t="shared" si="21"/>
        <v>4.8049281314168377</v>
      </c>
      <c r="K363" s="7">
        <v>4.75</v>
      </c>
      <c r="L363" s="7">
        <v>2.714864453332381E-4</v>
      </c>
      <c r="M363" s="7">
        <v>-4.7335043520079041E-3</v>
      </c>
      <c r="N363" s="7">
        <v>2.7436787374047648E-2</v>
      </c>
      <c r="O363" s="7">
        <v>-2.5001577022774474E-2</v>
      </c>
      <c r="P363" s="11">
        <f t="shared" si="22"/>
        <v>2.7663017885312251</v>
      </c>
    </row>
    <row r="364" spans="1:16" x14ac:dyDescent="0.25">
      <c r="A364" s="11">
        <v>3.52</v>
      </c>
      <c r="B364" s="7">
        <v>2.75</v>
      </c>
      <c r="C364" s="11">
        <v>7.6954098051831149E-4</v>
      </c>
      <c r="D364" s="11">
        <v>-7.5376685542296474E-3</v>
      </c>
      <c r="E364" s="11">
        <v>2.5205811574174723E-2</v>
      </c>
      <c r="F364" s="11">
        <v>-2.9738435877511571E-3</v>
      </c>
      <c r="G364" s="3">
        <f t="shared" si="20"/>
        <v>2.5918805087866433E-2</v>
      </c>
      <c r="H364" s="11"/>
      <c r="I364" s="17">
        <f t="shared" si="23"/>
        <v>47857</v>
      </c>
      <c r="J364" s="18">
        <f t="shared" si="21"/>
        <v>4.8186173853524981</v>
      </c>
      <c r="K364" s="7">
        <v>4.75</v>
      </c>
      <c r="L364" s="7">
        <v>2.714864453332381E-4</v>
      </c>
      <c r="M364" s="7">
        <v>-4.7335043520079041E-3</v>
      </c>
      <c r="N364" s="7">
        <v>2.7436787374047648E-2</v>
      </c>
      <c r="O364" s="7">
        <v>-2.5001577022774474E-2</v>
      </c>
      <c r="P364" s="11">
        <f t="shared" si="22"/>
        <v>2.7673161765501648</v>
      </c>
    </row>
    <row r="365" spans="1:16" x14ac:dyDescent="0.25">
      <c r="A365" s="11">
        <v>3.53</v>
      </c>
      <c r="B365" s="7">
        <v>2.75</v>
      </c>
      <c r="C365" s="11">
        <v>7.6954098051831149E-4</v>
      </c>
      <c r="D365" s="11">
        <v>-7.5376685542296474E-3</v>
      </c>
      <c r="E365" s="11">
        <v>2.5205811574174723E-2</v>
      </c>
      <c r="F365" s="11">
        <v>-2.9738435877511571E-3</v>
      </c>
      <c r="G365" s="3">
        <f t="shared" si="20"/>
        <v>2.5926318592301822E-2</v>
      </c>
      <c r="H365" s="11"/>
      <c r="I365" s="17">
        <f t="shared" si="23"/>
        <v>47862</v>
      </c>
      <c r="J365" s="18">
        <f t="shared" si="21"/>
        <v>4.8323066392881584</v>
      </c>
      <c r="K365" s="7">
        <v>4.75</v>
      </c>
      <c r="L365" s="7">
        <v>2.714864453332381E-4</v>
      </c>
      <c r="M365" s="7">
        <v>-4.7335043520079041E-3</v>
      </c>
      <c r="N365" s="7">
        <v>2.7436787374047648E-2</v>
      </c>
      <c r="O365" s="7">
        <v>-2.5001577022774474E-2</v>
      </c>
      <c r="P365" s="11">
        <f t="shared" si="22"/>
        <v>2.7683002463314912</v>
      </c>
    </row>
    <row r="366" spans="1:16" x14ac:dyDescent="0.25">
      <c r="A366" s="11">
        <v>3.54</v>
      </c>
      <c r="B366" s="7">
        <v>2.75</v>
      </c>
      <c r="C366" s="11">
        <v>7.6954098051831149E-4</v>
      </c>
      <c r="D366" s="11">
        <v>-7.5376685542296474E-3</v>
      </c>
      <c r="E366" s="11">
        <v>2.5205811574174723E-2</v>
      </c>
      <c r="F366" s="11">
        <v>-2.9738435877511571E-3</v>
      </c>
      <c r="G366" s="3">
        <f t="shared" si="20"/>
        <v>2.5933954450823089E-2</v>
      </c>
      <c r="H366" s="11"/>
      <c r="I366" s="17">
        <f t="shared" si="23"/>
        <v>47867</v>
      </c>
      <c r="J366" s="18">
        <f t="shared" si="21"/>
        <v>4.8459958932238196</v>
      </c>
      <c r="K366" s="7">
        <v>4.75</v>
      </c>
      <c r="L366" s="7">
        <v>2.714864453332381E-4</v>
      </c>
      <c r="M366" s="7">
        <v>-4.7335043520079041E-3</v>
      </c>
      <c r="N366" s="7">
        <v>2.7436787374047648E-2</v>
      </c>
      <c r="O366" s="7">
        <v>-2.5001577022774474E-2</v>
      </c>
      <c r="P366" s="11">
        <f t="shared" si="22"/>
        <v>2.7692544157428447</v>
      </c>
    </row>
    <row r="367" spans="1:16" x14ac:dyDescent="0.25">
      <c r="A367" s="11">
        <v>3.55</v>
      </c>
      <c r="B367" s="7">
        <v>2.75</v>
      </c>
      <c r="C367" s="11">
        <v>7.6954098051831149E-4</v>
      </c>
      <c r="D367" s="11">
        <v>-7.5376685542296474E-3</v>
      </c>
      <c r="E367" s="11">
        <v>2.5205811574174723E-2</v>
      </c>
      <c r="F367" s="11">
        <v>-2.9738435877511571E-3</v>
      </c>
      <c r="G367" s="3">
        <f t="shared" si="20"/>
        <v>2.5941717280676145E-2</v>
      </c>
      <c r="H367" s="11"/>
      <c r="I367" s="17">
        <f t="shared" si="23"/>
        <v>47872</v>
      </c>
      <c r="J367" s="18">
        <f t="shared" si="21"/>
        <v>4.85968514715948</v>
      </c>
      <c r="K367" s="7">
        <v>4.75</v>
      </c>
      <c r="L367" s="7">
        <v>2.714864453332381E-4</v>
      </c>
      <c r="M367" s="7">
        <v>-4.7335043520079041E-3</v>
      </c>
      <c r="N367" s="7">
        <v>2.7436787374047648E-2</v>
      </c>
      <c r="O367" s="7">
        <v>-2.5001577022774474E-2</v>
      </c>
      <c r="P367" s="11">
        <f t="shared" si="22"/>
        <v>2.7701791026518596</v>
      </c>
    </row>
    <row r="368" spans="1:16" x14ac:dyDescent="0.25">
      <c r="A368" s="11">
        <v>3.56</v>
      </c>
      <c r="B368" s="7">
        <v>2.75</v>
      </c>
      <c r="C368" s="11">
        <v>7.6954098051831149E-4</v>
      </c>
      <c r="D368" s="11">
        <v>-7.5376685542296474E-3</v>
      </c>
      <c r="E368" s="11">
        <v>2.5205811574174723E-2</v>
      </c>
      <c r="F368" s="11">
        <v>-2.9738435877511571E-3</v>
      </c>
      <c r="G368" s="3">
        <f t="shared" si="20"/>
        <v>2.5949611699106867E-2</v>
      </c>
      <c r="H368" s="11"/>
      <c r="I368" s="17">
        <f t="shared" si="23"/>
        <v>47877</v>
      </c>
      <c r="J368" s="18">
        <f t="shared" si="21"/>
        <v>4.8733744010951403</v>
      </c>
      <c r="K368" s="7">
        <v>4.75</v>
      </c>
      <c r="L368" s="7">
        <v>2.714864453332381E-4</v>
      </c>
      <c r="M368" s="7">
        <v>-4.7335043520079041E-3</v>
      </c>
      <c r="N368" s="7">
        <v>2.7436787374047648E-2</v>
      </c>
      <c r="O368" s="7">
        <v>-2.5001577022774474E-2</v>
      </c>
      <c r="P368" s="11">
        <f t="shared" si="22"/>
        <v>2.771074724926184</v>
      </c>
    </row>
    <row r="369" spans="1:16" x14ac:dyDescent="0.25">
      <c r="A369" s="11">
        <v>3.57</v>
      </c>
      <c r="B369" s="7">
        <v>2.75</v>
      </c>
      <c r="C369" s="11">
        <v>7.6954098051831149E-4</v>
      </c>
      <c r="D369" s="11">
        <v>-7.5376685542296474E-3</v>
      </c>
      <c r="E369" s="11">
        <v>2.5205811574174723E-2</v>
      </c>
      <c r="F369" s="11">
        <v>-2.9738435877511571E-3</v>
      </c>
      <c r="G369" s="3">
        <f t="shared" si="20"/>
        <v>2.5957642323361105E-2</v>
      </c>
      <c r="H369" s="11"/>
      <c r="I369" s="17">
        <f t="shared" si="23"/>
        <v>47882</v>
      </c>
      <c r="J369" s="18">
        <f t="shared" si="21"/>
        <v>4.8870636550308006</v>
      </c>
      <c r="K369" s="7">
        <v>4.75</v>
      </c>
      <c r="L369" s="7">
        <v>2.714864453332381E-4</v>
      </c>
      <c r="M369" s="7">
        <v>-4.7335043520079041E-3</v>
      </c>
      <c r="N369" s="7">
        <v>2.7436787374047648E-2</v>
      </c>
      <c r="O369" s="7">
        <v>-2.5001577022774474E-2</v>
      </c>
      <c r="P369" s="11">
        <f t="shared" si="22"/>
        <v>2.771941700433453</v>
      </c>
    </row>
    <row r="370" spans="1:16" x14ac:dyDescent="0.25">
      <c r="A370" s="11">
        <v>3.58</v>
      </c>
      <c r="B370" s="7">
        <v>2.75</v>
      </c>
      <c r="C370" s="11">
        <v>7.6954098051831149E-4</v>
      </c>
      <c r="D370" s="11">
        <v>-7.5376685542296474E-3</v>
      </c>
      <c r="E370" s="11">
        <v>2.5205811574174723E-2</v>
      </c>
      <c r="F370" s="11">
        <v>-2.9738435877511571E-3</v>
      </c>
      <c r="G370" s="3">
        <f t="shared" si="20"/>
        <v>2.5965813770684791E-2</v>
      </c>
      <c r="H370" s="11"/>
      <c r="I370" s="17">
        <f t="shared" si="23"/>
        <v>47887</v>
      </c>
      <c r="J370" s="18">
        <f t="shared" si="21"/>
        <v>4.900752908966461</v>
      </c>
      <c r="K370" s="7">
        <v>4.75</v>
      </c>
      <c r="L370" s="7">
        <v>2.714864453332381E-4</v>
      </c>
      <c r="M370" s="7">
        <v>-4.7335043520079041E-3</v>
      </c>
      <c r="N370" s="7">
        <v>2.7436787374047648E-2</v>
      </c>
      <c r="O370" s="7">
        <v>-2.5001577022774474E-2</v>
      </c>
      <c r="P370" s="11">
        <f t="shared" si="22"/>
        <v>2.772780447041312</v>
      </c>
    </row>
    <row r="371" spans="1:16" x14ac:dyDescent="0.25">
      <c r="A371" s="11">
        <v>3.59</v>
      </c>
      <c r="B371" s="7">
        <v>2.75</v>
      </c>
      <c r="C371" s="11">
        <v>7.6954098051831149E-4</v>
      </c>
      <c r="D371" s="11">
        <v>-7.5376685542296474E-3</v>
      </c>
      <c r="E371" s="11">
        <v>2.5205811574174723E-2</v>
      </c>
      <c r="F371" s="11">
        <v>-2.9738435877511571E-3</v>
      </c>
      <c r="G371" s="3">
        <f t="shared" si="20"/>
        <v>2.5974130658323775E-2</v>
      </c>
      <c r="H371" s="11"/>
      <c r="I371" s="17">
        <f t="shared" si="23"/>
        <v>47892</v>
      </c>
      <c r="J371" s="18">
        <f t="shared" si="21"/>
        <v>4.9144421629021222</v>
      </c>
      <c r="K371" s="7">
        <v>4.75</v>
      </c>
      <c r="L371" s="7">
        <v>2.714864453332381E-4</v>
      </c>
      <c r="M371" s="7">
        <v>-4.7335043520079041E-3</v>
      </c>
      <c r="N371" s="7">
        <v>2.7436787374047648E-2</v>
      </c>
      <c r="O371" s="7">
        <v>-2.5001577022774474E-2</v>
      </c>
      <c r="P371" s="11">
        <f t="shared" si="22"/>
        <v>2.7735913826173979</v>
      </c>
    </row>
    <row r="372" spans="1:16" x14ac:dyDescent="0.25">
      <c r="A372" s="11">
        <v>3.6</v>
      </c>
      <c r="B372" s="7">
        <v>2.75</v>
      </c>
      <c r="C372" s="11">
        <v>7.6954098051831149E-4</v>
      </c>
      <c r="D372" s="11">
        <v>-7.5376685542296474E-3</v>
      </c>
      <c r="E372" s="11">
        <v>2.5205811574174723E-2</v>
      </c>
      <c r="F372" s="11">
        <v>-2.9738435877511571E-3</v>
      </c>
      <c r="G372" s="3">
        <f t="shared" si="20"/>
        <v>2.5982597603523949E-2</v>
      </c>
      <c r="H372" s="11"/>
      <c r="I372" s="17">
        <f t="shared" si="23"/>
        <v>47897</v>
      </c>
      <c r="J372" s="18">
        <f t="shared" si="21"/>
        <v>4.9281314168377826</v>
      </c>
      <c r="K372" s="7">
        <v>4.75</v>
      </c>
      <c r="L372" s="7">
        <v>2.714864453332381E-4</v>
      </c>
      <c r="M372" s="7">
        <v>-4.7335043520079041E-3</v>
      </c>
      <c r="N372" s="7">
        <v>2.7436787374047648E-2</v>
      </c>
      <c r="O372" s="7">
        <v>-2.5001577022774474E-2</v>
      </c>
      <c r="P372" s="11">
        <f t="shared" si="22"/>
        <v>2.7743749250293508</v>
      </c>
    </row>
    <row r="373" spans="1:16" x14ac:dyDescent="0.25">
      <c r="A373" s="11">
        <v>3.61</v>
      </c>
      <c r="B373" s="7">
        <v>2.75</v>
      </c>
      <c r="C373" s="11">
        <v>7.6954098051831149E-4</v>
      </c>
      <c r="D373" s="11">
        <v>-7.5376685542296474E-3</v>
      </c>
      <c r="E373" s="11">
        <v>2.5205811574174723E-2</v>
      </c>
      <c r="F373" s="11">
        <v>-2.9738435877511571E-3</v>
      </c>
      <c r="G373" s="3">
        <f t="shared" si="20"/>
        <v>2.599121922353121E-2</v>
      </c>
      <c r="H373" s="11"/>
      <c r="I373" s="17">
        <f t="shared" si="23"/>
        <v>47902</v>
      </c>
      <c r="J373" s="18">
        <f t="shared" si="21"/>
        <v>4.9418206707734429</v>
      </c>
      <c r="K373" s="7">
        <v>4.75</v>
      </c>
      <c r="L373" s="7">
        <v>2.714864453332381E-4</v>
      </c>
      <c r="M373" s="7">
        <v>-4.7335043520079041E-3</v>
      </c>
      <c r="N373" s="7">
        <v>2.7436787374047648E-2</v>
      </c>
      <c r="O373" s="7">
        <v>-2.5001577022774474E-2</v>
      </c>
      <c r="P373" s="11">
        <f t="shared" si="22"/>
        <v>2.7751314921448138</v>
      </c>
    </row>
    <row r="374" spans="1:16" x14ac:dyDescent="0.25">
      <c r="A374" s="11">
        <v>3.62</v>
      </c>
      <c r="B374" s="7">
        <v>2.75</v>
      </c>
      <c r="C374" s="11">
        <v>7.6954098051831149E-4</v>
      </c>
      <c r="D374" s="11">
        <v>-7.5376685542296474E-3</v>
      </c>
      <c r="E374" s="11">
        <v>2.5205811574174723E-2</v>
      </c>
      <c r="F374" s="11">
        <v>-2.9738435877511571E-3</v>
      </c>
      <c r="G374" s="3">
        <f t="shared" si="20"/>
        <v>2.6000000135591415E-2</v>
      </c>
      <c r="H374" s="11"/>
      <c r="I374" s="17">
        <f t="shared" si="23"/>
        <v>47907</v>
      </c>
      <c r="J374" s="18">
        <f t="shared" si="21"/>
        <v>4.9555099247091032</v>
      </c>
      <c r="K374" s="7">
        <v>4.75</v>
      </c>
      <c r="L374" s="7">
        <v>2.714864453332381E-4</v>
      </c>
      <c r="M374" s="7">
        <v>-4.7335043520079041E-3</v>
      </c>
      <c r="N374" s="7">
        <v>2.7436787374047648E-2</v>
      </c>
      <c r="O374" s="7">
        <v>-2.5001577022774474E-2</v>
      </c>
      <c r="P374" s="11">
        <f t="shared" si="22"/>
        <v>2.7758615018314265</v>
      </c>
    </row>
    <row r="375" spans="1:16" x14ac:dyDescent="0.25">
      <c r="A375" s="11">
        <v>3.63</v>
      </c>
      <c r="B375" s="7">
        <v>2.75</v>
      </c>
      <c r="C375" s="11">
        <v>7.6954098051831149E-4</v>
      </c>
      <c r="D375" s="11">
        <v>-7.5376685542296474E-3</v>
      </c>
      <c r="E375" s="11">
        <v>2.5205811574174723E-2</v>
      </c>
      <c r="F375" s="11">
        <v>-2.9738435877511571E-3</v>
      </c>
      <c r="G375" s="3">
        <f t="shared" si="20"/>
        <v>2.6008944956950455E-2</v>
      </c>
      <c r="H375" s="11"/>
      <c r="I375" s="17">
        <f t="shared" si="23"/>
        <v>47912</v>
      </c>
      <c r="J375" s="18">
        <f t="shared" si="21"/>
        <v>4.9691991786447636</v>
      </c>
      <c r="K375" s="7">
        <v>4.75</v>
      </c>
      <c r="L375" s="7">
        <v>2.714864453332381E-4</v>
      </c>
      <c r="M375" s="7">
        <v>-4.7335043520079041E-3</v>
      </c>
      <c r="N375" s="7">
        <v>2.7436787374047648E-2</v>
      </c>
      <c r="O375" s="7">
        <v>-2.5001577022774474E-2</v>
      </c>
      <c r="P375" s="11">
        <f t="shared" si="22"/>
        <v>2.7765653719568268</v>
      </c>
    </row>
    <row r="376" spans="1:16" x14ac:dyDescent="0.25">
      <c r="A376" s="11">
        <v>3.64</v>
      </c>
      <c r="B376" s="7">
        <v>2.75</v>
      </c>
      <c r="C376" s="11">
        <v>7.6954098051831149E-4</v>
      </c>
      <c r="D376" s="11">
        <v>-7.5376685542296474E-3</v>
      </c>
      <c r="E376" s="11">
        <v>2.5205811574174723E-2</v>
      </c>
      <c r="F376" s="11">
        <v>-2.9738435877511571E-3</v>
      </c>
      <c r="G376" s="3">
        <f t="shared" si="20"/>
        <v>2.6018058304854222E-2</v>
      </c>
      <c r="H376" s="11"/>
      <c r="I376" s="17">
        <f t="shared" si="23"/>
        <v>47917</v>
      </c>
      <c r="J376" s="18">
        <f t="shared" si="21"/>
        <v>4.9828884325804248</v>
      </c>
      <c r="K376" s="7">
        <v>4.75</v>
      </c>
      <c r="L376" s="7">
        <v>2.714864453332381E-4</v>
      </c>
      <c r="M376" s="7">
        <v>-4.7335043520079041E-3</v>
      </c>
      <c r="N376" s="7">
        <v>2.7436787374047648E-2</v>
      </c>
      <c r="O376" s="7">
        <v>-2.5001577022774474E-2</v>
      </c>
      <c r="P376" s="11">
        <f t="shared" si="22"/>
        <v>2.7772435203886561</v>
      </c>
    </row>
    <row r="377" spans="1:16" x14ac:dyDescent="0.25">
      <c r="A377" s="11">
        <v>3.65</v>
      </c>
      <c r="B377" s="7">
        <v>2.75</v>
      </c>
      <c r="C377" s="11">
        <v>7.6954098051831149E-4</v>
      </c>
      <c r="D377" s="11">
        <v>-7.5376685542296474E-3</v>
      </c>
      <c r="E377" s="11">
        <v>2.5205811574174723E-2</v>
      </c>
      <c r="F377" s="11">
        <v>-2.9738435877511571E-3</v>
      </c>
      <c r="G377" s="3">
        <f t="shared" si="20"/>
        <v>2.6027344796548585E-2</v>
      </c>
      <c r="H377" s="11"/>
      <c r="I377" s="17">
        <f t="shared" si="23"/>
        <v>47922</v>
      </c>
      <c r="J377" s="18">
        <f t="shared" si="21"/>
        <v>4.9965776865160851</v>
      </c>
      <c r="K377" s="7">
        <v>4.75</v>
      </c>
      <c r="L377" s="7">
        <v>2.714864453332381E-4</v>
      </c>
      <c r="M377" s="7">
        <v>-4.7335043520079041E-3</v>
      </c>
      <c r="N377" s="7">
        <v>2.7436787374047648E-2</v>
      </c>
      <c r="O377" s="7">
        <v>-2.5001577022774474E-2</v>
      </c>
      <c r="P377" s="11">
        <f t="shared" si="22"/>
        <v>2.7778963649945561</v>
      </c>
    </row>
    <row r="378" spans="1:16" x14ac:dyDescent="0.25">
      <c r="A378" s="11">
        <v>3.66</v>
      </c>
      <c r="B378" s="7">
        <v>2.75</v>
      </c>
      <c r="C378" s="11">
        <v>7.6954098051831149E-4</v>
      </c>
      <c r="D378" s="11">
        <v>-7.5376685542296474E-3</v>
      </c>
      <c r="E378" s="11">
        <v>2.5205811574174723E-2</v>
      </c>
      <c r="F378" s="11">
        <v>-2.9738435877511571E-3</v>
      </c>
      <c r="G378" s="3">
        <f t="shared" si="20"/>
        <v>2.6036809049279463E-2</v>
      </c>
      <c r="H378" s="11"/>
      <c r="I378" s="17">
        <f t="shared" si="23"/>
        <v>47927</v>
      </c>
      <c r="J378" s="18">
        <f t="shared" si="21"/>
        <v>5.0102669404517455</v>
      </c>
      <c r="K378" s="7">
        <v>4.75</v>
      </c>
      <c r="L378" s="7">
        <v>2.714864453332381E-4</v>
      </c>
      <c r="M378" s="7">
        <v>-4.7335043520079041E-3</v>
      </c>
      <c r="N378" s="7">
        <v>2.7436787374047648E-2</v>
      </c>
      <c r="O378" s="7">
        <v>-2.5001577022774474E-2</v>
      </c>
      <c r="P378" s="11">
        <f t="shared" si="22"/>
        <v>2.7785243236421673</v>
      </c>
    </row>
    <row r="379" spans="1:16" x14ac:dyDescent="0.25">
      <c r="A379" s="11">
        <v>3.67</v>
      </c>
      <c r="B379" s="7">
        <v>2.75</v>
      </c>
      <c r="C379" s="11">
        <v>7.6954098051831149E-4</v>
      </c>
      <c r="D379" s="11">
        <v>-7.5376685542296474E-3</v>
      </c>
      <c r="E379" s="11">
        <v>2.5205811574174723E-2</v>
      </c>
      <c r="F379" s="11">
        <v>-2.9738435877511571E-3</v>
      </c>
      <c r="G379" s="3">
        <f t="shared" si="20"/>
        <v>2.6046455680292707E-2</v>
      </c>
      <c r="H379" s="11"/>
      <c r="I379" s="17">
        <f t="shared" si="23"/>
        <v>47932</v>
      </c>
      <c r="J379" s="18">
        <f t="shared" si="21"/>
        <v>5.0239561943874058</v>
      </c>
      <c r="K379" s="7">
        <v>4.75</v>
      </c>
      <c r="L379" s="7">
        <v>2.714864453332381E-4</v>
      </c>
      <c r="M379" s="7">
        <v>-4.7335043520079041E-3</v>
      </c>
      <c r="N379" s="7">
        <v>2.7436787374047648E-2</v>
      </c>
      <c r="O379" s="7">
        <v>-2.5001577022774474E-2</v>
      </c>
      <c r="P379" s="11">
        <f t="shared" si="22"/>
        <v>2.7791278141991267</v>
      </c>
    </row>
    <row r="380" spans="1:16" x14ac:dyDescent="0.25">
      <c r="A380" s="11">
        <v>3.68</v>
      </c>
      <c r="B380" s="7">
        <v>2.75</v>
      </c>
      <c r="C380" s="11">
        <v>7.6954098051831149E-4</v>
      </c>
      <c r="D380" s="11">
        <v>-7.5376685542296474E-3</v>
      </c>
      <c r="E380" s="11">
        <v>2.5205811574174723E-2</v>
      </c>
      <c r="F380" s="11">
        <v>-2.9738435877511571E-3</v>
      </c>
      <c r="G380" s="3">
        <f t="shared" si="20"/>
        <v>2.6056289306834207E-2</v>
      </c>
      <c r="H380" s="11"/>
      <c r="I380" s="17">
        <f t="shared" si="23"/>
        <v>47937</v>
      </c>
      <c r="J380" s="18">
        <f t="shared" si="21"/>
        <v>5.0376454483230662</v>
      </c>
      <c r="K380" s="7">
        <v>4.75</v>
      </c>
      <c r="L380" s="7">
        <v>2.714864453332381E-4</v>
      </c>
      <c r="M380" s="7">
        <v>-4.7335043520079041E-3</v>
      </c>
      <c r="N380" s="7">
        <v>2.7436787374047648E-2</v>
      </c>
      <c r="O380" s="7">
        <v>-2.5001577022774474E-2</v>
      </c>
      <c r="P380" s="11">
        <f t="shared" si="22"/>
        <v>2.7797072545330788</v>
      </c>
    </row>
    <row r="381" spans="1:16" x14ac:dyDescent="0.25">
      <c r="A381" s="11">
        <v>3.69</v>
      </c>
      <c r="B381" s="7">
        <v>2.75</v>
      </c>
      <c r="C381" s="11">
        <v>7.6954098051831149E-4</v>
      </c>
      <c r="D381" s="11">
        <v>-7.5376685542296474E-3</v>
      </c>
      <c r="E381" s="11">
        <v>2.5205811574174723E-2</v>
      </c>
      <c r="F381" s="11">
        <v>-2.9738435877511571E-3</v>
      </c>
      <c r="G381" s="3">
        <f t="shared" si="20"/>
        <v>2.6066314546149827E-2</v>
      </c>
      <c r="H381" s="11"/>
      <c r="I381" s="17">
        <f t="shared" si="23"/>
        <v>47942</v>
      </c>
      <c r="J381" s="18">
        <f t="shared" si="21"/>
        <v>5.0513347022587265</v>
      </c>
      <c r="K381" s="7">
        <v>4.75</v>
      </c>
      <c r="L381" s="7">
        <v>2.714864453332381E-4</v>
      </c>
      <c r="M381" s="7">
        <v>-4.7335043520079041E-3</v>
      </c>
      <c r="N381" s="7">
        <v>2.7436787374047648E-2</v>
      </c>
      <c r="O381" s="7">
        <v>-2.5001577022774474E-2</v>
      </c>
      <c r="P381" s="11">
        <f t="shared" si="22"/>
        <v>2.7802630625116636</v>
      </c>
    </row>
    <row r="382" spans="1:16" x14ac:dyDescent="0.25">
      <c r="A382" s="11">
        <v>3.7</v>
      </c>
      <c r="B382" s="7">
        <v>2.75</v>
      </c>
      <c r="C382" s="11">
        <v>7.6954098051831149E-4</v>
      </c>
      <c r="D382" s="11">
        <v>-7.5376685542296474E-3</v>
      </c>
      <c r="E382" s="11">
        <v>2.5205811574174723E-2</v>
      </c>
      <c r="F382" s="11">
        <v>-2.9738435877511571E-3</v>
      </c>
      <c r="G382" s="3">
        <f t="shared" si="20"/>
        <v>2.6076536015485471E-2</v>
      </c>
      <c r="H382" s="11"/>
      <c r="I382" s="17">
        <f t="shared" si="23"/>
        <v>47947</v>
      </c>
      <c r="J382" s="18">
        <f t="shared" si="21"/>
        <v>5.0650239561943877</v>
      </c>
      <c r="K382" s="7">
        <v>4.75</v>
      </c>
      <c r="L382" s="7">
        <v>2.714864453332381E-4</v>
      </c>
      <c r="M382" s="7">
        <v>-4.7335043520079041E-3</v>
      </c>
      <c r="N382" s="7">
        <v>2.7436787374047648E-2</v>
      </c>
      <c r="O382" s="7">
        <v>-2.5001577022774474E-2</v>
      </c>
      <c r="P382" s="11">
        <f t="shared" si="22"/>
        <v>2.7807956560025189</v>
      </c>
    </row>
    <row r="383" spans="1:16" x14ac:dyDescent="0.25">
      <c r="A383" s="11">
        <v>3.71</v>
      </c>
      <c r="B383" s="7">
        <v>2.75</v>
      </c>
      <c r="C383" s="11">
        <v>7.6954098051831149E-4</v>
      </c>
      <c r="D383" s="11">
        <v>-7.5376685542296474E-3</v>
      </c>
      <c r="E383" s="11">
        <v>2.5205811574174723E-2</v>
      </c>
      <c r="F383" s="11">
        <v>-2.9738435877511571E-3</v>
      </c>
      <c r="G383" s="3">
        <f t="shared" si="20"/>
        <v>2.6086958332087046E-2</v>
      </c>
      <c r="H383" s="11"/>
      <c r="I383" s="17">
        <f t="shared" si="23"/>
        <v>47952</v>
      </c>
      <c r="J383" s="18">
        <f t="shared" si="21"/>
        <v>5.0787132101300481</v>
      </c>
      <c r="K383" s="7">
        <v>4.75</v>
      </c>
      <c r="L383" s="7">
        <v>2.714864453332381E-4</v>
      </c>
      <c r="M383" s="7">
        <v>-4.7335043520079041E-3</v>
      </c>
      <c r="N383" s="7">
        <v>2.7436787374047648E-2</v>
      </c>
      <c r="O383" s="7">
        <v>-2.5001577022774474E-2</v>
      </c>
      <c r="P383" s="11">
        <f t="shared" si="22"/>
        <v>2.7813054528732866</v>
      </c>
    </row>
    <row r="384" spans="1:16" x14ac:dyDescent="0.25">
      <c r="A384" s="11">
        <v>3.72</v>
      </c>
      <c r="B384" s="7">
        <v>2.75</v>
      </c>
      <c r="C384" s="11">
        <v>7.6954098051831149E-4</v>
      </c>
      <c r="D384" s="11">
        <v>-7.5376685542296474E-3</v>
      </c>
      <c r="E384" s="11">
        <v>2.5205811574174723E-2</v>
      </c>
      <c r="F384" s="11">
        <v>-2.9738435877511571E-3</v>
      </c>
      <c r="G384" s="3">
        <f t="shared" si="20"/>
        <v>2.6097586113200372E-2</v>
      </c>
      <c r="H384" s="11"/>
      <c r="I384" s="17">
        <f t="shared" si="23"/>
        <v>47957</v>
      </c>
      <c r="J384" s="18">
        <f t="shared" si="21"/>
        <v>5.0924024640657084</v>
      </c>
      <c r="K384" s="7">
        <v>4.75</v>
      </c>
      <c r="L384" s="7">
        <v>2.714864453332381E-4</v>
      </c>
      <c r="M384" s="7">
        <v>-4.7335043520079041E-3</v>
      </c>
      <c r="N384" s="7">
        <v>2.7436787374047648E-2</v>
      </c>
      <c r="O384" s="7">
        <v>-2.5001577022774474E-2</v>
      </c>
      <c r="P384" s="11">
        <f t="shared" si="22"/>
        <v>2.7817928709916075</v>
      </c>
    </row>
    <row r="385" spans="1:16" x14ac:dyDescent="0.25">
      <c r="A385" s="11">
        <v>3.73</v>
      </c>
      <c r="B385" s="7">
        <v>2.75</v>
      </c>
      <c r="C385" s="11">
        <v>7.6954098051831149E-4</v>
      </c>
      <c r="D385" s="11">
        <v>-7.5376685542296474E-3</v>
      </c>
      <c r="E385" s="11">
        <v>2.5205811574174723E-2</v>
      </c>
      <c r="F385" s="11">
        <v>-2.9738435877511571E-3</v>
      </c>
      <c r="G385" s="3">
        <f t="shared" si="20"/>
        <v>2.6108423976071382E-2</v>
      </c>
      <c r="H385" s="11"/>
      <c r="I385" s="17">
        <f t="shared" si="23"/>
        <v>47962</v>
      </c>
      <c r="J385" s="18">
        <f t="shared" si="21"/>
        <v>5.1060917180013687</v>
      </c>
      <c r="K385" s="7">
        <v>4.75</v>
      </c>
      <c r="L385" s="7">
        <v>2.714864453332381E-4</v>
      </c>
      <c r="M385" s="7">
        <v>-4.7335043520079041E-3</v>
      </c>
      <c r="N385" s="7">
        <v>2.7436787374047648E-2</v>
      </c>
      <c r="O385" s="7">
        <v>-2.5001577022774474E-2</v>
      </c>
      <c r="P385" s="11">
        <f t="shared" si="22"/>
        <v>2.7822583282251232</v>
      </c>
    </row>
    <row r="386" spans="1:16" x14ac:dyDescent="0.25">
      <c r="A386" s="11">
        <v>3.74</v>
      </c>
      <c r="B386" s="7">
        <v>2.75</v>
      </c>
      <c r="C386" s="11">
        <v>7.6954098051831149E-4</v>
      </c>
      <c r="D386" s="11">
        <v>-7.5376685542296474E-3</v>
      </c>
      <c r="E386" s="11">
        <v>2.5205811574174723E-2</v>
      </c>
      <c r="F386" s="11">
        <v>-2.9738435877511571E-3</v>
      </c>
      <c r="G386" s="3">
        <f t="shared" si="20"/>
        <v>2.6119476537945968E-2</v>
      </c>
      <c r="H386" s="11"/>
      <c r="I386" s="17">
        <f t="shared" si="23"/>
        <v>47967</v>
      </c>
      <c r="J386" s="18">
        <f t="shared" si="21"/>
        <v>5.1197809719370291</v>
      </c>
      <c r="K386" s="7">
        <v>4.75</v>
      </c>
      <c r="L386" s="7">
        <v>2.714864453332381E-4</v>
      </c>
      <c r="M386" s="7">
        <v>-4.7335043520079041E-3</v>
      </c>
      <c r="N386" s="7">
        <v>2.7436787374047648E-2</v>
      </c>
      <c r="O386" s="7">
        <v>-2.5001577022774474E-2</v>
      </c>
      <c r="P386" s="11">
        <f t="shared" si="22"/>
        <v>2.7827022424414731</v>
      </c>
    </row>
    <row r="387" spans="1:16" x14ac:dyDescent="0.25">
      <c r="A387" s="11">
        <v>3.75</v>
      </c>
      <c r="B387" s="7">
        <v>3.75</v>
      </c>
      <c r="C387" s="11">
        <v>-9.9382572676861604E-4</v>
      </c>
      <c r="D387" s="11">
        <v>1.2524491648998591E-2</v>
      </c>
      <c r="E387" s="11">
        <v>-5.0868356986369802E-2</v>
      </c>
      <c r="F387" s="11">
        <v>9.3170201860977769E-2</v>
      </c>
      <c r="G387" s="3">
        <f t="shared" si="20"/>
        <v>2.6130748416069965E-2</v>
      </c>
      <c r="H387" s="11"/>
      <c r="I387" s="17">
        <f t="shared" si="23"/>
        <v>47972</v>
      </c>
      <c r="J387" s="18">
        <f t="shared" si="21"/>
        <v>5.1334702258726903</v>
      </c>
      <c r="K387" s="7">
        <v>4.75</v>
      </c>
      <c r="L387" s="7">
        <v>2.714864453332381E-4</v>
      </c>
      <c r="M387" s="7">
        <v>-4.7335043520079041E-3</v>
      </c>
      <c r="N387" s="7">
        <v>2.7436787374047648E-2</v>
      </c>
      <c r="O387" s="7">
        <v>-2.5001577022774474E-2</v>
      </c>
      <c r="P387" s="11">
        <f t="shared" si="22"/>
        <v>2.783125031508296</v>
      </c>
    </row>
    <row r="388" spans="1:16" x14ac:dyDescent="0.25">
      <c r="A388" s="11">
        <v>3.76</v>
      </c>
      <c r="B388" s="7">
        <v>3.75</v>
      </c>
      <c r="C388" s="11">
        <v>-9.9382572676861604E-4</v>
      </c>
      <c r="D388" s="11">
        <v>1.2524491648998591E-2</v>
      </c>
      <c r="E388" s="11">
        <v>-5.0868356986369802E-2</v>
      </c>
      <c r="F388" s="11">
        <v>9.3170201860977769E-2</v>
      </c>
      <c r="G388" s="3">
        <f t="shared" si="20"/>
        <v>2.6142264892797223E-2</v>
      </c>
      <c r="H388" s="11"/>
      <c r="I388" s="17">
        <f t="shared" si="23"/>
        <v>47977</v>
      </c>
      <c r="J388" s="18">
        <f t="shared" si="21"/>
        <v>5.1471594798083506</v>
      </c>
      <c r="K388" s="7">
        <v>4.75</v>
      </c>
      <c r="L388" s="7">
        <v>2.714864453332381E-4</v>
      </c>
      <c r="M388" s="7">
        <v>-4.7335043520079041E-3</v>
      </c>
      <c r="N388" s="7">
        <v>2.7436787374047648E-2</v>
      </c>
      <c r="O388" s="7">
        <v>-2.5001577022774474E-2</v>
      </c>
      <c r="P388" s="11">
        <f t="shared" si="22"/>
        <v>2.7835271132932329</v>
      </c>
    </row>
    <row r="389" spans="1:16" x14ac:dyDescent="0.25">
      <c r="A389" s="11">
        <v>3.77</v>
      </c>
      <c r="B389" s="7">
        <v>3.75</v>
      </c>
      <c r="C389" s="11">
        <v>-9.9382572676861604E-4</v>
      </c>
      <c r="D389" s="11">
        <v>1.2524491648998591E-2</v>
      </c>
      <c r="E389" s="11">
        <v>-5.0868356986369802E-2</v>
      </c>
      <c r="F389" s="11">
        <v>9.3170201860977769E-2</v>
      </c>
      <c r="G389" s="3">
        <f t="shared" si="20"/>
        <v>2.6154044197014642E-2</v>
      </c>
      <c r="H389" s="11"/>
      <c r="I389" s="17">
        <f t="shared" si="23"/>
        <v>47982</v>
      </c>
      <c r="J389" s="18">
        <f t="shared" si="21"/>
        <v>5.160848733744011</v>
      </c>
      <c r="K389" s="7">
        <v>4.75</v>
      </c>
      <c r="L389" s="7">
        <v>2.714864453332381E-4</v>
      </c>
      <c r="M389" s="7">
        <v>-4.7335043520079041E-3</v>
      </c>
      <c r="N389" s="7">
        <v>2.7436787374047648E-2</v>
      </c>
      <c r="O389" s="7">
        <v>-2.5001577022774474E-2</v>
      </c>
      <c r="P389" s="11">
        <f t="shared" si="22"/>
        <v>2.7839089056639259</v>
      </c>
    </row>
    <row r="390" spans="1:16" x14ac:dyDescent="0.25">
      <c r="A390" s="11">
        <v>3.78</v>
      </c>
      <c r="B390" s="7">
        <v>3.75</v>
      </c>
      <c r="C390" s="11">
        <v>-9.9382572676861604E-4</v>
      </c>
      <c r="D390" s="11">
        <v>1.2524491648998591E-2</v>
      </c>
      <c r="E390" s="11">
        <v>-5.0868356986369802E-2</v>
      </c>
      <c r="F390" s="11">
        <v>9.3170201860977769E-2</v>
      </c>
      <c r="G390" s="3">
        <f t="shared" si="20"/>
        <v>2.6166080365768007E-2</v>
      </c>
      <c r="H390" s="11"/>
      <c r="I390" s="17">
        <f t="shared" si="23"/>
        <v>47987</v>
      </c>
      <c r="J390" s="18">
        <f t="shared" si="21"/>
        <v>5.1745379876796713</v>
      </c>
      <c r="K390" s="7">
        <v>4.75</v>
      </c>
      <c r="L390" s="7">
        <v>2.714864453332381E-4</v>
      </c>
      <c r="M390" s="7">
        <v>-4.7335043520079041E-3</v>
      </c>
      <c r="N390" s="7">
        <v>2.7436787374047648E-2</v>
      </c>
      <c r="O390" s="7">
        <v>-2.5001577022774474E-2</v>
      </c>
      <c r="P390" s="11">
        <f t="shared" si="22"/>
        <v>2.7842708264880098</v>
      </c>
    </row>
    <row r="391" spans="1:16" x14ac:dyDescent="0.25">
      <c r="A391" s="11">
        <v>3.79</v>
      </c>
      <c r="B391" s="7">
        <v>3.75</v>
      </c>
      <c r="C391" s="11">
        <v>-9.9382572676861604E-4</v>
      </c>
      <c r="D391" s="11">
        <v>1.2524491648998591E-2</v>
      </c>
      <c r="E391" s="11">
        <v>-5.0868356986369802E-2</v>
      </c>
      <c r="F391" s="11">
        <v>9.3170201860977769E-2</v>
      </c>
      <c r="G391" s="3">
        <f t="shared" si="20"/>
        <v>2.6178367436102745E-2</v>
      </c>
      <c r="H391" s="11"/>
      <c r="I391" s="17">
        <f t="shared" si="23"/>
        <v>47992</v>
      </c>
      <c r="J391" s="18">
        <f t="shared" si="21"/>
        <v>5.1882272416153317</v>
      </c>
      <c r="K391" s="7">
        <v>4.75</v>
      </c>
      <c r="L391" s="7">
        <v>2.714864453332381E-4</v>
      </c>
      <c r="M391" s="7">
        <v>-4.7335043520079041E-3</v>
      </c>
      <c r="N391" s="7">
        <v>2.7436787374047648E-2</v>
      </c>
      <c r="O391" s="7">
        <v>-2.5001577022774474E-2</v>
      </c>
      <c r="P391" s="11">
        <f t="shared" si="22"/>
        <v>2.784613293633134</v>
      </c>
    </row>
    <row r="392" spans="1:16" x14ac:dyDescent="0.25">
      <c r="A392" s="11">
        <v>3.8</v>
      </c>
      <c r="B392" s="7">
        <v>3.75</v>
      </c>
      <c r="C392" s="11">
        <v>-9.9382572676861604E-4</v>
      </c>
      <c r="D392" s="11">
        <v>1.2524491648998591E-2</v>
      </c>
      <c r="E392" s="11">
        <v>-5.0868356986369802E-2</v>
      </c>
      <c r="F392" s="11">
        <v>9.3170201860977769E-2</v>
      </c>
      <c r="G392" s="3">
        <f t="shared" si="20"/>
        <v>2.6190899445064697E-2</v>
      </c>
      <c r="H392" s="11"/>
      <c r="I392" s="17">
        <f t="shared" si="23"/>
        <v>47997</v>
      </c>
      <c r="J392" s="18">
        <f t="shared" si="21"/>
        <v>5.2019164955509929</v>
      </c>
      <c r="K392" s="7">
        <v>4.75</v>
      </c>
      <c r="L392" s="7">
        <v>2.714864453332381E-4</v>
      </c>
      <c r="M392" s="7">
        <v>-4.7335043520079041E-3</v>
      </c>
      <c r="N392" s="7">
        <v>2.7436787374047648E-2</v>
      </c>
      <c r="O392" s="7">
        <v>-2.5001577022774474E-2</v>
      </c>
      <c r="P392" s="11">
        <f t="shared" si="22"/>
        <v>2.7849367249669355</v>
      </c>
    </row>
    <row r="393" spans="1:16" x14ac:dyDescent="0.25">
      <c r="A393" s="11">
        <v>3.81</v>
      </c>
      <c r="B393" s="7">
        <v>3.75</v>
      </c>
      <c r="C393" s="11">
        <v>-9.9382572676861604E-4</v>
      </c>
      <c r="D393" s="11">
        <v>1.2524491648998591E-2</v>
      </c>
      <c r="E393" s="11">
        <v>-5.0868356986369802E-2</v>
      </c>
      <c r="F393" s="11">
        <v>9.3170201860977769E-2</v>
      </c>
      <c r="G393" s="3">
        <f t="shared" si="20"/>
        <v>2.6203670429699372E-2</v>
      </c>
      <c r="H393" s="11"/>
      <c r="I393" s="17">
        <f t="shared" si="23"/>
        <v>48002</v>
      </c>
      <c r="J393" s="18">
        <f t="shared" si="21"/>
        <v>5.2156057494866532</v>
      </c>
      <c r="K393" s="7">
        <v>4.75</v>
      </c>
      <c r="L393" s="7">
        <v>2.714864453332381E-4</v>
      </c>
      <c r="M393" s="7">
        <v>-4.7335043520079041E-3</v>
      </c>
      <c r="N393" s="7">
        <v>2.7436787374047648E-2</v>
      </c>
      <c r="O393" s="7">
        <v>-2.5001577022774474E-2</v>
      </c>
      <c r="P393" s="11">
        <f t="shared" si="22"/>
        <v>2.785241538357047</v>
      </c>
    </row>
    <row r="394" spans="1:16" x14ac:dyDescent="0.25">
      <c r="A394" s="11">
        <v>3.82</v>
      </c>
      <c r="B394" s="7">
        <v>3.75</v>
      </c>
      <c r="C394" s="11">
        <v>-9.9382572676861604E-4</v>
      </c>
      <c r="D394" s="11">
        <v>1.2524491648998591E-2</v>
      </c>
      <c r="E394" s="11">
        <v>-5.0868356986369802E-2</v>
      </c>
      <c r="F394" s="11">
        <v>9.3170201860977769E-2</v>
      </c>
      <c r="G394" s="3">
        <f t="shared" si="20"/>
        <v>2.6216674427052472E-2</v>
      </c>
      <c r="H394" s="11"/>
      <c r="I394" s="17">
        <f t="shared" si="23"/>
        <v>48007</v>
      </c>
      <c r="J394" s="18">
        <f t="shared" si="21"/>
        <v>5.2292950034223136</v>
      </c>
      <c r="K394" s="7">
        <v>4.75</v>
      </c>
      <c r="L394" s="7">
        <v>2.714864453332381E-4</v>
      </c>
      <c r="M394" s="7">
        <v>-4.7335043520079041E-3</v>
      </c>
      <c r="N394" s="7">
        <v>2.7436787374047648E-2</v>
      </c>
      <c r="O394" s="7">
        <v>-2.5001577022774474E-2</v>
      </c>
      <c r="P394" s="11">
        <f t="shared" si="22"/>
        <v>2.7855281516711212</v>
      </c>
    </row>
    <row r="395" spans="1:16" x14ac:dyDescent="0.25">
      <c r="A395" s="11">
        <v>3.83</v>
      </c>
      <c r="B395" s="7">
        <v>3.75</v>
      </c>
      <c r="C395" s="11">
        <v>-9.9382572676861604E-4</v>
      </c>
      <c r="D395" s="11">
        <v>1.2524491648998591E-2</v>
      </c>
      <c r="E395" s="11">
        <v>-5.0868356986369802E-2</v>
      </c>
      <c r="F395" s="11">
        <v>9.3170201860977769E-2</v>
      </c>
      <c r="G395" s="3">
        <f t="shared" si="20"/>
        <v>2.622990547416959E-2</v>
      </c>
      <c r="H395" s="11"/>
      <c r="I395" s="17">
        <f t="shared" si="23"/>
        <v>48012</v>
      </c>
      <c r="J395" s="18">
        <f t="shared" si="21"/>
        <v>5.2429842573579739</v>
      </c>
      <c r="K395" s="7">
        <v>4.75</v>
      </c>
      <c r="L395" s="7">
        <v>2.714864453332381E-4</v>
      </c>
      <c r="M395" s="7">
        <v>-4.7335043520079041E-3</v>
      </c>
      <c r="N395" s="7">
        <v>2.7436787374047648E-2</v>
      </c>
      <c r="O395" s="7">
        <v>-2.5001577022774474E-2</v>
      </c>
      <c r="P395" s="11">
        <f t="shared" si="22"/>
        <v>2.7857969827767919</v>
      </c>
    </row>
    <row r="396" spans="1:16" x14ac:dyDescent="0.25">
      <c r="A396" s="11">
        <v>3.84</v>
      </c>
      <c r="B396" s="7">
        <v>3.75</v>
      </c>
      <c r="C396" s="11">
        <v>-9.9382572676861604E-4</v>
      </c>
      <c r="D396" s="11">
        <v>1.2524491648998591E-2</v>
      </c>
      <c r="E396" s="11">
        <v>-5.0868356986369802E-2</v>
      </c>
      <c r="F396" s="11">
        <v>9.3170201860977769E-2</v>
      </c>
      <c r="G396" s="3">
        <f t="shared" si="20"/>
        <v>2.6243357608096429E-2</v>
      </c>
      <c r="H396" s="11"/>
      <c r="I396" s="17">
        <f t="shared" si="23"/>
        <v>48017</v>
      </c>
      <c r="J396" s="18">
        <f t="shared" si="21"/>
        <v>5.2566735112936342</v>
      </c>
      <c r="K396" s="7">
        <v>4.75</v>
      </c>
      <c r="L396" s="7">
        <v>2.714864453332381E-4</v>
      </c>
      <c r="M396" s="7">
        <v>-4.7335043520079041E-3</v>
      </c>
      <c r="N396" s="7">
        <v>2.7436787374047648E-2</v>
      </c>
      <c r="O396" s="7">
        <v>-2.5001577022774474E-2</v>
      </c>
      <c r="P396" s="11">
        <f t="shared" si="22"/>
        <v>2.7860484495416964</v>
      </c>
    </row>
    <row r="397" spans="1:16" x14ac:dyDescent="0.25">
      <c r="A397" s="11">
        <v>3.85</v>
      </c>
      <c r="B397" s="7">
        <v>3.75</v>
      </c>
      <c r="C397" s="11">
        <v>-9.9382572676861604E-4</v>
      </c>
      <c r="D397" s="11">
        <v>1.2524491648998591E-2</v>
      </c>
      <c r="E397" s="11">
        <v>-5.0868356986369802E-2</v>
      </c>
      <c r="F397" s="11">
        <v>9.3170201860977769E-2</v>
      </c>
      <c r="G397" s="3">
        <f t="shared" ref="G397:G460" si="24">C397*A397^3 + D397*A397^2 + E397*A397 + F397</f>
        <v>2.6257024865878581E-2</v>
      </c>
      <c r="H397" s="11"/>
      <c r="I397" s="17">
        <f t="shared" si="23"/>
        <v>48022</v>
      </c>
      <c r="J397" s="18">
        <f t="shared" ref="J397:J460" si="25">(I397-$I$12)/365.25</f>
        <v>5.2703627652292946</v>
      </c>
      <c r="K397" s="7">
        <v>4.75</v>
      </c>
      <c r="L397" s="7">
        <v>2.714864453332381E-4</v>
      </c>
      <c r="M397" s="7">
        <v>-4.7335043520079041E-3</v>
      </c>
      <c r="N397" s="7">
        <v>2.7436787374047648E-2</v>
      </c>
      <c r="O397" s="7">
        <v>-2.5001577022774474E-2</v>
      </c>
      <c r="P397" s="11">
        <f t="shared" ref="P397:P460" si="26">100*(L397*J397^3 + M397*J397^2 + N397*J397 + O397)</f>
        <v>2.786282969833481</v>
      </c>
    </row>
    <row r="398" spans="1:16" x14ac:dyDescent="0.25">
      <c r="A398" s="11">
        <v>3.86</v>
      </c>
      <c r="B398" s="7">
        <v>3.75</v>
      </c>
      <c r="C398" s="11">
        <v>-9.9382572676861604E-4</v>
      </c>
      <c r="D398" s="11">
        <v>1.2524491648998591E-2</v>
      </c>
      <c r="E398" s="11">
        <v>-5.0868356986369802E-2</v>
      </c>
      <c r="F398" s="11">
        <v>9.3170201860977769E-2</v>
      </c>
      <c r="G398" s="3">
        <f t="shared" si="24"/>
        <v>2.6270901284561693E-2</v>
      </c>
      <c r="H398" s="11"/>
      <c r="I398" s="17">
        <f t="shared" ref="I398:I461" si="27">I397+5</f>
        <v>48027</v>
      </c>
      <c r="J398" s="18">
        <f t="shared" si="25"/>
        <v>5.2840520191649558</v>
      </c>
      <c r="K398" s="7">
        <v>4.75</v>
      </c>
      <c r="L398" s="7">
        <v>2.714864453332381E-4</v>
      </c>
      <c r="M398" s="7">
        <v>-4.7335043520079041E-3</v>
      </c>
      <c r="N398" s="7">
        <v>2.7436787374047648E-2</v>
      </c>
      <c r="O398" s="7">
        <v>-2.5001577022774474E-2</v>
      </c>
      <c r="P398" s="11">
        <f t="shared" si="26"/>
        <v>2.7865009615197875</v>
      </c>
    </row>
    <row r="399" spans="1:16" x14ac:dyDescent="0.25">
      <c r="A399" s="11">
        <v>3.87</v>
      </c>
      <c r="B399" s="7">
        <v>3.75</v>
      </c>
      <c r="C399" s="11">
        <v>-9.9382572676861604E-4</v>
      </c>
      <c r="D399" s="11">
        <v>1.2524491648998591E-2</v>
      </c>
      <c r="E399" s="11">
        <v>-5.0868356986369802E-2</v>
      </c>
      <c r="F399" s="11">
        <v>9.3170201860977769E-2</v>
      </c>
      <c r="G399" s="3">
        <f t="shared" si="24"/>
        <v>2.6284980901191413E-2</v>
      </c>
      <c r="H399" s="11"/>
      <c r="I399" s="17">
        <f t="shared" si="27"/>
        <v>48032</v>
      </c>
      <c r="J399" s="18">
        <f t="shared" si="25"/>
        <v>5.2977412731006162</v>
      </c>
      <c r="K399" s="7">
        <v>4.75</v>
      </c>
      <c r="L399" s="7">
        <v>2.714864453332381E-4</v>
      </c>
      <c r="M399" s="7">
        <v>-4.7335043520079041E-3</v>
      </c>
      <c r="N399" s="7">
        <v>2.7436787374047648E-2</v>
      </c>
      <c r="O399" s="7">
        <v>-2.5001577022774474E-2</v>
      </c>
      <c r="P399" s="11">
        <f t="shared" si="26"/>
        <v>2.7867028424682512</v>
      </c>
    </row>
    <row r="400" spans="1:16" x14ac:dyDescent="0.25">
      <c r="A400" s="11">
        <v>3.88</v>
      </c>
      <c r="B400" s="7">
        <v>3.75</v>
      </c>
      <c r="C400" s="11">
        <v>-9.9382572676861604E-4</v>
      </c>
      <c r="D400" s="11">
        <v>1.2524491648998591E-2</v>
      </c>
      <c r="E400" s="11">
        <v>-5.0868356986369802E-2</v>
      </c>
      <c r="F400" s="11">
        <v>9.3170201860977769E-2</v>
      </c>
      <c r="G400" s="3">
        <f t="shared" si="24"/>
        <v>2.6299257752813388E-2</v>
      </c>
      <c r="H400" s="11"/>
      <c r="I400" s="17">
        <f t="shared" si="27"/>
        <v>48037</v>
      </c>
      <c r="J400" s="18">
        <f t="shared" si="25"/>
        <v>5.3114305270362765</v>
      </c>
      <c r="K400" s="7">
        <v>4.75</v>
      </c>
      <c r="L400" s="7">
        <v>2.714864453332381E-4</v>
      </c>
      <c r="M400" s="7">
        <v>-4.7335043520079041E-3</v>
      </c>
      <c r="N400" s="7">
        <v>2.7436787374047648E-2</v>
      </c>
      <c r="O400" s="7">
        <v>-2.5001577022774474E-2</v>
      </c>
      <c r="P400" s="11">
        <f t="shared" si="26"/>
        <v>2.7868890305465133</v>
      </c>
    </row>
    <row r="401" spans="1:16" x14ac:dyDescent="0.25">
      <c r="A401" s="11">
        <v>3.89</v>
      </c>
      <c r="B401" s="7">
        <v>3.75</v>
      </c>
      <c r="C401" s="11">
        <v>-9.9382572676861604E-4</v>
      </c>
      <c r="D401" s="11">
        <v>1.2524491648998591E-2</v>
      </c>
      <c r="E401" s="11">
        <v>-5.0868356986369802E-2</v>
      </c>
      <c r="F401" s="11">
        <v>9.3170201860977769E-2</v>
      </c>
      <c r="G401" s="3">
        <f t="shared" si="24"/>
        <v>2.631372587647321E-2</v>
      </c>
      <c r="H401" s="11"/>
      <c r="I401" s="17">
        <f t="shared" si="27"/>
        <v>48042</v>
      </c>
      <c r="J401" s="18">
        <f t="shared" si="25"/>
        <v>5.3251197809719368</v>
      </c>
      <c r="K401" s="7">
        <v>4.75</v>
      </c>
      <c r="L401" s="7">
        <v>2.714864453332381E-4</v>
      </c>
      <c r="M401" s="7">
        <v>-4.7335043520079041E-3</v>
      </c>
      <c r="N401" s="7">
        <v>2.7436787374047648E-2</v>
      </c>
      <c r="O401" s="7">
        <v>-2.5001577022774474E-2</v>
      </c>
      <c r="P401" s="11">
        <f t="shared" si="26"/>
        <v>2.7870599436222165</v>
      </c>
    </row>
    <row r="402" spans="1:16" x14ac:dyDescent="0.25">
      <c r="A402" s="11">
        <v>3.9</v>
      </c>
      <c r="B402" s="7">
        <v>3.75</v>
      </c>
      <c r="C402" s="11">
        <v>-9.9382572676861604E-4</v>
      </c>
      <c r="D402" s="11">
        <v>1.2524491648998591E-2</v>
      </c>
      <c r="E402" s="11">
        <v>-5.0868356986369802E-2</v>
      </c>
      <c r="F402" s="11">
        <v>9.3170201860977769E-2</v>
      </c>
      <c r="G402" s="3">
        <f t="shared" si="24"/>
        <v>2.632837930921661E-2</v>
      </c>
      <c r="H402" s="11"/>
      <c r="I402" s="17">
        <f t="shared" si="27"/>
        <v>48047</v>
      </c>
      <c r="J402" s="18">
        <f t="shared" si="25"/>
        <v>5.3388090349075972</v>
      </c>
      <c r="K402" s="7">
        <v>4.75</v>
      </c>
      <c r="L402" s="7">
        <v>2.714864453332381E-4</v>
      </c>
      <c r="M402" s="7">
        <v>-4.7335043520079041E-3</v>
      </c>
      <c r="N402" s="7">
        <v>2.7436787374047648E-2</v>
      </c>
      <c r="O402" s="7">
        <v>-2.5001577022774474E-2</v>
      </c>
      <c r="P402" s="11">
        <f t="shared" si="26"/>
        <v>2.7872159995629988</v>
      </c>
    </row>
    <row r="403" spans="1:16" x14ac:dyDescent="0.25">
      <c r="A403" s="11">
        <v>3.91</v>
      </c>
      <c r="B403" s="7">
        <v>3.75</v>
      </c>
      <c r="C403" s="11">
        <v>-9.9382572676861604E-4</v>
      </c>
      <c r="D403" s="11">
        <v>1.2524491648998591E-2</v>
      </c>
      <c r="E403" s="11">
        <v>-5.0868356986369802E-2</v>
      </c>
      <c r="F403" s="11">
        <v>9.3170201860977769E-2</v>
      </c>
      <c r="G403" s="3">
        <f t="shared" si="24"/>
        <v>2.6343212088089096E-2</v>
      </c>
      <c r="H403" s="11"/>
      <c r="I403" s="17">
        <f t="shared" si="27"/>
        <v>48052</v>
      </c>
      <c r="J403" s="18">
        <f t="shared" si="25"/>
        <v>5.3524982888432584</v>
      </c>
      <c r="K403" s="7">
        <v>4.75</v>
      </c>
      <c r="L403" s="7">
        <v>2.714864453332381E-4</v>
      </c>
      <c r="M403" s="7">
        <v>-4.7335043520079041E-3</v>
      </c>
      <c r="N403" s="7">
        <v>2.7436787374047648E-2</v>
      </c>
      <c r="O403" s="7">
        <v>-2.5001577022774474E-2</v>
      </c>
      <c r="P403" s="11">
        <f t="shared" si="26"/>
        <v>2.7873576162365019</v>
      </c>
    </row>
    <row r="404" spans="1:16" x14ac:dyDescent="0.25">
      <c r="A404" s="11">
        <v>3.92</v>
      </c>
      <c r="B404" s="7">
        <v>3.75</v>
      </c>
      <c r="C404" s="11">
        <v>-9.9382572676861604E-4</v>
      </c>
      <c r="D404" s="11">
        <v>1.2524491648998591E-2</v>
      </c>
      <c r="E404" s="11">
        <v>-5.0868356986369802E-2</v>
      </c>
      <c r="F404" s="11">
        <v>9.3170201860977769E-2</v>
      </c>
      <c r="G404" s="3">
        <f t="shared" si="24"/>
        <v>2.63582182501364E-2</v>
      </c>
      <c r="H404" s="11"/>
      <c r="I404" s="17">
        <f t="shared" si="27"/>
        <v>48057</v>
      </c>
      <c r="J404" s="18">
        <f t="shared" si="25"/>
        <v>5.3661875427789187</v>
      </c>
      <c r="K404" s="7">
        <v>4.75</v>
      </c>
      <c r="L404" s="7">
        <v>2.714864453332381E-4</v>
      </c>
      <c r="M404" s="7">
        <v>-4.7335043520079041E-3</v>
      </c>
      <c r="N404" s="7">
        <v>2.7436787374047648E-2</v>
      </c>
      <c r="O404" s="7">
        <v>-2.5001577022774474E-2</v>
      </c>
      <c r="P404" s="11">
        <f t="shared" si="26"/>
        <v>2.7874852115103628</v>
      </c>
    </row>
    <row r="405" spans="1:16" x14ac:dyDescent="0.25">
      <c r="A405" s="11">
        <v>3.93</v>
      </c>
      <c r="B405" s="7">
        <v>3.75</v>
      </c>
      <c r="C405" s="11">
        <v>-9.9382572676861604E-4</v>
      </c>
      <c r="D405" s="11">
        <v>1.2524491648998591E-2</v>
      </c>
      <c r="E405" s="11">
        <v>-5.0868356986369802E-2</v>
      </c>
      <c r="F405" s="11">
        <v>9.3170201860977769E-2</v>
      </c>
      <c r="G405" s="3">
        <f t="shared" si="24"/>
        <v>2.6373391832404197E-2</v>
      </c>
      <c r="H405" s="11"/>
      <c r="I405" s="17">
        <f t="shared" si="27"/>
        <v>48062</v>
      </c>
      <c r="J405" s="18">
        <f t="shared" si="25"/>
        <v>5.3798767967145791</v>
      </c>
      <c r="K405" s="7">
        <v>4.75</v>
      </c>
      <c r="L405" s="7">
        <v>2.714864453332381E-4</v>
      </c>
      <c r="M405" s="7">
        <v>-4.7335043520079041E-3</v>
      </c>
      <c r="N405" s="7">
        <v>2.7436787374047648E-2</v>
      </c>
      <c r="O405" s="7">
        <v>-2.5001577022774474E-2</v>
      </c>
      <c r="P405" s="11">
        <f t="shared" si="26"/>
        <v>2.7875992032522277</v>
      </c>
    </row>
    <row r="406" spans="1:16" x14ac:dyDescent="0.25">
      <c r="A406" s="11">
        <v>3.94</v>
      </c>
      <c r="B406" s="7">
        <v>3.75</v>
      </c>
      <c r="C406" s="11">
        <v>-9.9382572676861604E-4</v>
      </c>
      <c r="D406" s="11">
        <v>1.2524491648998591E-2</v>
      </c>
      <c r="E406" s="11">
        <v>-5.0868356986369802E-2</v>
      </c>
      <c r="F406" s="11">
        <v>9.3170201860977769E-2</v>
      </c>
      <c r="G406" s="3">
        <f t="shared" si="24"/>
        <v>2.6388726871938051E-2</v>
      </c>
      <c r="H406" s="11"/>
      <c r="I406" s="17">
        <f t="shared" si="27"/>
        <v>48067</v>
      </c>
      <c r="J406" s="18">
        <f t="shared" si="25"/>
        <v>5.3935660506502394</v>
      </c>
      <c r="K406" s="7">
        <v>4.75</v>
      </c>
      <c r="L406" s="7">
        <v>2.714864453332381E-4</v>
      </c>
      <c r="M406" s="7">
        <v>-4.7335043520079041E-3</v>
      </c>
      <c r="N406" s="7">
        <v>2.7436787374047648E-2</v>
      </c>
      <c r="O406" s="7">
        <v>-2.5001577022774474E-2</v>
      </c>
      <c r="P406" s="11">
        <f t="shared" si="26"/>
        <v>2.7877000093297353</v>
      </c>
    </row>
    <row r="407" spans="1:16" x14ac:dyDescent="0.25">
      <c r="A407" s="11">
        <v>3.95</v>
      </c>
      <c r="B407" s="7">
        <v>3.75</v>
      </c>
      <c r="C407" s="11">
        <v>-9.9382572676861604E-4</v>
      </c>
      <c r="D407" s="11">
        <v>1.2524491648998591E-2</v>
      </c>
      <c r="E407" s="11">
        <v>-5.0868356986369802E-2</v>
      </c>
      <c r="F407" s="11">
        <v>9.3170201860977769E-2</v>
      </c>
      <c r="G407" s="3">
        <f t="shared" si="24"/>
        <v>2.6404217405783581E-2</v>
      </c>
      <c r="H407" s="11"/>
      <c r="I407" s="17">
        <f t="shared" si="27"/>
        <v>48072</v>
      </c>
      <c r="J407" s="18">
        <f t="shared" si="25"/>
        <v>5.4072553045858998</v>
      </c>
      <c r="K407" s="7">
        <v>4.75</v>
      </c>
      <c r="L407" s="7">
        <v>2.714864453332381E-4</v>
      </c>
      <c r="M407" s="7">
        <v>-4.7335043520079041E-3</v>
      </c>
      <c r="N407" s="7">
        <v>2.7436787374047648E-2</v>
      </c>
      <c r="O407" s="7">
        <v>-2.5001577022774474E-2</v>
      </c>
      <c r="P407" s="11">
        <f t="shared" si="26"/>
        <v>2.7877880476105235</v>
      </c>
    </row>
    <row r="408" spans="1:16" x14ac:dyDescent="0.25">
      <c r="A408" s="11">
        <v>3.96</v>
      </c>
      <c r="B408" s="7">
        <v>3.75</v>
      </c>
      <c r="C408" s="11">
        <v>-9.9382572676861604E-4</v>
      </c>
      <c r="D408" s="11">
        <v>1.2524491648998591E-2</v>
      </c>
      <c r="E408" s="11">
        <v>-5.0868356986369802E-2</v>
      </c>
      <c r="F408" s="11">
        <v>9.3170201860977769E-2</v>
      </c>
      <c r="G408" s="3">
        <f t="shared" si="24"/>
        <v>2.6419857470986546E-2</v>
      </c>
      <c r="H408" s="11"/>
      <c r="I408" s="17">
        <f t="shared" si="27"/>
        <v>48077</v>
      </c>
      <c r="J408" s="18">
        <f t="shared" si="25"/>
        <v>5.420944558521561</v>
      </c>
      <c r="K408" s="7">
        <v>4.75</v>
      </c>
      <c r="L408" s="7">
        <v>2.714864453332381E-4</v>
      </c>
      <c r="M408" s="7">
        <v>-4.7335043520079041E-3</v>
      </c>
      <c r="N408" s="7">
        <v>2.7436787374047648E-2</v>
      </c>
      <c r="O408" s="7">
        <v>-2.5001577022774474E-2</v>
      </c>
      <c r="P408" s="11">
        <f t="shared" si="26"/>
        <v>2.7878637359622371</v>
      </c>
    </row>
    <row r="409" spans="1:16" x14ac:dyDescent="0.25">
      <c r="A409" s="11">
        <v>3.97</v>
      </c>
      <c r="B409" s="7">
        <v>3.75</v>
      </c>
      <c r="C409" s="11">
        <v>-9.9382572676861604E-4</v>
      </c>
      <c r="D409" s="11">
        <v>1.2524491648998591E-2</v>
      </c>
      <c r="E409" s="11">
        <v>-5.0868356986369802E-2</v>
      </c>
      <c r="F409" s="11">
        <v>9.3170201860977769E-2</v>
      </c>
      <c r="G409" s="3">
        <f t="shared" si="24"/>
        <v>2.6435641104592456E-2</v>
      </c>
      <c r="H409" s="11"/>
      <c r="I409" s="17">
        <f t="shared" si="27"/>
        <v>48082</v>
      </c>
      <c r="J409" s="18">
        <f t="shared" si="25"/>
        <v>5.4346338124572213</v>
      </c>
      <c r="K409" s="7">
        <v>4.75</v>
      </c>
      <c r="L409" s="7">
        <v>2.714864453332381E-4</v>
      </c>
      <c r="M409" s="7">
        <v>-4.7335043520079041E-3</v>
      </c>
      <c r="N409" s="7">
        <v>2.7436787374047648E-2</v>
      </c>
      <c r="O409" s="7">
        <v>-2.5001577022774474E-2</v>
      </c>
      <c r="P409" s="11">
        <f t="shared" si="26"/>
        <v>2.7879274922525124</v>
      </c>
    </row>
    <row r="410" spans="1:16" x14ac:dyDescent="0.25">
      <c r="A410" s="11">
        <v>3.98</v>
      </c>
      <c r="B410" s="7">
        <v>3.75</v>
      </c>
      <c r="C410" s="11">
        <v>-9.9382572676861604E-4</v>
      </c>
      <c r="D410" s="11">
        <v>1.2524491648998591E-2</v>
      </c>
      <c r="E410" s="11">
        <v>-5.0868356986369802E-2</v>
      </c>
      <c r="F410" s="11">
        <v>9.3170201860977769E-2</v>
      </c>
      <c r="G410" s="3">
        <f t="shared" si="24"/>
        <v>2.6451562343647039E-2</v>
      </c>
      <c r="H410" s="11"/>
      <c r="I410" s="17">
        <f t="shared" si="27"/>
        <v>48087</v>
      </c>
      <c r="J410" s="18">
        <f t="shared" si="25"/>
        <v>5.4483230663928817</v>
      </c>
      <c r="K410" s="7">
        <v>4.75</v>
      </c>
      <c r="L410" s="7">
        <v>2.714864453332381E-4</v>
      </c>
      <c r="M410" s="7">
        <v>-4.7335043520079041E-3</v>
      </c>
      <c r="N410" s="7">
        <v>2.7436787374047648E-2</v>
      </c>
      <c r="O410" s="7">
        <v>-2.5001577022774474E-2</v>
      </c>
      <c r="P410" s="11">
        <f t="shared" si="26"/>
        <v>2.7879797343489887</v>
      </c>
    </row>
    <row r="411" spans="1:16" x14ac:dyDescent="0.25">
      <c r="A411" s="11">
        <v>3.99</v>
      </c>
      <c r="B411" s="7">
        <v>3.75</v>
      </c>
      <c r="C411" s="11">
        <v>-9.9382572676861604E-4</v>
      </c>
      <c r="D411" s="11">
        <v>1.2524491648998591E-2</v>
      </c>
      <c r="E411" s="11">
        <v>-5.0868356986369802E-2</v>
      </c>
      <c r="F411" s="11">
        <v>9.3170201860977769E-2</v>
      </c>
      <c r="G411" s="3">
        <f t="shared" si="24"/>
        <v>2.6467615225195834E-2</v>
      </c>
      <c r="H411" s="11"/>
      <c r="I411" s="17">
        <f t="shared" si="27"/>
        <v>48092</v>
      </c>
      <c r="J411" s="18">
        <f t="shared" si="25"/>
        <v>5.462012320328542</v>
      </c>
      <c r="K411" s="7">
        <v>4.75</v>
      </c>
      <c r="L411" s="7">
        <v>2.714864453332381E-4</v>
      </c>
      <c r="M411" s="7">
        <v>-4.7335043520079041E-3</v>
      </c>
      <c r="N411" s="7">
        <v>2.7436787374047648E-2</v>
      </c>
      <c r="O411" s="7">
        <v>-2.5001577022774474E-2</v>
      </c>
      <c r="P411" s="11">
        <f t="shared" si="26"/>
        <v>2.7880208801193076</v>
      </c>
    </row>
    <row r="412" spans="1:16" x14ac:dyDescent="0.25">
      <c r="A412" s="11">
        <v>4</v>
      </c>
      <c r="B412" s="7">
        <v>3.75</v>
      </c>
      <c r="C412" s="11">
        <v>-9.9382572676861604E-4</v>
      </c>
      <c r="D412" s="11">
        <v>1.2524491648998591E-2</v>
      </c>
      <c r="E412" s="11">
        <v>-5.0868356986369802E-2</v>
      </c>
      <c r="F412" s="11">
        <v>9.3170201860977769E-2</v>
      </c>
      <c r="G412" s="3">
        <f t="shared" si="24"/>
        <v>2.6483793786284598E-2</v>
      </c>
      <c r="H412" s="11"/>
      <c r="I412" s="17">
        <f t="shared" si="27"/>
        <v>48097</v>
      </c>
      <c r="J412" s="18">
        <f t="shared" si="25"/>
        <v>5.4757015742642023</v>
      </c>
      <c r="K412" s="7">
        <v>4.75</v>
      </c>
      <c r="L412" s="7">
        <v>2.714864453332381E-4</v>
      </c>
      <c r="M412" s="7">
        <v>-4.7335043520079041E-3</v>
      </c>
      <c r="N412" s="7">
        <v>2.7436787374047648E-2</v>
      </c>
      <c r="O412" s="7">
        <v>-2.5001577022774474E-2</v>
      </c>
      <c r="P412" s="11">
        <f t="shared" si="26"/>
        <v>2.7880513474311157</v>
      </c>
    </row>
    <row r="413" spans="1:16" x14ac:dyDescent="0.25">
      <c r="A413" s="11">
        <v>4.01</v>
      </c>
      <c r="B413" s="7">
        <v>3.75</v>
      </c>
      <c r="C413" s="11">
        <v>-9.9382572676861604E-4</v>
      </c>
      <c r="D413" s="11">
        <v>1.2524491648998591E-2</v>
      </c>
      <c r="E413" s="11">
        <v>-5.0868356986369802E-2</v>
      </c>
      <c r="F413" s="11">
        <v>9.3170201860977769E-2</v>
      </c>
      <c r="G413" s="3">
        <f t="shared" si="24"/>
        <v>2.6500092063958897E-2</v>
      </c>
      <c r="H413" s="11"/>
      <c r="I413" s="17">
        <f t="shared" si="27"/>
        <v>48102</v>
      </c>
      <c r="J413" s="18">
        <f t="shared" si="25"/>
        <v>5.4893908281998627</v>
      </c>
      <c r="K413" s="7">
        <v>4.75</v>
      </c>
      <c r="L413" s="7">
        <v>2.714864453332381E-4</v>
      </c>
      <c r="M413" s="7">
        <v>-4.7335043520079041E-3</v>
      </c>
      <c r="N413" s="7">
        <v>2.7436787374047648E-2</v>
      </c>
      <c r="O413" s="7">
        <v>-2.5001577022774474E-2</v>
      </c>
      <c r="P413" s="11">
        <f t="shared" si="26"/>
        <v>2.7880715541520469</v>
      </c>
    </row>
    <row r="414" spans="1:16" x14ac:dyDescent="0.25">
      <c r="A414" s="11">
        <v>4.0199999999999996</v>
      </c>
      <c r="B414" s="7">
        <v>3.75</v>
      </c>
      <c r="C414" s="11">
        <v>-9.9382572676861604E-4</v>
      </c>
      <c r="D414" s="11">
        <v>1.2524491648998591E-2</v>
      </c>
      <c r="E414" s="11">
        <v>-5.0868356986369802E-2</v>
      </c>
      <c r="F414" s="11">
        <v>9.3170201860977769E-2</v>
      </c>
      <c r="G414" s="3">
        <f t="shared" si="24"/>
        <v>2.6516504095264404E-2</v>
      </c>
      <c r="H414" s="11"/>
      <c r="I414" s="17">
        <f t="shared" si="27"/>
        <v>48107</v>
      </c>
      <c r="J414" s="18">
        <f t="shared" si="25"/>
        <v>5.5030800821355239</v>
      </c>
      <c r="K414" s="7">
        <v>4.75</v>
      </c>
      <c r="L414" s="7">
        <v>2.714864453332381E-4</v>
      </c>
      <c r="M414" s="7">
        <v>-4.7335043520079041E-3</v>
      </c>
      <c r="N414" s="7">
        <v>2.7436787374047648E-2</v>
      </c>
      <c r="O414" s="7">
        <v>-2.5001577022774474E-2</v>
      </c>
      <c r="P414" s="11">
        <f t="shared" si="26"/>
        <v>2.7880819181497429</v>
      </c>
    </row>
    <row r="415" spans="1:16" x14ac:dyDescent="0.25">
      <c r="A415" s="11">
        <v>4.03</v>
      </c>
      <c r="B415" s="7">
        <v>3.75</v>
      </c>
      <c r="C415" s="11">
        <v>-9.9382572676861604E-4</v>
      </c>
      <c r="D415" s="11">
        <v>1.2524491648998591E-2</v>
      </c>
      <c r="E415" s="11">
        <v>-5.0868356986369802E-2</v>
      </c>
      <c r="F415" s="11">
        <v>9.3170201860977769E-2</v>
      </c>
      <c r="G415" s="3">
        <f t="shared" si="24"/>
        <v>2.653302391724674E-2</v>
      </c>
      <c r="H415" s="11"/>
      <c r="I415" s="17">
        <f t="shared" si="27"/>
        <v>48112</v>
      </c>
      <c r="J415" s="18">
        <f t="shared" si="25"/>
        <v>5.5167693360711842</v>
      </c>
      <c r="K415" s="7">
        <v>4.75</v>
      </c>
      <c r="L415" s="7">
        <v>2.714864453332381E-4</v>
      </c>
      <c r="M415" s="7">
        <v>-4.7335043520079041E-3</v>
      </c>
      <c r="N415" s="7">
        <v>2.7436787374047648E-2</v>
      </c>
      <c r="O415" s="7">
        <v>-2.5001577022774474E-2</v>
      </c>
      <c r="P415" s="11">
        <f t="shared" si="26"/>
        <v>2.7880828572918404</v>
      </c>
    </row>
    <row r="416" spans="1:16" x14ac:dyDescent="0.25">
      <c r="A416" s="11">
        <v>4.04</v>
      </c>
      <c r="B416" s="7">
        <v>3.75</v>
      </c>
      <c r="C416" s="11">
        <v>-9.9382572676861604E-4</v>
      </c>
      <c r="D416" s="11">
        <v>1.2524491648998591E-2</v>
      </c>
      <c r="E416" s="11">
        <v>-5.0868356986369802E-2</v>
      </c>
      <c r="F416" s="11">
        <v>9.3170201860977769E-2</v>
      </c>
      <c r="G416" s="3">
        <f t="shared" si="24"/>
        <v>2.6549645566951524E-2</v>
      </c>
      <c r="H416" s="11"/>
      <c r="I416" s="17">
        <f t="shared" si="27"/>
        <v>48117</v>
      </c>
      <c r="J416" s="18">
        <f t="shared" si="25"/>
        <v>5.5304585900068446</v>
      </c>
      <c r="K416" s="7">
        <v>4.75</v>
      </c>
      <c r="L416" s="7">
        <v>2.714864453332381E-4</v>
      </c>
      <c r="M416" s="7">
        <v>-4.7335043520079041E-3</v>
      </c>
      <c r="N416" s="7">
        <v>2.7436787374047648E-2</v>
      </c>
      <c r="O416" s="7">
        <v>-2.5001577022774474E-2</v>
      </c>
      <c r="P416" s="11">
        <f t="shared" si="26"/>
        <v>2.7880747894459907</v>
      </c>
    </row>
    <row r="417" spans="1:16" x14ac:dyDescent="0.25">
      <c r="A417" s="11">
        <v>4.05</v>
      </c>
      <c r="B417" s="7">
        <v>3.75</v>
      </c>
      <c r="C417" s="11">
        <v>-9.9382572676861604E-4</v>
      </c>
      <c r="D417" s="11">
        <v>1.2524491648998591E-2</v>
      </c>
      <c r="E417" s="11">
        <v>-5.0868356986369802E-2</v>
      </c>
      <c r="F417" s="11">
        <v>9.3170201860977769E-2</v>
      </c>
      <c r="G417" s="3">
        <f t="shared" si="24"/>
        <v>2.6566363081424488E-2</v>
      </c>
      <c r="H417" s="11"/>
      <c r="I417" s="17">
        <f t="shared" si="27"/>
        <v>48122</v>
      </c>
      <c r="J417" s="18">
        <f t="shared" si="25"/>
        <v>5.5441478439425049</v>
      </c>
      <c r="K417" s="7">
        <v>4.75</v>
      </c>
      <c r="L417" s="7">
        <v>2.714864453332381E-4</v>
      </c>
      <c r="M417" s="7">
        <v>-4.7335043520079041E-3</v>
      </c>
      <c r="N417" s="7">
        <v>2.7436787374047648E-2</v>
      </c>
      <c r="O417" s="7">
        <v>-2.5001577022774474E-2</v>
      </c>
      <c r="P417" s="11">
        <f t="shared" si="26"/>
        <v>2.7880581324798217</v>
      </c>
    </row>
    <row r="418" spans="1:16" x14ac:dyDescent="0.25">
      <c r="A418" s="11">
        <v>4.0599999999999996</v>
      </c>
      <c r="B418" s="7">
        <v>3.75</v>
      </c>
      <c r="C418" s="11">
        <v>-9.9382572676861604E-4</v>
      </c>
      <c r="D418" s="11">
        <v>1.2524491648998591E-2</v>
      </c>
      <c r="E418" s="11">
        <v>-5.0868356986369802E-2</v>
      </c>
      <c r="F418" s="11">
        <v>9.3170201860977769E-2</v>
      </c>
      <c r="G418" s="3">
        <f t="shared" si="24"/>
        <v>2.6583170497711139E-2</v>
      </c>
      <c r="H418" s="11"/>
      <c r="I418" s="17">
        <f t="shared" si="27"/>
        <v>48127</v>
      </c>
      <c r="J418" s="18">
        <f t="shared" si="25"/>
        <v>5.5578370978781653</v>
      </c>
      <c r="K418" s="7">
        <v>4.75</v>
      </c>
      <c r="L418" s="7">
        <v>2.714864453332381E-4</v>
      </c>
      <c r="M418" s="7">
        <v>-4.7335043520079041E-3</v>
      </c>
      <c r="N418" s="7">
        <v>2.7436787374047648E-2</v>
      </c>
      <c r="O418" s="7">
        <v>-2.5001577022774474E-2</v>
      </c>
      <c r="P418" s="11">
        <f t="shared" si="26"/>
        <v>2.7880333042609786</v>
      </c>
    </row>
    <row r="419" spans="1:16" x14ac:dyDescent="0.25">
      <c r="A419" s="11">
        <v>4.07</v>
      </c>
      <c r="B419" s="7">
        <v>3.75</v>
      </c>
      <c r="C419" s="11">
        <v>-9.9382572676861604E-4</v>
      </c>
      <c r="D419" s="11">
        <v>1.2524491648998591E-2</v>
      </c>
      <c r="E419" s="11">
        <v>-5.0868356986369802E-2</v>
      </c>
      <c r="F419" s="11">
        <v>9.3170201860977769E-2</v>
      </c>
      <c r="G419" s="3">
        <f t="shared" si="24"/>
        <v>2.6600061852857182E-2</v>
      </c>
      <c r="H419" s="11"/>
      <c r="I419" s="17">
        <f t="shared" si="27"/>
        <v>48132</v>
      </c>
      <c r="J419" s="18">
        <f t="shared" si="25"/>
        <v>5.5715263518138265</v>
      </c>
      <c r="K419" s="7">
        <v>4.75</v>
      </c>
      <c r="L419" s="7">
        <v>2.714864453332381E-4</v>
      </c>
      <c r="M419" s="7">
        <v>-4.7335043520079041E-3</v>
      </c>
      <c r="N419" s="7">
        <v>2.7436787374047648E-2</v>
      </c>
      <c r="O419" s="7">
        <v>-2.5001577022774474E-2</v>
      </c>
      <c r="P419" s="11">
        <f t="shared" si="26"/>
        <v>2.7880007226571051</v>
      </c>
    </row>
    <row r="420" spans="1:16" x14ac:dyDescent="0.25">
      <c r="A420" s="11">
        <v>4.08</v>
      </c>
      <c r="B420" s="7">
        <v>3.75</v>
      </c>
      <c r="C420" s="11">
        <v>-9.9382572676861604E-4</v>
      </c>
      <c r="D420" s="11">
        <v>1.2524491648998591E-2</v>
      </c>
      <c r="E420" s="11">
        <v>-5.0868356986369802E-2</v>
      </c>
      <c r="F420" s="11">
        <v>9.3170201860977769E-2</v>
      </c>
      <c r="G420" s="3">
        <f t="shared" si="24"/>
        <v>2.6617031183908318E-2</v>
      </c>
      <c r="H420" s="11"/>
      <c r="I420" s="17">
        <f t="shared" si="27"/>
        <v>48137</v>
      </c>
      <c r="J420" s="18">
        <f t="shared" si="25"/>
        <v>5.5852156057494868</v>
      </c>
      <c r="K420" s="7">
        <v>4.75</v>
      </c>
      <c r="L420" s="7">
        <v>2.714864453332381E-4</v>
      </c>
      <c r="M420" s="7">
        <v>-4.7335043520079041E-3</v>
      </c>
      <c r="N420" s="7">
        <v>2.7436787374047648E-2</v>
      </c>
      <c r="O420" s="7">
        <v>-2.5001577022774474E-2</v>
      </c>
      <c r="P420" s="11">
        <f t="shared" si="26"/>
        <v>2.7879608055358398</v>
      </c>
    </row>
    <row r="421" spans="1:16" x14ac:dyDescent="0.25">
      <c r="A421" s="11">
        <v>4.09</v>
      </c>
      <c r="B421" s="7">
        <v>3.75</v>
      </c>
      <c r="C421" s="11">
        <v>-9.9382572676861604E-4</v>
      </c>
      <c r="D421" s="11">
        <v>1.2524491648998591E-2</v>
      </c>
      <c r="E421" s="11">
        <v>-5.0868356986369802E-2</v>
      </c>
      <c r="F421" s="11">
        <v>9.3170201860977769E-2</v>
      </c>
      <c r="G421" s="3">
        <f t="shared" si="24"/>
        <v>2.6634072527910058E-2</v>
      </c>
      <c r="H421" s="11"/>
      <c r="I421" s="17">
        <f t="shared" si="27"/>
        <v>48142</v>
      </c>
      <c r="J421" s="18">
        <f t="shared" si="25"/>
        <v>5.5989048596851472</v>
      </c>
      <c r="K421" s="7">
        <v>4.75</v>
      </c>
      <c r="L421" s="7">
        <v>2.714864453332381E-4</v>
      </c>
      <c r="M421" s="7">
        <v>-4.7335043520079041E-3</v>
      </c>
      <c r="N421" s="7">
        <v>2.7436787374047648E-2</v>
      </c>
      <c r="O421" s="7">
        <v>-2.5001577022774474E-2</v>
      </c>
      <c r="P421" s="11">
        <f t="shared" si="26"/>
        <v>2.7879139707648215</v>
      </c>
    </row>
    <row r="422" spans="1:16" x14ac:dyDescent="0.25">
      <c r="A422" s="11">
        <v>4.0999999999999996</v>
      </c>
      <c r="B422" s="7">
        <v>3.75</v>
      </c>
      <c r="C422" s="11">
        <v>-9.9382572676861604E-4</v>
      </c>
      <c r="D422" s="11">
        <v>1.2524491648998591E-2</v>
      </c>
      <c r="E422" s="11">
        <v>-5.0868356986369802E-2</v>
      </c>
      <c r="F422" s="11">
        <v>9.3170201860977769E-2</v>
      </c>
      <c r="G422" s="3">
        <f t="shared" si="24"/>
        <v>2.665117992190813E-2</v>
      </c>
      <c r="H422" s="11"/>
      <c r="I422" s="17">
        <f t="shared" si="27"/>
        <v>48147</v>
      </c>
      <c r="J422" s="18">
        <f t="shared" si="25"/>
        <v>5.6125941136208075</v>
      </c>
      <c r="K422" s="7">
        <v>4.75</v>
      </c>
      <c r="L422" s="7">
        <v>2.714864453332381E-4</v>
      </c>
      <c r="M422" s="7">
        <v>-4.7335043520079041E-3</v>
      </c>
      <c r="N422" s="7">
        <v>2.7436787374047648E-2</v>
      </c>
      <c r="O422" s="7">
        <v>-2.5001577022774474E-2</v>
      </c>
      <c r="P422" s="11">
        <f t="shared" si="26"/>
        <v>2.7878606362116893</v>
      </c>
    </row>
    <row r="423" spans="1:16" x14ac:dyDescent="0.25">
      <c r="A423" s="11">
        <v>4.1100000000000003</v>
      </c>
      <c r="B423" s="7">
        <v>3.75</v>
      </c>
      <c r="C423" s="11">
        <v>-9.9382572676861604E-4</v>
      </c>
      <c r="D423" s="11">
        <v>1.2524491648998591E-2</v>
      </c>
      <c r="E423" s="11">
        <v>-5.0868356986369802E-2</v>
      </c>
      <c r="F423" s="11">
        <v>9.3170201860977769E-2</v>
      </c>
      <c r="G423" s="3">
        <f t="shared" si="24"/>
        <v>2.6668347402948156E-2</v>
      </c>
      <c r="H423" s="11"/>
      <c r="I423" s="17">
        <f t="shared" si="27"/>
        <v>48152</v>
      </c>
      <c r="J423" s="18">
        <f t="shared" si="25"/>
        <v>5.6262833675564679</v>
      </c>
      <c r="K423" s="7">
        <v>4.75</v>
      </c>
      <c r="L423" s="7">
        <v>2.714864453332381E-4</v>
      </c>
      <c r="M423" s="7">
        <v>-4.7335043520079041E-3</v>
      </c>
      <c r="N423" s="7">
        <v>2.7436787374047648E-2</v>
      </c>
      <c r="O423" s="7">
        <v>-2.5001577022774474E-2</v>
      </c>
      <c r="P423" s="11">
        <f t="shared" si="26"/>
        <v>2.7878012197440878</v>
      </c>
    </row>
    <row r="424" spans="1:16" x14ac:dyDescent="0.25">
      <c r="A424" s="11">
        <v>4.12</v>
      </c>
      <c r="B424" s="7">
        <v>3.75</v>
      </c>
      <c r="C424" s="11">
        <v>-9.9382572676861604E-4</v>
      </c>
      <c r="D424" s="11">
        <v>1.2524491648998591E-2</v>
      </c>
      <c r="E424" s="11">
        <v>-5.0868356986369802E-2</v>
      </c>
      <c r="F424" s="11">
        <v>9.3170201860977769E-2</v>
      </c>
      <c r="G424" s="3">
        <f t="shared" si="24"/>
        <v>2.6685569008075727E-2</v>
      </c>
      <c r="H424" s="11"/>
      <c r="I424" s="17">
        <f t="shared" si="27"/>
        <v>48157</v>
      </c>
      <c r="J424" s="18">
        <f t="shared" si="25"/>
        <v>5.6399726214921291</v>
      </c>
      <c r="K424" s="7">
        <v>4.75</v>
      </c>
      <c r="L424" s="7">
        <v>2.714864453332381E-4</v>
      </c>
      <c r="M424" s="7">
        <v>-4.7335043520079041E-3</v>
      </c>
      <c r="N424" s="7">
        <v>2.7436787374047648E-2</v>
      </c>
      <c r="O424" s="7">
        <v>-2.5001577022774474E-2</v>
      </c>
      <c r="P424" s="11">
        <f t="shared" si="26"/>
        <v>2.7877361392296574</v>
      </c>
    </row>
    <row r="425" spans="1:16" x14ac:dyDescent="0.25">
      <c r="A425" s="11">
        <v>4.13</v>
      </c>
      <c r="B425" s="7">
        <v>3.75</v>
      </c>
      <c r="C425" s="11">
        <v>-9.9382572676861604E-4</v>
      </c>
      <c r="D425" s="11">
        <v>1.2524491648998591E-2</v>
      </c>
      <c r="E425" s="11">
        <v>-5.0868356986369802E-2</v>
      </c>
      <c r="F425" s="11">
        <v>9.3170201860977769E-2</v>
      </c>
      <c r="G425" s="3">
        <f t="shared" si="24"/>
        <v>2.6702838774336574E-2</v>
      </c>
      <c r="H425" s="11"/>
      <c r="I425" s="17">
        <f t="shared" si="27"/>
        <v>48162</v>
      </c>
      <c r="J425" s="18">
        <f t="shared" si="25"/>
        <v>5.6536618754277894</v>
      </c>
      <c r="K425" s="7">
        <v>4.75</v>
      </c>
      <c r="L425" s="7">
        <v>2.714864453332381E-4</v>
      </c>
      <c r="M425" s="7">
        <v>-4.7335043520079041E-3</v>
      </c>
      <c r="N425" s="7">
        <v>2.7436787374047648E-2</v>
      </c>
      <c r="O425" s="7">
        <v>-2.5001577022774474E-2</v>
      </c>
      <c r="P425" s="11">
        <f t="shared" si="26"/>
        <v>2.7876658125360305</v>
      </c>
    </row>
    <row r="426" spans="1:16" x14ac:dyDescent="0.25">
      <c r="A426" s="11">
        <v>4.1399999999999997</v>
      </c>
      <c r="B426" s="7">
        <v>3.75</v>
      </c>
      <c r="C426" s="11">
        <v>-9.9382572676861604E-4</v>
      </c>
      <c r="D426" s="11">
        <v>1.2524491648998591E-2</v>
      </c>
      <c r="E426" s="11">
        <v>-5.0868356986369802E-2</v>
      </c>
      <c r="F426" s="11">
        <v>9.3170201860977769E-2</v>
      </c>
      <c r="G426" s="3">
        <f t="shared" si="24"/>
        <v>2.6720150738776288E-2</v>
      </c>
      <c r="H426" s="11"/>
      <c r="I426" s="17">
        <f t="shared" si="27"/>
        <v>48167</v>
      </c>
      <c r="J426" s="18">
        <f t="shared" si="25"/>
        <v>5.6673511293634498</v>
      </c>
      <c r="K426" s="7">
        <v>4.75</v>
      </c>
      <c r="L426" s="7">
        <v>2.714864453332381E-4</v>
      </c>
      <c r="M426" s="7">
        <v>-4.7335043520079041E-3</v>
      </c>
      <c r="N426" s="7">
        <v>2.7436787374047648E-2</v>
      </c>
      <c r="O426" s="7">
        <v>-2.5001577022774474E-2</v>
      </c>
      <c r="P426" s="11">
        <f t="shared" si="26"/>
        <v>2.7875906575308611</v>
      </c>
    </row>
    <row r="427" spans="1:16" x14ac:dyDescent="0.25">
      <c r="A427" s="11">
        <v>4.1500000000000004</v>
      </c>
      <c r="B427" s="7">
        <v>3.75</v>
      </c>
      <c r="C427" s="11">
        <v>-9.9382572676861604E-4</v>
      </c>
      <c r="D427" s="11">
        <v>1.2524491648998591E-2</v>
      </c>
      <c r="E427" s="11">
        <v>-5.0868356986369802E-2</v>
      </c>
      <c r="F427" s="11">
        <v>9.3170201860977769E-2</v>
      </c>
      <c r="G427" s="3">
        <f t="shared" si="24"/>
        <v>2.673749893844049E-2</v>
      </c>
      <c r="H427" s="11"/>
      <c r="I427" s="17">
        <f t="shared" si="27"/>
        <v>48172</v>
      </c>
      <c r="J427" s="18">
        <f t="shared" si="25"/>
        <v>5.6810403832991101</v>
      </c>
      <c r="K427" s="7">
        <v>4.75</v>
      </c>
      <c r="L427" s="7">
        <v>2.714864453332381E-4</v>
      </c>
      <c r="M427" s="7">
        <v>-4.7335043520079041E-3</v>
      </c>
      <c r="N427" s="7">
        <v>2.7436787374047648E-2</v>
      </c>
      <c r="O427" s="7">
        <v>-2.5001577022774474E-2</v>
      </c>
      <c r="P427" s="11">
        <f t="shared" si="26"/>
        <v>2.7875110920817763</v>
      </c>
    </row>
    <row r="428" spans="1:16" x14ac:dyDescent="0.25">
      <c r="A428" s="11">
        <v>4.16</v>
      </c>
      <c r="B428" s="7">
        <v>3.75</v>
      </c>
      <c r="C428" s="11">
        <v>-9.9382572676861604E-4</v>
      </c>
      <c r="D428" s="11">
        <v>1.2524491648998591E-2</v>
      </c>
      <c r="E428" s="11">
        <v>-5.0868356986369802E-2</v>
      </c>
      <c r="F428" s="11">
        <v>9.3170201860977769E-2</v>
      </c>
      <c r="G428" s="3">
        <f t="shared" si="24"/>
        <v>2.6754877410374855E-2</v>
      </c>
      <c r="H428" s="11"/>
      <c r="I428" s="17">
        <f t="shared" si="27"/>
        <v>48177</v>
      </c>
      <c r="J428" s="18">
        <f t="shared" si="25"/>
        <v>5.6947296372347704</v>
      </c>
      <c r="K428" s="7">
        <v>4.75</v>
      </c>
      <c r="L428" s="7">
        <v>2.714864453332381E-4</v>
      </c>
      <c r="M428" s="7">
        <v>-4.7335043520079041E-3</v>
      </c>
      <c r="N428" s="7">
        <v>2.7436787374047648E-2</v>
      </c>
      <c r="O428" s="7">
        <v>-2.5001577022774474E-2</v>
      </c>
      <c r="P428" s="11">
        <f t="shared" si="26"/>
        <v>2.7874275340564276</v>
      </c>
    </row>
    <row r="429" spans="1:16" x14ac:dyDescent="0.25">
      <c r="A429" s="11">
        <v>4.17</v>
      </c>
      <c r="B429" s="7">
        <v>3.75</v>
      </c>
      <c r="C429" s="11">
        <v>-9.9382572676861604E-4</v>
      </c>
      <c r="D429" s="11">
        <v>1.2524491648998591E-2</v>
      </c>
      <c r="E429" s="11">
        <v>-5.0868356986369802E-2</v>
      </c>
      <c r="F429" s="11">
        <v>9.3170201860977769E-2</v>
      </c>
      <c r="G429" s="3">
        <f t="shared" si="24"/>
        <v>2.6772280191625003E-2</v>
      </c>
      <c r="H429" s="11"/>
      <c r="I429" s="17">
        <f t="shared" si="27"/>
        <v>48182</v>
      </c>
      <c r="J429" s="18">
        <f t="shared" si="25"/>
        <v>5.7084188911704308</v>
      </c>
      <c r="K429" s="7">
        <v>4.75</v>
      </c>
      <c r="L429" s="7">
        <v>2.714864453332381E-4</v>
      </c>
      <c r="M429" s="7">
        <v>-4.7335043520079041E-3</v>
      </c>
      <c r="N429" s="7">
        <v>2.7436787374047648E-2</v>
      </c>
      <c r="O429" s="7">
        <v>-2.5001577022774474E-2</v>
      </c>
      <c r="P429" s="11">
        <f t="shared" si="26"/>
        <v>2.7873404013224441</v>
      </c>
    </row>
    <row r="430" spans="1:16" x14ac:dyDescent="0.25">
      <c r="A430" s="11">
        <v>4.18</v>
      </c>
      <c r="B430" s="7">
        <v>3.75</v>
      </c>
      <c r="C430" s="11">
        <v>-9.9382572676861604E-4</v>
      </c>
      <c r="D430" s="11">
        <v>1.2524491648998591E-2</v>
      </c>
      <c r="E430" s="11">
        <v>-5.0868356986369802E-2</v>
      </c>
      <c r="F430" s="11">
        <v>9.3170201860977769E-2</v>
      </c>
      <c r="G430" s="3">
        <f t="shared" si="24"/>
        <v>2.6789701319236525E-2</v>
      </c>
      <c r="H430" s="11"/>
      <c r="I430" s="17">
        <f t="shared" si="27"/>
        <v>48187</v>
      </c>
      <c r="J430" s="18">
        <f t="shared" si="25"/>
        <v>5.722108145106092</v>
      </c>
      <c r="K430" s="7">
        <v>4.75</v>
      </c>
      <c r="L430" s="7">
        <v>2.714864453332381E-4</v>
      </c>
      <c r="M430" s="7">
        <v>-4.7335043520079041E-3</v>
      </c>
      <c r="N430" s="7">
        <v>2.7436787374047648E-2</v>
      </c>
      <c r="O430" s="7">
        <v>-2.5001577022774474E-2</v>
      </c>
      <c r="P430" s="11">
        <f t="shared" si="26"/>
        <v>2.7872501117474719</v>
      </c>
    </row>
    <row r="431" spans="1:16" x14ac:dyDescent="0.25">
      <c r="A431" s="11">
        <v>4.1900000000000004</v>
      </c>
      <c r="B431" s="7">
        <v>3.75</v>
      </c>
      <c r="C431" s="11">
        <v>-9.9382572676861604E-4</v>
      </c>
      <c r="D431" s="11">
        <v>1.2524491648998591E-2</v>
      </c>
      <c r="E431" s="11">
        <v>-5.0868356986369802E-2</v>
      </c>
      <c r="F431" s="11">
        <v>9.3170201860977769E-2</v>
      </c>
      <c r="G431" s="3">
        <f t="shared" si="24"/>
        <v>2.680713483025518E-2</v>
      </c>
      <c r="H431" s="11"/>
      <c r="I431" s="17">
        <f t="shared" si="27"/>
        <v>48192</v>
      </c>
      <c r="J431" s="18">
        <f t="shared" si="25"/>
        <v>5.7357973990417523</v>
      </c>
      <c r="K431" s="7">
        <v>4.75</v>
      </c>
      <c r="L431" s="7">
        <v>2.714864453332381E-4</v>
      </c>
      <c r="M431" s="7">
        <v>-4.7335043520079041E-3</v>
      </c>
      <c r="N431" s="7">
        <v>2.7436787374047648E-2</v>
      </c>
      <c r="O431" s="7">
        <v>-2.5001577022774474E-2</v>
      </c>
      <c r="P431" s="11">
        <f t="shared" si="26"/>
        <v>2.7871570831991517</v>
      </c>
    </row>
    <row r="432" spans="1:16" x14ac:dyDescent="0.25">
      <c r="A432" s="11">
        <v>4.2</v>
      </c>
      <c r="B432" s="7">
        <v>3.75</v>
      </c>
      <c r="C432" s="11">
        <v>-9.9382572676861604E-4</v>
      </c>
      <c r="D432" s="11">
        <v>1.2524491648998591E-2</v>
      </c>
      <c r="E432" s="11">
        <v>-5.0868356986369802E-2</v>
      </c>
      <c r="F432" s="11">
        <v>9.3170201860977769E-2</v>
      </c>
      <c r="G432" s="3">
        <f t="shared" si="24"/>
        <v>2.6824574761726533E-2</v>
      </c>
      <c r="H432" s="11"/>
      <c r="I432" s="17">
        <f t="shared" si="27"/>
        <v>48197</v>
      </c>
      <c r="J432" s="18">
        <f t="shared" si="25"/>
        <v>5.7494866529774127</v>
      </c>
      <c r="K432" s="7">
        <v>4.75</v>
      </c>
      <c r="L432" s="7">
        <v>2.714864453332381E-4</v>
      </c>
      <c r="M432" s="7">
        <v>-4.7335043520079041E-3</v>
      </c>
      <c r="N432" s="7">
        <v>2.7436787374047648E-2</v>
      </c>
      <c r="O432" s="7">
        <v>-2.5001577022774474E-2</v>
      </c>
      <c r="P432" s="11">
        <f t="shared" si="26"/>
        <v>2.7870617335451291</v>
      </c>
    </row>
    <row r="433" spans="1:16" x14ac:dyDescent="0.25">
      <c r="A433" s="11">
        <v>4.21</v>
      </c>
      <c r="B433" s="7">
        <v>3.75</v>
      </c>
      <c r="C433" s="11">
        <v>-9.9382572676861604E-4</v>
      </c>
      <c r="D433" s="11">
        <v>1.2524491648998591E-2</v>
      </c>
      <c r="E433" s="11">
        <v>-5.0868356986369802E-2</v>
      </c>
      <c r="F433" s="11">
        <v>9.3170201860977769E-2</v>
      </c>
      <c r="G433" s="3">
        <f t="shared" si="24"/>
        <v>2.6842015150696202E-2</v>
      </c>
      <c r="H433" s="11"/>
      <c r="I433" s="17">
        <f t="shared" si="27"/>
        <v>48202</v>
      </c>
      <c r="J433" s="18">
        <f t="shared" si="25"/>
        <v>5.763175906913073</v>
      </c>
      <c r="K433" s="7">
        <v>4.75</v>
      </c>
      <c r="L433" s="7">
        <v>2.714864453332381E-4</v>
      </c>
      <c r="M433" s="7">
        <v>-4.7335043520079041E-3</v>
      </c>
      <c r="N433" s="7">
        <v>2.7436787374047648E-2</v>
      </c>
      <c r="O433" s="7">
        <v>-2.5001577022774474E-2</v>
      </c>
      <c r="P433" s="11">
        <f t="shared" si="26"/>
        <v>2.786964480653034</v>
      </c>
    </row>
    <row r="434" spans="1:16" x14ac:dyDescent="0.25">
      <c r="A434" s="11">
        <v>4.22</v>
      </c>
      <c r="B434" s="7">
        <v>3.75</v>
      </c>
      <c r="C434" s="11">
        <v>-9.9382572676861604E-4</v>
      </c>
      <c r="D434" s="11">
        <v>1.2524491648998591E-2</v>
      </c>
      <c r="E434" s="11">
        <v>-5.0868356986369802E-2</v>
      </c>
      <c r="F434" s="11">
        <v>9.3170201860977769E-2</v>
      </c>
      <c r="G434" s="3">
        <f t="shared" si="24"/>
        <v>2.6859450034209892E-2</v>
      </c>
      <c r="H434" s="11"/>
      <c r="I434" s="17">
        <f t="shared" si="27"/>
        <v>48207</v>
      </c>
      <c r="J434" s="18">
        <f t="shared" si="25"/>
        <v>5.7768651608487334</v>
      </c>
      <c r="K434" s="7">
        <v>4.75</v>
      </c>
      <c r="L434" s="7">
        <v>2.714864453332381E-4</v>
      </c>
      <c r="M434" s="7">
        <v>-4.7335043520079041E-3</v>
      </c>
      <c r="N434" s="7">
        <v>2.7436787374047648E-2</v>
      </c>
      <c r="O434" s="7">
        <v>-2.5001577022774474E-2</v>
      </c>
      <c r="P434" s="11">
        <f t="shared" si="26"/>
        <v>2.7868657423905137</v>
      </c>
    </row>
    <row r="435" spans="1:16" x14ac:dyDescent="0.25">
      <c r="A435" s="11">
        <v>4.2300000000000004</v>
      </c>
      <c r="B435" s="7">
        <v>3.75</v>
      </c>
      <c r="C435" s="11">
        <v>-9.9382572676861604E-4</v>
      </c>
      <c r="D435" s="11">
        <v>1.2524491648998591E-2</v>
      </c>
      <c r="E435" s="11">
        <v>-5.0868356986369802E-2</v>
      </c>
      <c r="F435" s="11">
        <v>9.3170201860977769E-2</v>
      </c>
      <c r="G435" s="3">
        <f t="shared" si="24"/>
        <v>2.6876873449313166E-2</v>
      </c>
      <c r="H435" s="11"/>
      <c r="I435" s="17">
        <f t="shared" si="27"/>
        <v>48212</v>
      </c>
      <c r="J435" s="18">
        <f t="shared" si="25"/>
        <v>5.7905544147843946</v>
      </c>
      <c r="K435" s="7">
        <v>4.75</v>
      </c>
      <c r="L435" s="7">
        <v>2.714864453332381E-4</v>
      </c>
      <c r="M435" s="7">
        <v>-4.7335043520079041E-3</v>
      </c>
      <c r="N435" s="7">
        <v>2.7436787374047648E-2</v>
      </c>
      <c r="O435" s="7">
        <v>-2.5001577022774474E-2</v>
      </c>
      <c r="P435" s="11">
        <f t="shared" si="26"/>
        <v>2.7867659366252044</v>
      </c>
    </row>
    <row r="436" spans="1:16" x14ac:dyDescent="0.25">
      <c r="A436" s="11">
        <v>4.24</v>
      </c>
      <c r="B436" s="7">
        <v>3.75</v>
      </c>
      <c r="C436" s="11">
        <v>-9.9382572676861604E-4</v>
      </c>
      <c r="D436" s="11">
        <v>1.2524491648998591E-2</v>
      </c>
      <c r="E436" s="11">
        <v>-5.0868356986369802E-2</v>
      </c>
      <c r="F436" s="11">
        <v>9.3170201860977769E-2</v>
      </c>
      <c r="G436" s="3">
        <f t="shared" si="24"/>
        <v>2.6894279433051699E-2</v>
      </c>
      <c r="H436" s="11"/>
      <c r="I436" s="17">
        <f t="shared" si="27"/>
        <v>48217</v>
      </c>
      <c r="J436" s="18">
        <f t="shared" si="25"/>
        <v>5.8042436687200549</v>
      </c>
      <c r="K436" s="7">
        <v>4.75</v>
      </c>
      <c r="L436" s="7">
        <v>2.714864453332381E-4</v>
      </c>
      <c r="M436" s="7">
        <v>-4.7335043520079041E-3</v>
      </c>
      <c r="N436" s="7">
        <v>2.7436787374047648E-2</v>
      </c>
      <c r="O436" s="7">
        <v>-2.5001577022774474E-2</v>
      </c>
      <c r="P436" s="11">
        <f t="shared" si="26"/>
        <v>2.7866654812247535</v>
      </c>
    </row>
    <row r="437" spans="1:16" x14ac:dyDescent="0.25">
      <c r="A437" s="11">
        <v>4.25</v>
      </c>
      <c r="B437" s="7">
        <v>3.75</v>
      </c>
      <c r="C437" s="11">
        <v>-9.9382572676861604E-4</v>
      </c>
      <c r="D437" s="11">
        <v>1.2524491648998591E-2</v>
      </c>
      <c r="E437" s="11">
        <v>-5.0868356986369802E-2</v>
      </c>
      <c r="F437" s="11">
        <v>9.3170201860977769E-2</v>
      </c>
      <c r="G437" s="3">
        <f t="shared" si="24"/>
        <v>2.6911662022471139E-2</v>
      </c>
      <c r="H437" s="11"/>
      <c r="I437" s="17">
        <f t="shared" si="27"/>
        <v>48222</v>
      </c>
      <c r="J437" s="18">
        <f t="shared" si="25"/>
        <v>5.8179329226557153</v>
      </c>
      <c r="K437" s="7">
        <v>4.75</v>
      </c>
      <c r="L437" s="7">
        <v>2.714864453332381E-4</v>
      </c>
      <c r="M437" s="7">
        <v>-4.7335043520079041E-3</v>
      </c>
      <c r="N437" s="7">
        <v>2.7436787374047648E-2</v>
      </c>
      <c r="O437" s="7">
        <v>-2.5001577022774474E-2</v>
      </c>
      <c r="P437" s="11">
        <f t="shared" si="26"/>
        <v>2.7865647940567921</v>
      </c>
    </row>
    <row r="438" spans="1:16" x14ac:dyDescent="0.25">
      <c r="A438" s="11">
        <v>4.26</v>
      </c>
      <c r="B438" s="7">
        <v>3.75</v>
      </c>
      <c r="C438" s="11">
        <v>-9.9382572676861604E-4</v>
      </c>
      <c r="D438" s="11">
        <v>1.2524491648998591E-2</v>
      </c>
      <c r="E438" s="11">
        <v>-5.0868356986369802E-2</v>
      </c>
      <c r="F438" s="11">
        <v>9.3170201860977769E-2</v>
      </c>
      <c r="G438" s="3">
        <f t="shared" si="24"/>
        <v>2.6929015254617106E-2</v>
      </c>
      <c r="H438" s="11"/>
      <c r="I438" s="17">
        <f t="shared" si="27"/>
        <v>48227</v>
      </c>
      <c r="J438" s="18">
        <f t="shared" si="25"/>
        <v>5.8316221765913756</v>
      </c>
      <c r="K438" s="7">
        <v>4.75</v>
      </c>
      <c r="L438" s="7">
        <v>2.714864453332381E-4</v>
      </c>
      <c r="M438" s="7">
        <v>-4.7335043520079041E-3</v>
      </c>
      <c r="N438" s="7">
        <v>2.7436787374047648E-2</v>
      </c>
      <c r="O438" s="7">
        <v>-2.5001577022774474E-2</v>
      </c>
      <c r="P438" s="11">
        <f t="shared" si="26"/>
        <v>2.7864642929889687</v>
      </c>
    </row>
    <row r="439" spans="1:16" x14ac:dyDescent="0.25">
      <c r="A439" s="11">
        <v>4.2699999999999996</v>
      </c>
      <c r="B439" s="7">
        <v>3.75</v>
      </c>
      <c r="C439" s="11">
        <v>-9.9382572676861604E-4</v>
      </c>
      <c r="D439" s="11">
        <v>1.2524491648998591E-2</v>
      </c>
      <c r="E439" s="11">
        <v>-5.0868356986369802E-2</v>
      </c>
      <c r="F439" s="11">
        <v>9.3170201860977769E-2</v>
      </c>
      <c r="G439" s="3">
        <f t="shared" si="24"/>
        <v>2.6946333166535302E-2</v>
      </c>
      <c r="H439" s="11"/>
      <c r="I439" s="17">
        <f t="shared" si="27"/>
        <v>48232</v>
      </c>
      <c r="J439" s="18">
        <f t="shared" si="25"/>
        <v>5.8453114305270359</v>
      </c>
      <c r="K439" s="7">
        <v>4.75</v>
      </c>
      <c r="L439" s="7">
        <v>2.714864453332381E-4</v>
      </c>
      <c r="M439" s="7">
        <v>-4.7335043520079041E-3</v>
      </c>
      <c r="N439" s="7">
        <v>2.7436787374047648E-2</v>
      </c>
      <c r="O439" s="7">
        <v>-2.5001577022774474E-2</v>
      </c>
      <c r="P439" s="11">
        <f t="shared" si="26"/>
        <v>2.7863643958889242</v>
      </c>
    </row>
    <row r="440" spans="1:16" x14ac:dyDescent="0.25">
      <c r="A440" s="11">
        <v>4.28</v>
      </c>
      <c r="B440" s="7">
        <v>3.75</v>
      </c>
      <c r="C440" s="11">
        <v>-9.9382572676861604E-4</v>
      </c>
      <c r="D440" s="11">
        <v>1.2524491648998591E-2</v>
      </c>
      <c r="E440" s="11">
        <v>-5.0868356986369802E-2</v>
      </c>
      <c r="F440" s="11">
        <v>9.3170201860977769E-2</v>
      </c>
      <c r="G440" s="3">
        <f t="shared" si="24"/>
        <v>2.6963609795271237E-2</v>
      </c>
      <c r="H440" s="11"/>
      <c r="I440" s="17">
        <f t="shared" si="27"/>
        <v>48237</v>
      </c>
      <c r="J440" s="18">
        <f t="shared" si="25"/>
        <v>5.8590006844626972</v>
      </c>
      <c r="K440" s="7">
        <v>4.75</v>
      </c>
      <c r="L440" s="7">
        <v>2.714864453332381E-4</v>
      </c>
      <c r="M440" s="7">
        <v>-4.7335043520079041E-3</v>
      </c>
      <c r="N440" s="7">
        <v>2.7436787374047648E-2</v>
      </c>
      <c r="O440" s="7">
        <v>-2.5001577022774474E-2</v>
      </c>
      <c r="P440" s="11">
        <f t="shared" si="26"/>
        <v>2.786265520624287</v>
      </c>
    </row>
    <row r="441" spans="1:16" x14ac:dyDescent="0.25">
      <c r="A441" s="11">
        <v>4.29</v>
      </c>
      <c r="B441" s="7">
        <v>3.75</v>
      </c>
      <c r="C441" s="11">
        <v>-9.9382572676861604E-4</v>
      </c>
      <c r="D441" s="11">
        <v>1.2524491648998591E-2</v>
      </c>
      <c r="E441" s="11">
        <v>-5.0868356986369802E-2</v>
      </c>
      <c r="F441" s="11">
        <v>9.3170201860977769E-2</v>
      </c>
      <c r="G441" s="3">
        <f t="shared" si="24"/>
        <v>2.6980839177870669E-2</v>
      </c>
      <c r="H441" s="11"/>
      <c r="I441" s="17">
        <f t="shared" si="27"/>
        <v>48242</v>
      </c>
      <c r="J441" s="18">
        <f t="shared" si="25"/>
        <v>5.8726899383983575</v>
      </c>
      <c r="K441" s="7">
        <v>4.75</v>
      </c>
      <c r="L441" s="7">
        <v>2.714864453332381E-4</v>
      </c>
      <c r="M441" s="7">
        <v>-4.7335043520079041E-3</v>
      </c>
      <c r="N441" s="7">
        <v>2.7436787374047648E-2</v>
      </c>
      <c r="O441" s="7">
        <v>-2.5001577022774474E-2</v>
      </c>
      <c r="P441" s="11">
        <f t="shared" si="26"/>
        <v>2.7861680850627124</v>
      </c>
    </row>
    <row r="442" spans="1:16" x14ac:dyDescent="0.25">
      <c r="A442" s="11">
        <v>4.3</v>
      </c>
      <c r="B442" s="7">
        <v>3.75</v>
      </c>
      <c r="C442" s="11">
        <v>-9.9382572676861604E-4</v>
      </c>
      <c r="D442" s="11">
        <v>1.2524491648998591E-2</v>
      </c>
      <c r="E442" s="11">
        <v>-5.0868356986369802E-2</v>
      </c>
      <c r="F442" s="11">
        <v>9.3170201860977769E-2</v>
      </c>
      <c r="G442" s="3">
        <f t="shared" si="24"/>
        <v>2.6998015351379218E-2</v>
      </c>
      <c r="H442" s="11"/>
      <c r="I442" s="17">
        <f t="shared" si="27"/>
        <v>48247</v>
      </c>
      <c r="J442" s="18">
        <f t="shared" si="25"/>
        <v>5.8863791923340179</v>
      </c>
      <c r="K442" s="7">
        <v>4.75</v>
      </c>
      <c r="L442" s="7">
        <v>2.714864453332381E-4</v>
      </c>
      <c r="M442" s="7">
        <v>-4.7335043520079041E-3</v>
      </c>
      <c r="N442" s="7">
        <v>2.7436787374047648E-2</v>
      </c>
      <c r="O442" s="7">
        <v>-2.5001577022774474E-2</v>
      </c>
      <c r="P442" s="11">
        <f t="shared" si="26"/>
        <v>2.7860725070718297</v>
      </c>
    </row>
    <row r="443" spans="1:16" x14ac:dyDescent="0.25">
      <c r="A443" s="11">
        <v>4.3099999999999996</v>
      </c>
      <c r="B443" s="7">
        <v>3.75</v>
      </c>
      <c r="C443" s="11">
        <v>-9.9382572676861604E-4</v>
      </c>
      <c r="D443" s="11">
        <v>1.2524491648998591E-2</v>
      </c>
      <c r="E443" s="11">
        <v>-5.0868356986369802E-2</v>
      </c>
      <c r="F443" s="11">
        <v>9.3170201860977769E-2</v>
      </c>
      <c r="G443" s="3">
        <f t="shared" si="24"/>
        <v>2.7015132352842502E-2</v>
      </c>
      <c r="H443" s="11"/>
      <c r="I443" s="17">
        <f t="shared" si="27"/>
        <v>48252</v>
      </c>
      <c r="J443" s="18">
        <f t="shared" si="25"/>
        <v>5.9000684462696782</v>
      </c>
      <c r="K443" s="7">
        <v>4.75</v>
      </c>
      <c r="L443" s="7">
        <v>2.714864453332381E-4</v>
      </c>
      <c r="M443" s="7">
        <v>-4.7335043520079041E-3</v>
      </c>
      <c r="N443" s="7">
        <v>2.7436787374047648E-2</v>
      </c>
      <c r="O443" s="7">
        <v>-2.5001577022774474E-2</v>
      </c>
      <c r="P443" s="11">
        <f t="shared" si="26"/>
        <v>2.785979204519283</v>
      </c>
    </row>
    <row r="444" spans="1:16" x14ac:dyDescent="0.25">
      <c r="A444" s="11">
        <v>4.32</v>
      </c>
      <c r="B444" s="7">
        <v>3.75</v>
      </c>
      <c r="C444" s="11">
        <v>-9.9382572676861604E-4</v>
      </c>
      <c r="D444" s="11">
        <v>1.2524491648998591E-2</v>
      </c>
      <c r="E444" s="11">
        <v>-5.0868356986369802E-2</v>
      </c>
      <c r="F444" s="11">
        <v>9.3170201860977769E-2</v>
      </c>
      <c r="G444" s="3">
        <f t="shared" si="24"/>
        <v>2.7032184219306143E-2</v>
      </c>
      <c r="H444" s="11"/>
      <c r="I444" s="17">
        <f t="shared" si="27"/>
        <v>48257</v>
      </c>
      <c r="J444" s="18">
        <f t="shared" si="25"/>
        <v>5.9137577002053385</v>
      </c>
      <c r="K444" s="7">
        <v>4.75</v>
      </c>
      <c r="L444" s="7">
        <v>2.714864453332381E-4</v>
      </c>
      <c r="M444" s="7">
        <v>-4.7335043520079041E-3</v>
      </c>
      <c r="N444" s="7">
        <v>2.7436787374047648E-2</v>
      </c>
      <c r="O444" s="7">
        <v>-2.5001577022774474E-2</v>
      </c>
      <c r="P444" s="11">
        <f t="shared" si="26"/>
        <v>2.7858885952727133</v>
      </c>
    </row>
    <row r="445" spans="1:16" x14ac:dyDescent="0.25">
      <c r="A445" s="11">
        <v>4.33</v>
      </c>
      <c r="B445" s="7">
        <v>3.75</v>
      </c>
      <c r="C445" s="11">
        <v>-9.9382572676861604E-4</v>
      </c>
      <c r="D445" s="11">
        <v>1.2524491648998591E-2</v>
      </c>
      <c r="E445" s="11">
        <v>-5.0868356986369802E-2</v>
      </c>
      <c r="F445" s="11">
        <v>9.3170201860977769E-2</v>
      </c>
      <c r="G445" s="3">
        <f t="shared" si="24"/>
        <v>2.7049164987815788E-2</v>
      </c>
      <c r="H445" s="11"/>
      <c r="I445" s="17">
        <f t="shared" si="27"/>
        <v>48262</v>
      </c>
      <c r="J445" s="18">
        <f t="shared" si="25"/>
        <v>5.9274469541409998</v>
      </c>
      <c r="K445" s="7">
        <v>4.75</v>
      </c>
      <c r="L445" s="7">
        <v>2.714864453332381E-4</v>
      </c>
      <c r="M445" s="7">
        <v>-4.7335043520079041E-3</v>
      </c>
      <c r="N445" s="7">
        <v>2.7436787374047648E-2</v>
      </c>
      <c r="O445" s="7">
        <v>-2.5001577022774474E-2</v>
      </c>
      <c r="P445" s="11">
        <f t="shared" si="26"/>
        <v>2.785801097199764</v>
      </c>
    </row>
    <row r="446" spans="1:16" x14ac:dyDescent="0.25">
      <c r="A446" s="11">
        <v>4.34</v>
      </c>
      <c r="B446" s="7">
        <v>3.75</v>
      </c>
      <c r="C446" s="11">
        <v>-9.9382572676861604E-4</v>
      </c>
      <c r="D446" s="11">
        <v>1.2524491648998591E-2</v>
      </c>
      <c r="E446" s="11">
        <v>-5.0868356986369802E-2</v>
      </c>
      <c r="F446" s="11">
        <v>9.3170201860977769E-2</v>
      </c>
      <c r="G446" s="3">
        <f t="shared" si="24"/>
        <v>2.7066068695417139E-2</v>
      </c>
      <c r="H446" s="11"/>
      <c r="I446" s="17">
        <f t="shared" si="27"/>
        <v>48267</v>
      </c>
      <c r="J446" s="18">
        <f t="shared" si="25"/>
        <v>5.9411362080766601</v>
      </c>
      <c r="K446" s="7">
        <v>4.75</v>
      </c>
      <c r="L446" s="7">
        <v>2.714864453332381E-4</v>
      </c>
      <c r="M446" s="7">
        <v>-4.7335043520079041E-3</v>
      </c>
      <c r="N446" s="7">
        <v>2.7436787374047648E-2</v>
      </c>
      <c r="O446" s="7">
        <v>-2.5001577022774474E-2</v>
      </c>
      <c r="P446" s="11">
        <f t="shared" si="26"/>
        <v>2.785717128168069</v>
      </c>
    </row>
    <row r="447" spans="1:16" x14ac:dyDescent="0.25">
      <c r="A447" s="11">
        <v>4.3499999999999996</v>
      </c>
      <c r="B447" s="7">
        <v>3.75</v>
      </c>
      <c r="C447" s="11">
        <v>-9.9382572676861604E-4</v>
      </c>
      <c r="D447" s="11">
        <v>1.2524491648998591E-2</v>
      </c>
      <c r="E447" s="11">
        <v>-5.0868356986369802E-2</v>
      </c>
      <c r="F447" s="11">
        <v>9.3170201860977769E-2</v>
      </c>
      <c r="G447" s="3">
        <f t="shared" si="24"/>
        <v>2.7082889379155706E-2</v>
      </c>
      <c r="H447" s="11"/>
      <c r="I447" s="17">
        <f t="shared" si="27"/>
        <v>48272</v>
      </c>
      <c r="J447" s="18">
        <f t="shared" si="25"/>
        <v>5.9548254620123204</v>
      </c>
      <c r="K447" s="7">
        <v>4.75</v>
      </c>
      <c r="L447" s="7">
        <v>2.714864453332381E-4</v>
      </c>
      <c r="M447" s="7">
        <v>-4.7335043520079041E-3</v>
      </c>
      <c r="N447" s="7">
        <v>2.7436787374047648E-2</v>
      </c>
      <c r="O447" s="7">
        <v>-2.5001577022774474E-2</v>
      </c>
      <c r="P447" s="11">
        <f t="shared" si="26"/>
        <v>2.7856371060452774</v>
      </c>
    </row>
    <row r="448" spans="1:16" x14ac:dyDescent="0.25">
      <c r="A448" s="11">
        <v>4.3600000000000003</v>
      </c>
      <c r="B448" s="7">
        <v>3.75</v>
      </c>
      <c r="C448" s="11">
        <v>-9.9382572676861604E-4</v>
      </c>
      <c r="D448" s="11">
        <v>1.2524491648998591E-2</v>
      </c>
      <c r="E448" s="11">
        <v>-5.0868356986369802E-2</v>
      </c>
      <c r="F448" s="11">
        <v>9.3170201860977769E-2</v>
      </c>
      <c r="G448" s="3">
        <f t="shared" si="24"/>
        <v>2.7099621076077274E-2</v>
      </c>
      <c r="H448" s="11"/>
      <c r="I448" s="17">
        <f t="shared" si="27"/>
        <v>48277</v>
      </c>
      <c r="J448" s="18">
        <f t="shared" si="25"/>
        <v>5.9685147159479808</v>
      </c>
      <c r="K448" s="7">
        <v>4.75</v>
      </c>
      <c r="L448" s="7">
        <v>2.714864453332381E-4</v>
      </c>
      <c r="M448" s="7">
        <v>-4.7335043520079041E-3</v>
      </c>
      <c r="N448" s="7">
        <v>2.7436787374047648E-2</v>
      </c>
      <c r="O448" s="7">
        <v>-2.5001577022774474E-2</v>
      </c>
      <c r="P448" s="11">
        <f t="shared" si="26"/>
        <v>2.7855614486990228</v>
      </c>
    </row>
    <row r="449" spans="1:16" x14ac:dyDescent="0.25">
      <c r="A449" s="11">
        <v>4.37</v>
      </c>
      <c r="B449" s="7">
        <v>3.75</v>
      </c>
      <c r="C449" s="11">
        <v>-9.9382572676861604E-4</v>
      </c>
      <c r="D449" s="11">
        <v>1.2524491648998591E-2</v>
      </c>
      <c r="E449" s="11">
        <v>-5.0868356986369802E-2</v>
      </c>
      <c r="F449" s="11">
        <v>9.3170201860977769E-2</v>
      </c>
      <c r="G449" s="3">
        <f t="shared" si="24"/>
        <v>2.711625782322738E-2</v>
      </c>
      <c r="H449" s="11"/>
      <c r="I449" s="17">
        <f t="shared" si="27"/>
        <v>48282</v>
      </c>
      <c r="J449" s="18">
        <f t="shared" si="25"/>
        <v>5.9822039698836411</v>
      </c>
      <c r="K449" s="7">
        <v>4.75</v>
      </c>
      <c r="L449" s="7">
        <v>2.714864453332381E-4</v>
      </c>
      <c r="M449" s="7">
        <v>-4.7335043520079041E-3</v>
      </c>
      <c r="N449" s="7">
        <v>2.7436787374047648E-2</v>
      </c>
      <c r="O449" s="7">
        <v>-2.5001577022774474E-2</v>
      </c>
      <c r="P449" s="11">
        <f t="shared" si="26"/>
        <v>2.7854905739969462</v>
      </c>
    </row>
    <row r="450" spans="1:16" x14ac:dyDescent="0.25">
      <c r="A450" s="11">
        <v>4.38</v>
      </c>
      <c r="B450" s="7">
        <v>3.75</v>
      </c>
      <c r="C450" s="11">
        <v>-9.9382572676861604E-4</v>
      </c>
      <c r="D450" s="11">
        <v>1.2524491648998591E-2</v>
      </c>
      <c r="E450" s="11">
        <v>-5.0868356986369802E-2</v>
      </c>
      <c r="F450" s="11">
        <v>9.3170201860977769E-2</v>
      </c>
      <c r="G450" s="3">
        <f t="shared" si="24"/>
        <v>2.7132793657651727E-2</v>
      </c>
      <c r="H450" s="11"/>
      <c r="I450" s="17">
        <f t="shared" si="27"/>
        <v>48287</v>
      </c>
      <c r="J450" s="18">
        <f t="shared" si="25"/>
        <v>5.9958932238193015</v>
      </c>
      <c r="K450" s="7">
        <v>4.75</v>
      </c>
      <c r="L450" s="7">
        <v>2.714864453332381E-4</v>
      </c>
      <c r="M450" s="7">
        <v>-4.7335043520079041E-3</v>
      </c>
      <c r="N450" s="7">
        <v>2.7436787374047648E-2</v>
      </c>
      <c r="O450" s="7">
        <v>-2.5001577022774474E-2</v>
      </c>
      <c r="P450" s="11">
        <f t="shared" si="26"/>
        <v>2.7854248998066904</v>
      </c>
    </row>
    <row r="451" spans="1:16" x14ac:dyDescent="0.25">
      <c r="A451" s="11">
        <v>4.3899999999999997</v>
      </c>
      <c r="B451" s="7">
        <v>3.75</v>
      </c>
      <c r="C451" s="11">
        <v>-9.9382572676861604E-4</v>
      </c>
      <c r="D451" s="11">
        <v>1.2524491648998591E-2</v>
      </c>
      <c r="E451" s="11">
        <v>-5.0868356986369802E-2</v>
      </c>
      <c r="F451" s="11">
        <v>9.3170201860977769E-2</v>
      </c>
      <c r="G451" s="3">
        <f t="shared" si="24"/>
        <v>2.7149222616395935E-2</v>
      </c>
      <c r="H451" s="11"/>
      <c r="I451" s="17">
        <f t="shared" si="27"/>
        <v>48292</v>
      </c>
      <c r="J451" s="18">
        <f t="shared" si="25"/>
        <v>6.0095824777549627</v>
      </c>
      <c r="K451" s="7">
        <v>4.75</v>
      </c>
      <c r="L451" s="7">
        <v>2.714864453332381E-4</v>
      </c>
      <c r="M451" s="7">
        <v>-4.7335043520079041E-3</v>
      </c>
      <c r="N451" s="7">
        <v>2.7436787374047648E-2</v>
      </c>
      <c r="O451" s="7">
        <v>-2.5001577022774474E-2</v>
      </c>
      <c r="P451" s="11">
        <f t="shared" si="26"/>
        <v>2.7853648439958882</v>
      </c>
    </row>
    <row r="452" spans="1:16" x14ac:dyDescent="0.25">
      <c r="A452" s="11">
        <v>4.4000000000000004</v>
      </c>
      <c r="B452" s="7">
        <v>3.75</v>
      </c>
      <c r="C452" s="11">
        <v>-9.9382572676861604E-4</v>
      </c>
      <c r="D452" s="11">
        <v>1.2524491648998591E-2</v>
      </c>
      <c r="E452" s="11">
        <v>-5.0868356986369802E-2</v>
      </c>
      <c r="F452" s="11">
        <v>9.3170201860977769E-2</v>
      </c>
      <c r="G452" s="3">
        <f t="shared" si="24"/>
        <v>2.7165538736505596E-2</v>
      </c>
      <c r="H452" s="11"/>
      <c r="I452" s="17">
        <f t="shared" si="27"/>
        <v>48297</v>
      </c>
      <c r="J452" s="18">
        <f t="shared" si="25"/>
        <v>6.023271731690623</v>
      </c>
      <c r="K452" s="7">
        <v>4.75</v>
      </c>
      <c r="L452" s="7">
        <v>2.714864453332381E-4</v>
      </c>
      <c r="M452" s="7">
        <v>-4.7335043520079041E-3</v>
      </c>
      <c r="N452" s="7">
        <v>2.7436787374047648E-2</v>
      </c>
      <c r="O452" s="7">
        <v>-2.5001577022774474E-2</v>
      </c>
      <c r="P452" s="11">
        <f t="shared" si="26"/>
        <v>2.7853108244321967</v>
      </c>
    </row>
    <row r="453" spans="1:16" x14ac:dyDescent="0.25">
      <c r="A453" s="11">
        <v>4.41</v>
      </c>
      <c r="B453" s="7">
        <v>3.75</v>
      </c>
      <c r="C453" s="11">
        <v>-9.9382572676861604E-4</v>
      </c>
      <c r="D453" s="11">
        <v>1.2524491648998591E-2</v>
      </c>
      <c r="E453" s="11">
        <v>-5.0868356986369802E-2</v>
      </c>
      <c r="F453" s="11">
        <v>9.3170201860977769E-2</v>
      </c>
      <c r="G453" s="3">
        <f t="shared" si="24"/>
        <v>2.7181736055026356E-2</v>
      </c>
      <c r="H453" s="11"/>
      <c r="I453" s="17">
        <f t="shared" si="27"/>
        <v>48302</v>
      </c>
      <c r="J453" s="18">
        <f t="shared" si="25"/>
        <v>6.0369609856262834</v>
      </c>
      <c r="K453" s="7">
        <v>4.75</v>
      </c>
      <c r="L453" s="7">
        <v>2.714864453332381E-4</v>
      </c>
      <c r="M453" s="7">
        <v>-4.7335043520079041E-3</v>
      </c>
      <c r="N453" s="7">
        <v>2.7436787374047648E-2</v>
      </c>
      <c r="O453" s="7">
        <v>-2.5001577022774474E-2</v>
      </c>
      <c r="P453" s="11">
        <f t="shared" si="26"/>
        <v>2.7852632589832407</v>
      </c>
    </row>
    <row r="454" spans="1:16" x14ac:dyDescent="0.25">
      <c r="A454" s="11">
        <v>4.42</v>
      </c>
      <c r="B454" s="7">
        <v>3.75</v>
      </c>
      <c r="C454" s="11">
        <v>-9.9382572676861604E-4</v>
      </c>
      <c r="D454" s="11">
        <v>1.2524491648998591E-2</v>
      </c>
      <c r="E454" s="11">
        <v>-5.0868356986369802E-2</v>
      </c>
      <c r="F454" s="11">
        <v>9.3170201860977769E-2</v>
      </c>
      <c r="G454" s="3">
        <f t="shared" si="24"/>
        <v>2.7197808609003976E-2</v>
      </c>
      <c r="H454" s="11"/>
      <c r="I454" s="17">
        <f t="shared" si="27"/>
        <v>48307</v>
      </c>
      <c r="J454" s="18">
        <f t="shared" si="25"/>
        <v>6.0506502395619437</v>
      </c>
      <c r="K454" s="7">
        <v>4.75</v>
      </c>
      <c r="L454" s="7">
        <v>2.714864453332381E-4</v>
      </c>
      <c r="M454" s="7">
        <v>-4.7335043520079041E-3</v>
      </c>
      <c r="N454" s="7">
        <v>2.7436787374047648E-2</v>
      </c>
      <c r="O454" s="7">
        <v>-2.5001577022774474E-2</v>
      </c>
      <c r="P454" s="11">
        <f t="shared" si="26"/>
        <v>2.7852225655166678</v>
      </c>
    </row>
    <row r="455" spans="1:16" x14ac:dyDescent="0.25">
      <c r="A455" s="11">
        <v>4.43</v>
      </c>
      <c r="B455" s="7">
        <v>3.75</v>
      </c>
      <c r="C455" s="11">
        <v>-9.9382572676861604E-4</v>
      </c>
      <c r="D455" s="11">
        <v>1.2524491648998591E-2</v>
      </c>
      <c r="E455" s="11">
        <v>-5.0868356986369802E-2</v>
      </c>
      <c r="F455" s="11">
        <v>9.3170201860977769E-2</v>
      </c>
      <c r="G455" s="3">
        <f t="shared" si="24"/>
        <v>2.7213750435483935E-2</v>
      </c>
      <c r="H455" s="11"/>
      <c r="I455" s="17">
        <f t="shared" si="27"/>
        <v>48312</v>
      </c>
      <c r="J455" s="18">
        <f t="shared" si="25"/>
        <v>6.064339493497604</v>
      </c>
      <c r="K455" s="7">
        <v>4.75</v>
      </c>
      <c r="L455" s="7">
        <v>2.714864453332381E-4</v>
      </c>
      <c r="M455" s="7">
        <v>-4.7335043520079041E-3</v>
      </c>
      <c r="N455" s="7">
        <v>2.7436787374047648E-2</v>
      </c>
      <c r="O455" s="7">
        <v>-2.5001577022774474E-2</v>
      </c>
      <c r="P455" s="11">
        <f t="shared" si="26"/>
        <v>2.7851891619001132</v>
      </c>
    </row>
    <row r="456" spans="1:16" x14ac:dyDescent="0.25">
      <c r="A456" s="11">
        <v>4.4400000000000004</v>
      </c>
      <c r="B456" s="7">
        <v>3.75</v>
      </c>
      <c r="C456" s="11">
        <v>-9.9382572676861604E-4</v>
      </c>
      <c r="D456" s="11">
        <v>1.2524491648998591E-2</v>
      </c>
      <c r="E456" s="11">
        <v>-5.0868356986369802E-2</v>
      </c>
      <c r="F456" s="11">
        <v>9.3170201860977769E-2</v>
      </c>
      <c r="G456" s="3">
        <f t="shared" si="24"/>
        <v>2.7229555571511993E-2</v>
      </c>
      <c r="H456" s="11"/>
      <c r="I456" s="17">
        <f t="shared" si="27"/>
        <v>48317</v>
      </c>
      <c r="J456" s="18">
        <f t="shared" si="25"/>
        <v>6.0780287474332653</v>
      </c>
      <c r="K456" s="7">
        <v>4.75</v>
      </c>
      <c r="L456" s="7">
        <v>2.714864453332381E-4</v>
      </c>
      <c r="M456" s="7">
        <v>-4.7335043520079041E-3</v>
      </c>
      <c r="N456" s="7">
        <v>2.7436787374047648E-2</v>
      </c>
      <c r="O456" s="7">
        <v>-2.5001577022774474E-2</v>
      </c>
      <c r="P456" s="11">
        <f t="shared" si="26"/>
        <v>2.785163466001221</v>
      </c>
    </row>
    <row r="457" spans="1:16" x14ac:dyDescent="0.25">
      <c r="A457" s="11">
        <v>4.45</v>
      </c>
      <c r="B457" s="7">
        <v>3.75</v>
      </c>
      <c r="C457" s="11">
        <v>-9.9382572676861604E-4</v>
      </c>
      <c r="D457" s="11">
        <v>1.2524491648998591E-2</v>
      </c>
      <c r="E457" s="11">
        <v>-5.0868356986369802E-2</v>
      </c>
      <c r="F457" s="11">
        <v>9.3170201860977769E-2</v>
      </c>
      <c r="G457" s="3">
        <f t="shared" si="24"/>
        <v>2.7245218054133713E-2</v>
      </c>
      <c r="H457" s="11"/>
      <c r="I457" s="17">
        <f t="shared" si="27"/>
        <v>48322</v>
      </c>
      <c r="J457" s="18">
        <f t="shared" si="25"/>
        <v>6.0917180013689256</v>
      </c>
      <c r="K457" s="7">
        <v>4.75</v>
      </c>
      <c r="L457" s="7">
        <v>2.714864453332381E-4</v>
      </c>
      <c r="M457" s="7">
        <v>-4.7335043520079041E-3</v>
      </c>
      <c r="N457" s="7">
        <v>2.7436787374047648E-2</v>
      </c>
      <c r="O457" s="7">
        <v>-2.5001577022774474E-2</v>
      </c>
      <c r="P457" s="11">
        <f t="shared" si="26"/>
        <v>2.7851458956876312</v>
      </c>
    </row>
    <row r="458" spans="1:16" x14ac:dyDescent="0.25">
      <c r="A458" s="11">
        <v>4.46</v>
      </c>
      <c r="B458" s="7">
        <v>3.75</v>
      </c>
      <c r="C458" s="11">
        <v>-9.9382572676861604E-4</v>
      </c>
      <c r="D458" s="11">
        <v>1.2524491648998591E-2</v>
      </c>
      <c r="E458" s="11">
        <v>-5.0868356986369802E-2</v>
      </c>
      <c r="F458" s="11">
        <v>9.3170201860977769E-2</v>
      </c>
      <c r="G458" s="3">
        <f t="shared" si="24"/>
        <v>2.7260731920394771E-2</v>
      </c>
      <c r="H458" s="11"/>
      <c r="I458" s="17">
        <f t="shared" si="27"/>
        <v>48327</v>
      </c>
      <c r="J458" s="18">
        <f t="shared" si="25"/>
        <v>6.1054072553045859</v>
      </c>
      <c r="K458" s="7">
        <v>4.75</v>
      </c>
      <c r="L458" s="7">
        <v>2.714864453332381E-4</v>
      </c>
      <c r="M458" s="7">
        <v>-4.7335043520079041E-3</v>
      </c>
      <c r="N458" s="7">
        <v>2.7436787374047648E-2</v>
      </c>
      <c r="O458" s="7">
        <v>-2.5001577022774474E-2</v>
      </c>
      <c r="P458" s="11">
        <f t="shared" si="26"/>
        <v>2.785136868826986</v>
      </c>
    </row>
    <row r="459" spans="1:16" x14ac:dyDescent="0.25">
      <c r="A459" s="11">
        <v>4.47</v>
      </c>
      <c r="B459" s="7">
        <v>3.75</v>
      </c>
      <c r="C459" s="11">
        <v>-9.9382572676861604E-4</v>
      </c>
      <c r="D459" s="11">
        <v>1.2524491648998591E-2</v>
      </c>
      <c r="E459" s="11">
        <v>-5.0868356986369802E-2</v>
      </c>
      <c r="F459" s="11">
        <v>9.3170201860977769E-2</v>
      </c>
      <c r="G459" s="3">
        <f t="shared" si="24"/>
        <v>2.7276091207340758E-2</v>
      </c>
      <c r="H459" s="11"/>
      <c r="I459" s="17">
        <f t="shared" si="27"/>
        <v>48332</v>
      </c>
      <c r="J459" s="18">
        <f t="shared" si="25"/>
        <v>6.1190965092402463</v>
      </c>
      <c r="K459" s="7">
        <v>4.75</v>
      </c>
      <c r="L459" s="7">
        <v>2.714864453332381E-4</v>
      </c>
      <c r="M459" s="7">
        <v>-4.7335043520079041E-3</v>
      </c>
      <c r="N459" s="7">
        <v>2.7436787374047648E-2</v>
      </c>
      <c r="O459" s="7">
        <v>-2.5001577022774474E-2</v>
      </c>
      <c r="P459" s="11">
        <f t="shared" si="26"/>
        <v>2.7851368032869224</v>
      </c>
    </row>
    <row r="460" spans="1:16" x14ac:dyDescent="0.25">
      <c r="A460" s="11">
        <v>4.4800000000000004</v>
      </c>
      <c r="B460" s="7">
        <v>3.75</v>
      </c>
      <c r="C460" s="11">
        <v>-9.9382572676861604E-4</v>
      </c>
      <c r="D460" s="11">
        <v>1.2524491648998591E-2</v>
      </c>
      <c r="E460" s="11">
        <v>-5.0868356986369802E-2</v>
      </c>
      <c r="F460" s="11">
        <v>9.3170201860977769E-2</v>
      </c>
      <c r="G460" s="3">
        <f t="shared" si="24"/>
        <v>2.7291289952017406E-2</v>
      </c>
      <c r="H460" s="11"/>
      <c r="I460" s="17">
        <f t="shared" si="27"/>
        <v>48337</v>
      </c>
      <c r="J460" s="18">
        <f t="shared" si="25"/>
        <v>6.1327857631759066</v>
      </c>
      <c r="K460" s="7">
        <v>4.75</v>
      </c>
      <c r="L460" s="7">
        <v>2.714864453332381E-4</v>
      </c>
      <c r="M460" s="7">
        <v>-4.7335043520079041E-3</v>
      </c>
      <c r="N460" s="7">
        <v>2.7436787374047648E-2</v>
      </c>
      <c r="O460" s="7">
        <v>-2.5001577022774474E-2</v>
      </c>
      <c r="P460" s="11">
        <f t="shared" si="26"/>
        <v>2.7851461169350804</v>
      </c>
    </row>
    <row r="461" spans="1:16" x14ac:dyDescent="0.25">
      <c r="A461" s="11">
        <v>4.49</v>
      </c>
      <c r="B461" s="7">
        <v>3.75</v>
      </c>
      <c r="C461" s="11">
        <v>-9.9382572676861604E-4</v>
      </c>
      <c r="D461" s="11">
        <v>1.2524491648998591E-2</v>
      </c>
      <c r="E461" s="11">
        <v>-5.0868356986369802E-2</v>
      </c>
      <c r="F461" s="11">
        <v>9.3170201860977769E-2</v>
      </c>
      <c r="G461" s="3">
        <f t="shared" ref="G461:G524" si="28">C461*A461^3 + D461*A461^2 + E461*A461 + F461</f>
        <v>2.730632219147025E-2</v>
      </c>
      <c r="H461" s="11"/>
      <c r="I461" s="17">
        <f t="shared" si="27"/>
        <v>48342</v>
      </c>
      <c r="J461" s="18">
        <f t="shared" ref="J461:J524" si="29">(I461-$I$12)/365.25</f>
        <v>6.1464750171115679</v>
      </c>
      <c r="K461" s="7">
        <v>4.75</v>
      </c>
      <c r="L461" s="7">
        <v>2.714864453332381E-4</v>
      </c>
      <c r="M461" s="7">
        <v>-4.7335043520079041E-3</v>
      </c>
      <c r="N461" s="7">
        <v>2.7436787374047648E-2</v>
      </c>
      <c r="O461" s="7">
        <v>-2.5001577022774474E-2</v>
      </c>
      <c r="P461" s="11">
        <f t="shared" ref="P461:P524" si="30">100*(L461*J461^3 + M461*J461^2 + N461*J461 + O461)</f>
        <v>2.7851652276391041</v>
      </c>
    </row>
    <row r="462" spans="1:16" x14ac:dyDescent="0.25">
      <c r="A462" s="11">
        <v>4.5</v>
      </c>
      <c r="B462" s="7">
        <v>3.75</v>
      </c>
      <c r="C462" s="11">
        <v>-9.9382572676861604E-4</v>
      </c>
      <c r="D462" s="11">
        <v>1.2524491648998591E-2</v>
      </c>
      <c r="E462" s="11">
        <v>-5.0868356986369802E-2</v>
      </c>
      <c r="F462" s="11">
        <v>9.3170201860977769E-2</v>
      </c>
      <c r="G462" s="3">
        <f t="shared" si="28"/>
        <v>2.7321181962745023E-2</v>
      </c>
      <c r="H462" s="11"/>
      <c r="I462" s="17">
        <f t="shared" ref="I462:I525" si="31">I461+5</f>
        <v>48347</v>
      </c>
      <c r="J462" s="18">
        <f t="shared" si="29"/>
        <v>6.1601642710472282</v>
      </c>
      <c r="K462" s="7">
        <v>4.75</v>
      </c>
      <c r="L462" s="7">
        <v>2.714864453332381E-4</v>
      </c>
      <c r="M462" s="7">
        <v>-4.7335043520079041E-3</v>
      </c>
      <c r="N462" s="7">
        <v>2.7436787374047648E-2</v>
      </c>
      <c r="O462" s="7">
        <v>-2.5001577022774474E-2</v>
      </c>
      <c r="P462" s="11">
        <f t="shared" si="30"/>
        <v>2.7851945532666345</v>
      </c>
    </row>
    <row r="463" spans="1:16" x14ac:dyDescent="0.25">
      <c r="A463" s="11">
        <v>4.51</v>
      </c>
      <c r="B463" s="7">
        <v>3.75</v>
      </c>
      <c r="C463" s="11">
        <v>-9.9382572676861604E-4</v>
      </c>
      <c r="D463" s="11">
        <v>1.2524491648998591E-2</v>
      </c>
      <c r="E463" s="11">
        <v>-5.0868356986369802E-2</v>
      </c>
      <c r="F463" s="11">
        <v>9.3170201860977769E-2</v>
      </c>
      <c r="G463" s="3">
        <f t="shared" si="28"/>
        <v>2.7335863302887287E-2</v>
      </c>
      <c r="H463" s="11"/>
      <c r="I463" s="17">
        <f t="shared" si="31"/>
        <v>48352</v>
      </c>
      <c r="J463" s="18">
        <f t="shared" si="29"/>
        <v>6.1738535249828885</v>
      </c>
      <c r="K463" s="7">
        <v>4.75</v>
      </c>
      <c r="L463" s="7">
        <v>2.714864453332381E-4</v>
      </c>
      <c r="M463" s="7">
        <v>-4.7335043520079041E-3</v>
      </c>
      <c r="N463" s="7">
        <v>2.7436787374047648E-2</v>
      </c>
      <c r="O463" s="7">
        <v>-2.5001577022774474E-2</v>
      </c>
      <c r="P463" s="11">
        <f t="shared" si="30"/>
        <v>2.785234511685307</v>
      </c>
    </row>
    <row r="464" spans="1:16" x14ac:dyDescent="0.25">
      <c r="A464" s="11">
        <v>4.5199999999999996</v>
      </c>
      <c r="B464" s="7">
        <v>3.75</v>
      </c>
      <c r="C464" s="11">
        <v>-9.9382572676861604E-4</v>
      </c>
      <c r="D464" s="11">
        <v>1.2524491648998591E-2</v>
      </c>
      <c r="E464" s="11">
        <v>-5.0868356986369802E-2</v>
      </c>
      <c r="F464" s="11">
        <v>9.3170201860977769E-2</v>
      </c>
      <c r="G464" s="3">
        <f t="shared" si="28"/>
        <v>2.7350360248942718E-2</v>
      </c>
      <c r="H464" s="11"/>
      <c r="I464" s="17">
        <f t="shared" si="31"/>
        <v>48357</v>
      </c>
      <c r="J464" s="18">
        <f t="shared" si="29"/>
        <v>6.1875427789185489</v>
      </c>
      <c r="K464" s="7">
        <v>4.75</v>
      </c>
      <c r="L464" s="7">
        <v>2.714864453332381E-4</v>
      </c>
      <c r="M464" s="7">
        <v>-4.7335043520079041E-3</v>
      </c>
      <c r="N464" s="7">
        <v>2.7436787374047648E-2</v>
      </c>
      <c r="O464" s="7">
        <v>-2.5001577022774474E-2</v>
      </c>
      <c r="P464" s="11">
        <f t="shared" si="30"/>
        <v>2.7852855207627689</v>
      </c>
    </row>
    <row r="465" spans="1:16" x14ac:dyDescent="0.25">
      <c r="A465" s="11">
        <v>4.53</v>
      </c>
      <c r="B465" s="7">
        <v>3.75</v>
      </c>
      <c r="C465" s="11">
        <v>-9.9382572676861604E-4</v>
      </c>
      <c r="D465" s="11">
        <v>1.2524491648998591E-2</v>
      </c>
      <c r="E465" s="11">
        <v>-5.0868356986369802E-2</v>
      </c>
      <c r="F465" s="11">
        <v>9.3170201860977769E-2</v>
      </c>
      <c r="G465" s="3">
        <f t="shared" si="28"/>
        <v>2.7364666837956936E-2</v>
      </c>
      <c r="H465" s="11"/>
      <c r="I465" s="17">
        <f t="shared" si="31"/>
        <v>48362</v>
      </c>
      <c r="J465" s="18">
        <f t="shared" si="29"/>
        <v>6.2012320328542092</v>
      </c>
      <c r="K465" s="7">
        <v>4.75</v>
      </c>
      <c r="L465" s="7">
        <v>2.714864453332381E-4</v>
      </c>
      <c r="M465" s="7">
        <v>-4.7335043520079041E-3</v>
      </c>
      <c r="N465" s="7">
        <v>2.7436787374047648E-2</v>
      </c>
      <c r="O465" s="7">
        <v>-2.5001577022774474E-2</v>
      </c>
      <c r="P465" s="11">
        <f t="shared" si="30"/>
        <v>2.7853479983666509</v>
      </c>
    </row>
    <row r="466" spans="1:16" x14ac:dyDescent="0.25">
      <c r="A466" s="11">
        <v>4.54</v>
      </c>
      <c r="B466" s="7">
        <v>3.75</v>
      </c>
      <c r="C466" s="11">
        <v>-9.9382572676861604E-4</v>
      </c>
      <c r="D466" s="11">
        <v>1.2524491648998591E-2</v>
      </c>
      <c r="E466" s="11">
        <v>-5.0868356986369802E-2</v>
      </c>
      <c r="F466" s="11">
        <v>9.3170201860977769E-2</v>
      </c>
      <c r="G466" s="3">
        <f t="shared" si="28"/>
        <v>2.7378777106975671E-2</v>
      </c>
      <c r="H466" s="11"/>
      <c r="I466" s="17">
        <f t="shared" si="31"/>
        <v>48367</v>
      </c>
      <c r="J466" s="18">
        <f t="shared" si="29"/>
        <v>6.2149212867898695</v>
      </c>
      <c r="K466" s="7">
        <v>4.75</v>
      </c>
      <c r="L466" s="7">
        <v>2.714864453332381E-4</v>
      </c>
      <c r="M466" s="7">
        <v>-4.7335043520079041E-3</v>
      </c>
      <c r="N466" s="7">
        <v>2.7436787374047648E-2</v>
      </c>
      <c r="O466" s="7">
        <v>-2.5001577022774474E-2</v>
      </c>
      <c r="P466" s="11">
        <f t="shared" si="30"/>
        <v>2.7854223623646006</v>
      </c>
    </row>
    <row r="467" spans="1:16" x14ac:dyDescent="0.25">
      <c r="A467" s="11">
        <v>4.55</v>
      </c>
      <c r="B467" s="7">
        <v>3.75</v>
      </c>
      <c r="C467" s="11">
        <v>-9.9382572676861604E-4</v>
      </c>
      <c r="D467" s="11">
        <v>1.2524491648998591E-2</v>
      </c>
      <c r="E467" s="11">
        <v>-5.0868356986369802E-2</v>
      </c>
      <c r="F467" s="11">
        <v>9.3170201860977769E-2</v>
      </c>
      <c r="G467" s="3">
        <f t="shared" si="28"/>
        <v>2.7392685093044405E-2</v>
      </c>
      <c r="H467" s="11"/>
      <c r="I467" s="17">
        <f t="shared" si="31"/>
        <v>48372</v>
      </c>
      <c r="J467" s="18">
        <f t="shared" si="29"/>
        <v>6.2286105407255308</v>
      </c>
      <c r="K467" s="7">
        <v>4.75</v>
      </c>
      <c r="L467" s="7">
        <v>2.714864453332381E-4</v>
      </c>
      <c r="M467" s="7">
        <v>-4.7335043520079041E-3</v>
      </c>
      <c r="N467" s="7">
        <v>2.7436787374047648E-2</v>
      </c>
      <c r="O467" s="7">
        <v>-2.5001577022774474E-2</v>
      </c>
      <c r="P467" s="11">
        <f t="shared" si="30"/>
        <v>2.7855090306242558</v>
      </c>
    </row>
    <row r="468" spans="1:16" x14ac:dyDescent="0.25">
      <c r="A468" s="11">
        <v>4.5599999999999996</v>
      </c>
      <c r="B468" s="7">
        <v>3.75</v>
      </c>
      <c r="C468" s="11">
        <v>-9.9382572676861604E-4</v>
      </c>
      <c r="D468" s="11">
        <v>1.2524491648998591E-2</v>
      </c>
      <c r="E468" s="11">
        <v>-5.0868356986369802E-2</v>
      </c>
      <c r="F468" s="11">
        <v>9.3170201860977769E-2</v>
      </c>
      <c r="G468" s="3">
        <f t="shared" si="28"/>
        <v>2.7406384833208897E-2</v>
      </c>
      <c r="H468" s="11"/>
      <c r="I468" s="17">
        <f t="shared" si="31"/>
        <v>48377</v>
      </c>
      <c r="J468" s="18">
        <f t="shared" si="29"/>
        <v>6.2422997946611911</v>
      </c>
      <c r="K468" s="7">
        <v>4.75</v>
      </c>
      <c r="L468" s="7">
        <v>2.714864453332381E-4</v>
      </c>
      <c r="M468" s="7">
        <v>-4.7335043520079041E-3</v>
      </c>
      <c r="N468" s="7">
        <v>2.7436787374047648E-2</v>
      </c>
      <c r="O468" s="7">
        <v>-2.5001577022774474E-2</v>
      </c>
      <c r="P468" s="11">
        <f t="shared" si="30"/>
        <v>2.785608421013261</v>
      </c>
    </row>
    <row r="469" spans="1:16" x14ac:dyDescent="0.25">
      <c r="A469" s="11">
        <v>4.57</v>
      </c>
      <c r="B469" s="7">
        <v>3.75</v>
      </c>
      <c r="C469" s="11">
        <v>-9.9382572676861604E-4</v>
      </c>
      <c r="D469" s="11">
        <v>1.2524491648998591E-2</v>
      </c>
      <c r="E469" s="11">
        <v>-5.0868356986369802E-2</v>
      </c>
      <c r="F469" s="11">
        <v>9.3170201860977769E-2</v>
      </c>
      <c r="G469" s="3">
        <f t="shared" si="28"/>
        <v>2.7419870364514709E-2</v>
      </c>
      <c r="H469" s="11"/>
      <c r="I469" s="17">
        <f t="shared" si="31"/>
        <v>48382</v>
      </c>
      <c r="J469" s="18">
        <f t="shared" si="29"/>
        <v>6.2559890485968515</v>
      </c>
      <c r="K469" s="7">
        <v>4.75</v>
      </c>
      <c r="L469" s="7">
        <v>2.714864453332381E-4</v>
      </c>
      <c r="M469" s="7">
        <v>-4.7335043520079041E-3</v>
      </c>
      <c r="N469" s="7">
        <v>2.7436787374047648E-2</v>
      </c>
      <c r="O469" s="7">
        <v>-2.5001577022774474E-2</v>
      </c>
      <c r="P469" s="11">
        <f t="shared" si="30"/>
        <v>2.7857209513992496</v>
      </c>
    </row>
    <row r="470" spans="1:16" x14ac:dyDescent="0.25">
      <c r="A470" s="11">
        <v>4.58</v>
      </c>
      <c r="B470" s="7">
        <v>3.75</v>
      </c>
      <c r="C470" s="11">
        <v>-9.9382572676861604E-4</v>
      </c>
      <c r="D470" s="11">
        <v>1.2524491648998591E-2</v>
      </c>
      <c r="E470" s="11">
        <v>-5.0868356986369802E-2</v>
      </c>
      <c r="F470" s="11">
        <v>9.3170201860977769E-2</v>
      </c>
      <c r="G470" s="3">
        <f t="shared" si="28"/>
        <v>2.7433135724007657E-2</v>
      </c>
      <c r="H470" s="11"/>
      <c r="I470" s="17">
        <f t="shared" si="31"/>
        <v>48387</v>
      </c>
      <c r="J470" s="18">
        <f t="shared" si="29"/>
        <v>6.2696783025325118</v>
      </c>
      <c r="K470" s="7">
        <v>4.75</v>
      </c>
      <c r="L470" s="7">
        <v>2.714864453332381E-4</v>
      </c>
      <c r="M470" s="7">
        <v>-4.7335043520079041E-3</v>
      </c>
      <c r="N470" s="7">
        <v>2.7436787374047648E-2</v>
      </c>
      <c r="O470" s="7">
        <v>-2.5001577022774474E-2</v>
      </c>
      <c r="P470" s="11">
        <f t="shared" si="30"/>
        <v>2.7858470396498691</v>
      </c>
    </row>
    <row r="471" spans="1:16" x14ac:dyDescent="0.25">
      <c r="A471" s="11">
        <v>4.59</v>
      </c>
      <c r="B471" s="7">
        <v>3.75</v>
      </c>
      <c r="C471" s="11">
        <v>-9.9382572676861604E-4</v>
      </c>
      <c r="D471" s="11">
        <v>1.2524491648998591E-2</v>
      </c>
      <c r="E471" s="11">
        <v>-5.0868356986369802E-2</v>
      </c>
      <c r="F471" s="11">
        <v>9.3170201860977769E-2</v>
      </c>
      <c r="G471" s="3">
        <f t="shared" si="28"/>
        <v>2.744617494873311E-2</v>
      </c>
      <c r="H471" s="11"/>
      <c r="I471" s="17">
        <f t="shared" si="31"/>
        <v>48392</v>
      </c>
      <c r="J471" s="18">
        <f t="shared" si="29"/>
        <v>6.2833675564681721</v>
      </c>
      <c r="K471" s="7">
        <v>4.75</v>
      </c>
      <c r="L471" s="7">
        <v>2.714864453332381E-4</v>
      </c>
      <c r="M471" s="7">
        <v>-4.7335043520079041E-3</v>
      </c>
      <c r="N471" s="7">
        <v>2.7436787374047648E-2</v>
      </c>
      <c r="O471" s="7">
        <v>-2.5001577022774474E-2</v>
      </c>
      <c r="P471" s="11">
        <f t="shared" si="30"/>
        <v>2.7859871036327517</v>
      </c>
    </row>
    <row r="472" spans="1:16" x14ac:dyDescent="0.25">
      <c r="A472" s="11">
        <v>4.5999999999999996</v>
      </c>
      <c r="B472" s="7">
        <v>3.75</v>
      </c>
      <c r="C472" s="11">
        <v>-9.9382572676861604E-4</v>
      </c>
      <c r="D472" s="11">
        <v>1.2524491648998591E-2</v>
      </c>
      <c r="E472" s="11">
        <v>-5.0868356986369802E-2</v>
      </c>
      <c r="F472" s="11">
        <v>9.3170201860977769E-2</v>
      </c>
      <c r="G472" s="3">
        <f t="shared" si="28"/>
        <v>2.7458982075736882E-2</v>
      </c>
      <c r="H472" s="11"/>
      <c r="I472" s="17">
        <f t="shared" si="31"/>
        <v>48397</v>
      </c>
      <c r="J472" s="18">
        <f t="shared" si="29"/>
        <v>6.2970568104038334</v>
      </c>
      <c r="K472" s="7">
        <v>4.75</v>
      </c>
      <c r="L472" s="7">
        <v>2.714864453332381E-4</v>
      </c>
      <c r="M472" s="7">
        <v>-4.7335043520079041E-3</v>
      </c>
      <c r="N472" s="7">
        <v>2.7436787374047648E-2</v>
      </c>
      <c r="O472" s="7">
        <v>-2.5001577022774474E-2</v>
      </c>
      <c r="P472" s="11">
        <f t="shared" si="30"/>
        <v>2.7861415612155507</v>
      </c>
    </row>
    <row r="473" spans="1:16" x14ac:dyDescent="0.25">
      <c r="A473" s="11">
        <v>4.6100000000000003</v>
      </c>
      <c r="B473" s="7">
        <v>3.75</v>
      </c>
      <c r="C473" s="11">
        <v>-9.9382572676861604E-4</v>
      </c>
      <c r="D473" s="11">
        <v>1.2524491648998591E-2</v>
      </c>
      <c r="E473" s="11">
        <v>-5.0868356986369802E-2</v>
      </c>
      <c r="F473" s="11">
        <v>9.3170201860977769E-2</v>
      </c>
      <c r="G473" s="3">
        <f t="shared" si="28"/>
        <v>2.7471551142064538E-2</v>
      </c>
      <c r="H473" s="11"/>
      <c r="I473" s="17">
        <f t="shared" si="31"/>
        <v>48402</v>
      </c>
      <c r="J473" s="18">
        <f t="shared" si="29"/>
        <v>6.3107460643394937</v>
      </c>
      <c r="K473" s="7">
        <v>4.75</v>
      </c>
      <c r="L473" s="7">
        <v>2.714864453332381E-4</v>
      </c>
      <c r="M473" s="7">
        <v>-4.7335043520079041E-3</v>
      </c>
      <c r="N473" s="7">
        <v>2.7436787374047648E-2</v>
      </c>
      <c r="O473" s="7">
        <v>-2.5001577022774474E-2</v>
      </c>
      <c r="P473" s="11">
        <f t="shared" si="30"/>
        <v>2.7863108302658897</v>
      </c>
    </row>
    <row r="474" spans="1:16" x14ac:dyDescent="0.25">
      <c r="A474" s="11">
        <v>4.62</v>
      </c>
      <c r="B474" s="7">
        <v>3.75</v>
      </c>
      <c r="C474" s="11">
        <v>-9.9382572676861604E-4</v>
      </c>
      <c r="D474" s="11">
        <v>1.2524491648998591E-2</v>
      </c>
      <c r="E474" s="11">
        <v>-5.0868356986369802E-2</v>
      </c>
      <c r="F474" s="11">
        <v>9.3170201860977769E-2</v>
      </c>
      <c r="G474" s="3">
        <f t="shared" si="28"/>
        <v>2.7483876184761752E-2</v>
      </c>
      <c r="H474" s="11"/>
      <c r="I474" s="17">
        <f t="shared" si="31"/>
        <v>48407</v>
      </c>
      <c r="J474" s="18">
        <f t="shared" si="29"/>
        <v>6.324435318275154</v>
      </c>
      <c r="K474" s="7">
        <v>4.75</v>
      </c>
      <c r="L474" s="7">
        <v>2.714864453332381E-4</v>
      </c>
      <c r="M474" s="7">
        <v>-4.7335043520079041E-3</v>
      </c>
      <c r="N474" s="7">
        <v>2.7436787374047648E-2</v>
      </c>
      <c r="O474" s="7">
        <v>-2.5001577022774474E-2</v>
      </c>
      <c r="P474" s="11">
        <f t="shared" si="30"/>
        <v>2.7864953286514211</v>
      </c>
    </row>
    <row r="475" spans="1:16" x14ac:dyDescent="0.25">
      <c r="A475" s="11">
        <v>4.63</v>
      </c>
      <c r="B475" s="7">
        <v>3.75</v>
      </c>
      <c r="C475" s="11">
        <v>-9.9382572676861604E-4</v>
      </c>
      <c r="D475" s="11">
        <v>1.2524491648998591E-2</v>
      </c>
      <c r="E475" s="11">
        <v>-5.0868356986369802E-2</v>
      </c>
      <c r="F475" s="11">
        <v>9.3170201860977769E-2</v>
      </c>
      <c r="G475" s="3">
        <f t="shared" si="28"/>
        <v>2.7495951240874256E-2</v>
      </c>
      <c r="H475" s="11"/>
      <c r="I475" s="17">
        <f t="shared" si="31"/>
        <v>48412</v>
      </c>
      <c r="J475" s="18">
        <f t="shared" si="29"/>
        <v>6.3381245722108144</v>
      </c>
      <c r="K475" s="7">
        <v>4.75</v>
      </c>
      <c r="L475" s="7">
        <v>2.714864453332381E-4</v>
      </c>
      <c r="M475" s="7">
        <v>-4.7335043520079041E-3</v>
      </c>
      <c r="N475" s="7">
        <v>2.7436787374047648E-2</v>
      </c>
      <c r="O475" s="7">
        <v>-2.5001577022774474E-2</v>
      </c>
      <c r="P475" s="11">
        <f t="shared" si="30"/>
        <v>2.7866954742397838</v>
      </c>
    </row>
    <row r="476" spans="1:16" x14ac:dyDescent="0.25">
      <c r="A476" s="11">
        <v>4.6399999999999997</v>
      </c>
      <c r="B476" s="7">
        <v>3.75</v>
      </c>
      <c r="C476" s="11">
        <v>-9.9382572676861604E-4</v>
      </c>
      <c r="D476" s="11">
        <v>1.2524491648998591E-2</v>
      </c>
      <c r="E476" s="11">
        <v>-5.0868356986369802E-2</v>
      </c>
      <c r="F476" s="11">
        <v>9.3170201860977769E-2</v>
      </c>
      <c r="G476" s="3">
        <f t="shared" si="28"/>
        <v>2.750777034744753E-2</v>
      </c>
      <c r="H476" s="11"/>
      <c r="I476" s="17">
        <f t="shared" si="31"/>
        <v>48417</v>
      </c>
      <c r="J476" s="18">
        <f t="shared" si="29"/>
        <v>6.3518138261464747</v>
      </c>
      <c r="K476" s="7">
        <v>4.75</v>
      </c>
      <c r="L476" s="7">
        <v>2.714864453332381E-4</v>
      </c>
      <c r="M476" s="7">
        <v>-4.7335043520079041E-3</v>
      </c>
      <c r="N476" s="7">
        <v>2.7436787374047648E-2</v>
      </c>
      <c r="O476" s="7">
        <v>-2.5001577022774474E-2</v>
      </c>
      <c r="P476" s="11">
        <f t="shared" si="30"/>
        <v>2.7869116848986186</v>
      </c>
    </row>
    <row r="477" spans="1:16" x14ac:dyDescent="0.25">
      <c r="A477" s="11">
        <v>4.6500000000000004</v>
      </c>
      <c r="B477" s="7">
        <v>3.75</v>
      </c>
      <c r="C477" s="11">
        <v>-9.9382572676861604E-4</v>
      </c>
      <c r="D477" s="11">
        <v>1.2524491648998591E-2</v>
      </c>
      <c r="E477" s="11">
        <v>-5.0868356986369802E-2</v>
      </c>
      <c r="F477" s="11">
        <v>9.3170201860977769E-2</v>
      </c>
      <c r="G477" s="3">
        <f t="shared" si="28"/>
        <v>2.751932754152725E-2</v>
      </c>
      <c r="H477" s="11"/>
      <c r="I477" s="17">
        <f t="shared" si="31"/>
        <v>48422</v>
      </c>
      <c r="J477" s="18">
        <f t="shared" si="29"/>
        <v>6.3655030800821359</v>
      </c>
      <c r="K477" s="7">
        <v>4.75</v>
      </c>
      <c r="L477" s="7">
        <v>2.714864453332381E-4</v>
      </c>
      <c r="M477" s="7">
        <v>-4.7335043520079041E-3</v>
      </c>
      <c r="N477" s="7">
        <v>2.7436787374047648E-2</v>
      </c>
      <c r="O477" s="7">
        <v>-2.5001577022774474E-2</v>
      </c>
      <c r="P477" s="11">
        <f t="shared" si="30"/>
        <v>2.7871443784955598</v>
      </c>
    </row>
    <row r="478" spans="1:16" x14ac:dyDescent="0.25">
      <c r="A478" s="11">
        <v>4.66</v>
      </c>
      <c r="B478" s="7">
        <v>3.75</v>
      </c>
      <c r="C478" s="11">
        <v>-9.9382572676861604E-4</v>
      </c>
      <c r="D478" s="11">
        <v>1.2524491648998591E-2</v>
      </c>
      <c r="E478" s="11">
        <v>-5.0868356986369802E-2</v>
      </c>
      <c r="F478" s="11">
        <v>9.3170201860977769E-2</v>
      </c>
      <c r="G478" s="3">
        <f t="shared" si="28"/>
        <v>2.7530616860159174E-2</v>
      </c>
      <c r="H478" s="11"/>
      <c r="I478" s="17">
        <f t="shared" si="31"/>
        <v>48427</v>
      </c>
      <c r="J478" s="18">
        <f t="shared" si="29"/>
        <v>6.3791923340177963</v>
      </c>
      <c r="K478" s="7">
        <v>4.75</v>
      </c>
      <c r="L478" s="7">
        <v>2.714864453332381E-4</v>
      </c>
      <c r="M478" s="7">
        <v>-4.7335043520079041E-3</v>
      </c>
      <c r="N478" s="7">
        <v>2.7436787374047648E-2</v>
      </c>
      <c r="O478" s="7">
        <v>-2.5001577022774474E-2</v>
      </c>
      <c r="P478" s="11">
        <f t="shared" si="30"/>
        <v>2.7873939728982515</v>
      </c>
    </row>
    <row r="479" spans="1:16" x14ac:dyDescent="0.25">
      <c r="A479" s="11">
        <v>4.67</v>
      </c>
      <c r="B479" s="7">
        <v>3.75</v>
      </c>
      <c r="C479" s="11">
        <v>-9.9382572676861604E-4</v>
      </c>
      <c r="D479" s="11">
        <v>1.2524491648998591E-2</v>
      </c>
      <c r="E479" s="11">
        <v>-5.0868356986369802E-2</v>
      </c>
      <c r="F479" s="11">
        <v>9.3170201860977769E-2</v>
      </c>
      <c r="G479" s="3">
        <f t="shared" si="28"/>
        <v>2.7541632340388755E-2</v>
      </c>
      <c r="H479" s="11"/>
      <c r="I479" s="17">
        <f t="shared" si="31"/>
        <v>48432</v>
      </c>
      <c r="J479" s="18">
        <f t="shared" si="29"/>
        <v>6.3928815879534566</v>
      </c>
      <c r="K479" s="7">
        <v>4.75</v>
      </c>
      <c r="L479" s="7">
        <v>2.714864453332381E-4</v>
      </c>
      <c r="M479" s="7">
        <v>-4.7335043520079041E-3</v>
      </c>
      <c r="N479" s="7">
        <v>2.7436787374047648E-2</v>
      </c>
      <c r="O479" s="7">
        <v>-2.5001577022774474E-2</v>
      </c>
      <c r="P479" s="11">
        <f t="shared" si="30"/>
        <v>2.7876608859743386</v>
      </c>
    </row>
    <row r="480" spans="1:16" x14ac:dyDescent="0.25">
      <c r="A480" s="11">
        <v>4.68</v>
      </c>
      <c r="B480" s="7">
        <v>3.75</v>
      </c>
      <c r="C480" s="11">
        <v>-9.9382572676861604E-4</v>
      </c>
      <c r="D480" s="11">
        <v>1.2524491648998591E-2</v>
      </c>
      <c r="E480" s="11">
        <v>-5.0868356986369802E-2</v>
      </c>
      <c r="F480" s="11">
        <v>9.3170201860977769E-2</v>
      </c>
      <c r="G480" s="3">
        <f t="shared" si="28"/>
        <v>2.7552368019261753E-2</v>
      </c>
      <c r="H480" s="11"/>
      <c r="I480" s="17">
        <f t="shared" si="31"/>
        <v>48437</v>
      </c>
      <c r="J480" s="18">
        <f t="shared" si="29"/>
        <v>6.406570841889117</v>
      </c>
      <c r="K480" s="7">
        <v>4.75</v>
      </c>
      <c r="L480" s="7">
        <v>2.714864453332381E-4</v>
      </c>
      <c r="M480" s="7">
        <v>-4.7335043520079041E-3</v>
      </c>
      <c r="N480" s="7">
        <v>2.7436787374047648E-2</v>
      </c>
      <c r="O480" s="7">
        <v>-2.5001577022774474E-2</v>
      </c>
      <c r="P480" s="11">
        <f t="shared" si="30"/>
        <v>2.7879455355914531</v>
      </c>
    </row>
    <row r="481" spans="1:16" x14ac:dyDescent="0.25">
      <c r="A481" s="11">
        <v>4.6900000000000004</v>
      </c>
      <c r="B481" s="7">
        <v>3.75</v>
      </c>
      <c r="C481" s="11">
        <v>-9.9382572676861604E-4</v>
      </c>
      <c r="D481" s="11">
        <v>1.2524491648998591E-2</v>
      </c>
      <c r="E481" s="11">
        <v>-5.0868356986369802E-2</v>
      </c>
      <c r="F481" s="11">
        <v>9.3170201860977769E-2</v>
      </c>
      <c r="G481" s="3">
        <f t="shared" si="28"/>
        <v>2.7562817933823813E-2</v>
      </c>
      <c r="H481" s="11"/>
      <c r="I481" s="17">
        <f t="shared" si="31"/>
        <v>48442</v>
      </c>
      <c r="J481" s="18">
        <f t="shared" si="29"/>
        <v>6.4202600958247773</v>
      </c>
      <c r="K481" s="7">
        <v>4.75</v>
      </c>
      <c r="L481" s="7">
        <v>2.714864453332381E-4</v>
      </c>
      <c r="M481" s="7">
        <v>-4.7335043520079041E-3</v>
      </c>
      <c r="N481" s="7">
        <v>2.7436787374047648E-2</v>
      </c>
      <c r="O481" s="7">
        <v>-2.5001577022774474E-2</v>
      </c>
      <c r="P481" s="11">
        <f t="shared" si="30"/>
        <v>2.7882483396172399</v>
      </c>
    </row>
    <row r="482" spans="1:16" x14ac:dyDescent="0.25">
      <c r="A482" s="11">
        <v>4.7</v>
      </c>
      <c r="B482" s="7">
        <v>3.75</v>
      </c>
      <c r="C482" s="11">
        <v>-9.9382572676861604E-4</v>
      </c>
      <c r="D482" s="11">
        <v>1.2524491648998591E-2</v>
      </c>
      <c r="E482" s="11">
        <v>-5.0868356986369802E-2</v>
      </c>
      <c r="F482" s="11">
        <v>9.3170201860977769E-2</v>
      </c>
      <c r="G482" s="3">
        <f t="shared" si="28"/>
        <v>2.7572976121120613E-2</v>
      </c>
      <c r="H482" s="11"/>
      <c r="I482" s="17">
        <f t="shared" si="31"/>
        <v>48447</v>
      </c>
      <c r="J482" s="18">
        <f t="shared" si="29"/>
        <v>6.4339493497604376</v>
      </c>
      <c r="K482" s="7">
        <v>4.75</v>
      </c>
      <c r="L482" s="7">
        <v>2.714864453332381E-4</v>
      </c>
      <c r="M482" s="7">
        <v>-4.7335043520079041E-3</v>
      </c>
      <c r="N482" s="7">
        <v>2.7436787374047648E-2</v>
      </c>
      <c r="O482" s="7">
        <v>-2.5001577022774474E-2</v>
      </c>
      <c r="P482" s="11">
        <f t="shared" si="30"/>
        <v>2.7885697159193383</v>
      </c>
    </row>
    <row r="483" spans="1:16" x14ac:dyDescent="0.25">
      <c r="A483" s="11">
        <v>4.71</v>
      </c>
      <c r="B483" s="7">
        <v>3.75</v>
      </c>
      <c r="C483" s="11">
        <v>-9.9382572676861604E-4</v>
      </c>
      <c r="D483" s="11">
        <v>1.2524491648998591E-2</v>
      </c>
      <c r="E483" s="11">
        <v>-5.0868356986369802E-2</v>
      </c>
      <c r="F483" s="11">
        <v>9.3170201860977769E-2</v>
      </c>
      <c r="G483" s="3">
        <f t="shared" si="28"/>
        <v>2.7582836618197604E-2</v>
      </c>
      <c r="H483" s="11"/>
      <c r="I483" s="17">
        <f t="shared" si="31"/>
        <v>48452</v>
      </c>
      <c r="J483" s="18">
        <f t="shared" si="29"/>
        <v>6.4476386036960989</v>
      </c>
      <c r="K483" s="7">
        <v>4.75</v>
      </c>
      <c r="L483" s="7">
        <v>2.714864453332381E-4</v>
      </c>
      <c r="M483" s="7">
        <v>-4.7335043520079041E-3</v>
      </c>
      <c r="N483" s="7">
        <v>2.7436787374047648E-2</v>
      </c>
      <c r="O483" s="7">
        <v>-2.5001577022774474E-2</v>
      </c>
      <c r="P483" s="11">
        <f t="shared" si="30"/>
        <v>2.7889100823653936</v>
      </c>
    </row>
    <row r="484" spans="1:16" x14ac:dyDescent="0.25">
      <c r="A484" s="11">
        <v>4.72</v>
      </c>
      <c r="B484" s="7">
        <v>3.75</v>
      </c>
      <c r="C484" s="11">
        <v>-9.9382572676861604E-4</v>
      </c>
      <c r="D484" s="11">
        <v>1.2524491648998591E-2</v>
      </c>
      <c r="E484" s="11">
        <v>-5.0868356986369802E-2</v>
      </c>
      <c r="F484" s="11">
        <v>9.3170201860977769E-2</v>
      </c>
      <c r="G484" s="3">
        <f t="shared" si="28"/>
        <v>2.7592393462100573E-2</v>
      </c>
      <c r="H484" s="11"/>
      <c r="I484" s="17">
        <f t="shared" si="31"/>
        <v>48457</v>
      </c>
      <c r="J484" s="18">
        <f t="shared" si="29"/>
        <v>6.4613278576317592</v>
      </c>
      <c r="K484" s="7">
        <v>4.75</v>
      </c>
      <c r="L484" s="7">
        <v>2.714864453332381E-4</v>
      </c>
      <c r="M484" s="7">
        <v>-4.7335043520079041E-3</v>
      </c>
      <c r="N484" s="7">
        <v>2.7436787374047648E-2</v>
      </c>
      <c r="O484" s="7">
        <v>-2.5001577022774474E-2</v>
      </c>
      <c r="P484" s="11">
        <f t="shared" si="30"/>
        <v>2.7892698568230374</v>
      </c>
    </row>
    <row r="485" spans="1:16" x14ac:dyDescent="0.25">
      <c r="A485" s="11">
        <v>4.7300000000000004</v>
      </c>
      <c r="B485" s="7">
        <v>3.75</v>
      </c>
      <c r="C485" s="11">
        <v>-9.9382572676861604E-4</v>
      </c>
      <c r="D485" s="11">
        <v>1.2524491648998591E-2</v>
      </c>
      <c r="E485" s="11">
        <v>-5.0868356986369802E-2</v>
      </c>
      <c r="F485" s="11">
        <v>9.3170201860977769E-2</v>
      </c>
      <c r="G485" s="3">
        <f t="shared" si="28"/>
        <v>2.7601640689875168E-2</v>
      </c>
      <c r="H485" s="11"/>
      <c r="I485" s="17">
        <f t="shared" si="31"/>
        <v>48462</v>
      </c>
      <c r="J485" s="18">
        <f t="shared" si="29"/>
        <v>6.4750171115674195</v>
      </c>
      <c r="K485" s="7">
        <v>4.75</v>
      </c>
      <c r="L485" s="7">
        <v>2.714864453332381E-4</v>
      </c>
      <c r="M485" s="7">
        <v>-4.7335043520079041E-3</v>
      </c>
      <c r="N485" s="7">
        <v>2.7436787374047648E-2</v>
      </c>
      <c r="O485" s="7">
        <v>-2.5001577022774474E-2</v>
      </c>
      <c r="P485" s="11">
        <f t="shared" si="30"/>
        <v>2.7896494571599191</v>
      </c>
    </row>
    <row r="486" spans="1:16" x14ac:dyDescent="0.25">
      <c r="A486" s="11">
        <v>4.74</v>
      </c>
      <c r="B486" s="7">
        <v>3.75</v>
      </c>
      <c r="C486" s="11">
        <v>-9.9382572676861604E-4</v>
      </c>
      <c r="D486" s="11">
        <v>1.2524491648998591E-2</v>
      </c>
      <c r="E486" s="11">
        <v>-5.0868356986369802E-2</v>
      </c>
      <c r="F486" s="11">
        <v>9.3170201860977769E-2</v>
      </c>
      <c r="G486" s="3">
        <f t="shared" si="28"/>
        <v>2.7610572338566952E-2</v>
      </c>
      <c r="H486" s="11"/>
      <c r="I486" s="17">
        <f t="shared" si="31"/>
        <v>48467</v>
      </c>
      <c r="J486" s="18">
        <f t="shared" si="29"/>
        <v>6.4887063655030799</v>
      </c>
      <c r="K486" s="7">
        <v>4.75</v>
      </c>
      <c r="L486" s="7">
        <v>2.714864453332381E-4</v>
      </c>
      <c r="M486" s="7">
        <v>-4.7335043520079041E-3</v>
      </c>
      <c r="N486" s="7">
        <v>2.7436787374047648E-2</v>
      </c>
      <c r="O486" s="7">
        <v>-2.5001577022774474E-2</v>
      </c>
      <c r="P486" s="11">
        <f t="shared" si="30"/>
        <v>2.7900493012436689</v>
      </c>
    </row>
    <row r="487" spans="1:16" x14ac:dyDescent="0.25">
      <c r="A487" s="11">
        <v>4.75</v>
      </c>
      <c r="B487" s="7">
        <v>4.75</v>
      </c>
      <c r="C487" s="11">
        <v>2.714864453332381E-4</v>
      </c>
      <c r="D487" s="11">
        <v>-4.7335043520079041E-3</v>
      </c>
      <c r="E487" s="11">
        <v>2.7436787374047648E-2</v>
      </c>
      <c r="F487" s="11">
        <v>-2.5001577022774474E-2</v>
      </c>
      <c r="G487" s="3">
        <f t="shared" si="28"/>
        <v>2.7619182445221657E-2</v>
      </c>
      <c r="H487" s="11"/>
      <c r="I487" s="17">
        <f t="shared" si="31"/>
        <v>48472</v>
      </c>
      <c r="J487" s="18">
        <f t="shared" si="29"/>
        <v>6.5023956194387402</v>
      </c>
      <c r="K487" s="7">
        <v>4.75</v>
      </c>
      <c r="L487" s="7">
        <v>2.714864453332381E-4</v>
      </c>
      <c r="M487" s="7">
        <v>-4.7335043520079041E-3</v>
      </c>
      <c r="N487" s="7">
        <v>2.7436787374047648E-2</v>
      </c>
      <c r="O487" s="7">
        <v>-2.5001577022774474E-2</v>
      </c>
      <c r="P487" s="11">
        <f t="shared" si="30"/>
        <v>2.790469806941942</v>
      </c>
    </row>
    <row r="488" spans="1:16" x14ac:dyDescent="0.25">
      <c r="A488" s="11">
        <v>4.76</v>
      </c>
      <c r="B488" s="7">
        <v>4.75</v>
      </c>
      <c r="C488" s="11">
        <v>2.714864453332381E-4</v>
      </c>
      <c r="D488" s="11">
        <v>-4.7335043520079041E-3</v>
      </c>
      <c r="E488" s="11">
        <v>2.7436787374047648E-2</v>
      </c>
      <c r="F488" s="11">
        <v>-2.5001577022774474E-2</v>
      </c>
      <c r="G488" s="3">
        <f t="shared" si="28"/>
        <v>2.7627543582442154E-2</v>
      </c>
      <c r="H488" s="11"/>
      <c r="I488" s="17">
        <f t="shared" si="31"/>
        <v>48477</v>
      </c>
      <c r="J488" s="18">
        <f t="shared" si="29"/>
        <v>6.5160848733744015</v>
      </c>
      <c r="K488" s="7">
        <v>4.75</v>
      </c>
      <c r="L488" s="7">
        <v>2.714864453332381E-4</v>
      </c>
      <c r="M488" s="7">
        <v>-4.7335043520079041E-3</v>
      </c>
      <c r="N488" s="7">
        <v>2.7436787374047648E-2</v>
      </c>
      <c r="O488" s="7">
        <v>-2.5001577022774474E-2</v>
      </c>
      <c r="P488" s="11">
        <f t="shared" si="30"/>
        <v>2.7909113921223612</v>
      </c>
    </row>
    <row r="489" spans="1:16" x14ac:dyDescent="0.25">
      <c r="A489" s="11">
        <v>4.7699999999999996</v>
      </c>
      <c r="B489" s="7">
        <v>4.75</v>
      </c>
      <c r="C489" s="11">
        <v>2.714864453332381E-4</v>
      </c>
      <c r="D489" s="11">
        <v>-4.7335043520079041E-3</v>
      </c>
      <c r="E489" s="11">
        <v>2.7436787374047648E-2</v>
      </c>
      <c r="F489" s="11">
        <v>-2.5001577022774474E-2</v>
      </c>
      <c r="G489" s="3">
        <f t="shared" si="28"/>
        <v>2.7635733384080124E-2</v>
      </c>
      <c r="H489" s="11"/>
      <c r="I489" s="17">
        <f t="shared" si="31"/>
        <v>48482</v>
      </c>
      <c r="J489" s="18">
        <f t="shared" si="29"/>
        <v>6.5297741273100618</v>
      </c>
      <c r="K489" s="7">
        <v>4.75</v>
      </c>
      <c r="L489" s="7">
        <v>2.714864453332381E-4</v>
      </c>
      <c r="M489" s="7">
        <v>-4.7335043520079041E-3</v>
      </c>
      <c r="N489" s="7">
        <v>2.7436787374047648E-2</v>
      </c>
      <c r="O489" s="7">
        <v>-2.5001577022774474E-2</v>
      </c>
      <c r="P489" s="11">
        <f t="shared" si="30"/>
        <v>2.7913744746525806</v>
      </c>
    </row>
    <row r="490" spans="1:16" x14ac:dyDescent="0.25">
      <c r="A490" s="11">
        <v>4.78</v>
      </c>
      <c r="B490" s="7">
        <v>4.75</v>
      </c>
      <c r="C490" s="11">
        <v>2.714864453332381E-4</v>
      </c>
      <c r="D490" s="11">
        <v>-4.7335043520079041E-3</v>
      </c>
      <c r="E490" s="11">
        <v>2.7436787374047648E-2</v>
      </c>
      <c r="F490" s="11">
        <v>-2.5001577022774474E-2</v>
      </c>
      <c r="G490" s="3">
        <f t="shared" si="28"/>
        <v>2.7643753479054248E-2</v>
      </c>
      <c r="H490" s="11"/>
      <c r="I490" s="17">
        <f t="shared" si="31"/>
        <v>48487</v>
      </c>
      <c r="J490" s="18">
        <f t="shared" si="29"/>
        <v>6.5434633812457221</v>
      </c>
      <c r="K490" s="7">
        <v>4.75</v>
      </c>
      <c r="L490" s="7">
        <v>2.714864453332381E-4</v>
      </c>
      <c r="M490" s="7">
        <v>-4.7335043520079041E-3</v>
      </c>
      <c r="N490" s="7">
        <v>2.7436787374047648E-2</v>
      </c>
      <c r="O490" s="7">
        <v>-2.5001577022774474E-2</v>
      </c>
      <c r="P490" s="11">
        <f t="shared" si="30"/>
        <v>2.791859472400235</v>
      </c>
    </row>
    <row r="491" spans="1:16" x14ac:dyDescent="0.25">
      <c r="A491" s="11">
        <v>4.79</v>
      </c>
      <c r="B491" s="7">
        <v>4.75</v>
      </c>
      <c r="C491" s="11">
        <v>2.714864453332381E-4</v>
      </c>
      <c r="D491" s="11">
        <v>-4.7335043520079041E-3</v>
      </c>
      <c r="E491" s="11">
        <v>2.7436787374047648E-2</v>
      </c>
      <c r="F491" s="11">
        <v>-2.5001577022774474E-2</v>
      </c>
      <c r="G491" s="3">
        <f t="shared" si="28"/>
        <v>2.7651605496283177E-2</v>
      </c>
      <c r="H491" s="11"/>
      <c r="I491" s="17">
        <f t="shared" si="31"/>
        <v>48492</v>
      </c>
      <c r="J491" s="18">
        <f t="shared" si="29"/>
        <v>6.5571526351813825</v>
      </c>
      <c r="K491" s="7">
        <v>4.75</v>
      </c>
      <c r="L491" s="7">
        <v>2.714864453332381E-4</v>
      </c>
      <c r="M491" s="7">
        <v>-4.7335043520079041E-3</v>
      </c>
      <c r="N491" s="7">
        <v>2.7436787374047648E-2</v>
      </c>
      <c r="O491" s="7">
        <v>-2.5001577022774474E-2</v>
      </c>
      <c r="P491" s="11">
        <f t="shared" si="30"/>
        <v>2.7923668032329649</v>
      </c>
    </row>
    <row r="492" spans="1:16" x14ac:dyDescent="0.25">
      <c r="A492" s="11">
        <v>4.8</v>
      </c>
      <c r="B492" s="7">
        <v>4.75</v>
      </c>
      <c r="C492" s="11">
        <v>2.714864453332381E-4</v>
      </c>
      <c r="D492" s="11">
        <v>-4.7335043520079041E-3</v>
      </c>
      <c r="E492" s="11">
        <v>2.7436787374047648E-2</v>
      </c>
      <c r="F492" s="11">
        <v>-2.5001577022774474E-2</v>
      </c>
      <c r="G492" s="3">
        <f t="shared" si="28"/>
        <v>2.7659291064685579E-2</v>
      </c>
      <c r="H492" s="11"/>
      <c r="I492" s="17">
        <f t="shared" si="31"/>
        <v>48497</v>
      </c>
      <c r="J492" s="18">
        <f t="shared" si="29"/>
        <v>6.5708418891170428</v>
      </c>
      <c r="K492" s="7">
        <v>4.75</v>
      </c>
      <c r="L492" s="7">
        <v>2.714864453332381E-4</v>
      </c>
      <c r="M492" s="7">
        <v>-4.7335043520079041E-3</v>
      </c>
      <c r="N492" s="7">
        <v>2.7436787374047648E-2</v>
      </c>
      <c r="O492" s="7">
        <v>-2.5001577022774474E-2</v>
      </c>
      <c r="P492" s="11">
        <f t="shared" si="30"/>
        <v>2.7928968850184144</v>
      </c>
    </row>
    <row r="493" spans="1:16" x14ac:dyDescent="0.25">
      <c r="A493" s="11">
        <v>4.8099999999999996</v>
      </c>
      <c r="B493" s="7">
        <v>4.75</v>
      </c>
      <c r="C493" s="11">
        <v>2.714864453332381E-4</v>
      </c>
      <c r="D493" s="11">
        <v>-4.7335043520079041E-3</v>
      </c>
      <c r="E493" s="11">
        <v>2.7436787374047648E-2</v>
      </c>
      <c r="F493" s="11">
        <v>-2.5001577022774474E-2</v>
      </c>
      <c r="G493" s="3">
        <f t="shared" si="28"/>
        <v>2.7666811813180148E-2</v>
      </c>
      <c r="H493" s="11"/>
      <c r="I493" s="17">
        <f t="shared" si="31"/>
        <v>48502</v>
      </c>
      <c r="J493" s="18">
        <f t="shared" si="29"/>
        <v>6.584531143052704</v>
      </c>
      <c r="K493" s="7">
        <v>4.75</v>
      </c>
      <c r="L493" s="7">
        <v>2.714864453332381E-4</v>
      </c>
      <c r="M493" s="7">
        <v>-4.7335043520079041E-3</v>
      </c>
      <c r="N493" s="7">
        <v>2.7436787374047648E-2</v>
      </c>
      <c r="O493" s="7">
        <v>-2.5001577022774474E-2</v>
      </c>
      <c r="P493" s="11">
        <f t="shared" si="30"/>
        <v>2.7934501356242176</v>
      </c>
    </row>
    <row r="494" spans="1:16" x14ac:dyDescent="0.25">
      <c r="A494" s="11">
        <v>4.82</v>
      </c>
      <c r="B494" s="7">
        <v>4.75</v>
      </c>
      <c r="C494" s="11">
        <v>2.714864453332381E-4</v>
      </c>
      <c r="D494" s="11">
        <v>-4.7335043520079041E-3</v>
      </c>
      <c r="E494" s="11">
        <v>2.7436787374047648E-2</v>
      </c>
      <c r="F494" s="11">
        <v>-2.5001577022774474E-2</v>
      </c>
      <c r="G494" s="3">
        <f t="shared" si="28"/>
        <v>2.7674169370685564E-2</v>
      </c>
      <c r="H494" s="11"/>
      <c r="I494" s="17">
        <f t="shared" si="31"/>
        <v>48507</v>
      </c>
      <c r="J494" s="18">
        <f t="shared" si="29"/>
        <v>6.5982203969883644</v>
      </c>
      <c r="K494" s="7">
        <v>4.75</v>
      </c>
      <c r="L494" s="7">
        <v>2.714864453332381E-4</v>
      </c>
      <c r="M494" s="7">
        <v>-4.7335043520079041E-3</v>
      </c>
      <c r="N494" s="7">
        <v>2.7436787374047648E-2</v>
      </c>
      <c r="O494" s="7">
        <v>-2.5001577022774474E-2</v>
      </c>
      <c r="P494" s="11">
        <f t="shared" si="30"/>
        <v>2.7940269729180178</v>
      </c>
    </row>
    <row r="495" spans="1:16" x14ac:dyDescent="0.25">
      <c r="A495" s="11">
        <v>4.83</v>
      </c>
      <c r="B495" s="7">
        <v>4.75</v>
      </c>
      <c r="C495" s="11">
        <v>2.714864453332381E-4</v>
      </c>
      <c r="D495" s="11">
        <v>-4.7335043520079041E-3</v>
      </c>
      <c r="E495" s="11">
        <v>2.7436787374047648E-2</v>
      </c>
      <c r="F495" s="11">
        <v>-2.5001577022774474E-2</v>
      </c>
      <c r="G495" s="3">
        <f t="shared" si="28"/>
        <v>2.7681365366120494E-2</v>
      </c>
      <c r="H495" s="11"/>
      <c r="I495" s="17">
        <f t="shared" si="31"/>
        <v>48512</v>
      </c>
      <c r="J495" s="18">
        <f t="shared" si="29"/>
        <v>6.6119096509240247</v>
      </c>
      <c r="K495" s="7">
        <v>4.75</v>
      </c>
      <c r="L495" s="7">
        <v>2.714864453332381E-4</v>
      </c>
      <c r="M495" s="7">
        <v>-4.7335043520079041E-3</v>
      </c>
      <c r="N495" s="7">
        <v>2.7436787374047648E-2</v>
      </c>
      <c r="O495" s="7">
        <v>-2.5001577022774474E-2</v>
      </c>
      <c r="P495" s="11">
        <f t="shared" si="30"/>
        <v>2.7946278147674501</v>
      </c>
    </row>
    <row r="496" spans="1:16" x14ac:dyDescent="0.25">
      <c r="A496" s="11">
        <v>4.84</v>
      </c>
      <c r="B496" s="7">
        <v>4.75</v>
      </c>
      <c r="C496" s="11">
        <v>2.714864453332381E-4</v>
      </c>
      <c r="D496" s="11">
        <v>-4.7335043520079041E-3</v>
      </c>
      <c r="E496" s="11">
        <v>2.7436787374047648E-2</v>
      </c>
      <c r="F496" s="11">
        <v>-2.5001577022774474E-2</v>
      </c>
      <c r="G496" s="3">
        <f t="shared" si="28"/>
        <v>2.7688401428403564E-2</v>
      </c>
      <c r="H496" s="11"/>
      <c r="I496" s="17">
        <f t="shared" si="31"/>
        <v>48517</v>
      </c>
      <c r="J496" s="18">
        <f t="shared" si="29"/>
        <v>6.6255989048596851</v>
      </c>
      <c r="K496" s="7">
        <v>4.75</v>
      </c>
      <c r="L496" s="7">
        <v>2.714864453332381E-4</v>
      </c>
      <c r="M496" s="7">
        <v>-4.7335043520079041E-3</v>
      </c>
      <c r="N496" s="7">
        <v>2.7436787374047648E-2</v>
      </c>
      <c r="O496" s="7">
        <v>-2.5001577022774474E-2</v>
      </c>
      <c r="P496" s="11">
        <f t="shared" si="30"/>
        <v>2.7952530790401693</v>
      </c>
    </row>
    <row r="497" spans="1:16" x14ac:dyDescent="0.25">
      <c r="A497" s="11">
        <v>4.8499999999999996</v>
      </c>
      <c r="B497" s="7">
        <v>4.75</v>
      </c>
      <c r="C497" s="11">
        <v>2.714864453332381E-4</v>
      </c>
      <c r="D497" s="11">
        <v>-4.7335043520079041E-3</v>
      </c>
      <c r="E497" s="11">
        <v>2.7436787374047648E-2</v>
      </c>
      <c r="F497" s="11">
        <v>-2.5001577022774474E-2</v>
      </c>
      <c r="G497" s="3">
        <f t="shared" si="28"/>
        <v>2.7695279186453481E-2</v>
      </c>
      <c r="H497" s="11"/>
      <c r="I497" s="17">
        <f t="shared" si="31"/>
        <v>48522</v>
      </c>
      <c r="J497" s="18">
        <f t="shared" si="29"/>
        <v>6.6392881587953454</v>
      </c>
      <c r="K497" s="7">
        <v>4.75</v>
      </c>
      <c r="L497" s="7">
        <v>2.714864453332381E-4</v>
      </c>
      <c r="M497" s="7">
        <v>-4.7335043520079041E-3</v>
      </c>
      <c r="N497" s="7">
        <v>2.7436787374047648E-2</v>
      </c>
      <c r="O497" s="7">
        <v>-2.5001577022774474E-2</v>
      </c>
      <c r="P497" s="11">
        <f t="shared" si="30"/>
        <v>2.7959031836038042</v>
      </c>
    </row>
    <row r="498" spans="1:16" x14ac:dyDescent="0.25">
      <c r="A498" s="11">
        <v>4.8600000000000003</v>
      </c>
      <c r="B498" s="7">
        <v>4.75</v>
      </c>
      <c r="C498" s="11">
        <v>2.714864453332381E-4</v>
      </c>
      <c r="D498" s="11">
        <v>-4.7335043520079041E-3</v>
      </c>
      <c r="E498" s="11">
        <v>2.7436787374047648E-2</v>
      </c>
      <c r="F498" s="11">
        <v>-2.5001577022774474E-2</v>
      </c>
      <c r="G498" s="3">
        <f t="shared" si="28"/>
        <v>2.7702000269188953E-2</v>
      </c>
      <c r="H498" s="11"/>
      <c r="I498" s="17">
        <f t="shared" si="31"/>
        <v>48527</v>
      </c>
      <c r="J498" s="18">
        <f t="shared" si="29"/>
        <v>6.6529774127310057</v>
      </c>
      <c r="K498" s="7">
        <v>4.75</v>
      </c>
      <c r="L498" s="7">
        <v>2.714864453332381E-4</v>
      </c>
      <c r="M498" s="7">
        <v>-4.7335043520079041E-3</v>
      </c>
      <c r="N498" s="7">
        <v>2.7436787374047648E-2</v>
      </c>
      <c r="O498" s="7">
        <v>-2.5001577022774474E-2</v>
      </c>
      <c r="P498" s="11">
        <f t="shared" si="30"/>
        <v>2.796578546325998</v>
      </c>
    </row>
    <row r="499" spans="1:16" x14ac:dyDescent="0.25">
      <c r="A499" s="11">
        <v>4.87</v>
      </c>
      <c r="B499" s="7">
        <v>4.75</v>
      </c>
      <c r="C499" s="11">
        <v>2.714864453332381E-4</v>
      </c>
      <c r="D499" s="11">
        <v>-4.7335043520079041E-3</v>
      </c>
      <c r="E499" s="11">
        <v>2.7436787374047648E-2</v>
      </c>
      <c r="F499" s="11">
        <v>-2.5001577022774474E-2</v>
      </c>
      <c r="G499" s="3">
        <f t="shared" si="28"/>
        <v>2.7708566305528565E-2</v>
      </c>
      <c r="H499" s="11"/>
      <c r="I499" s="17">
        <f t="shared" si="31"/>
        <v>48532</v>
      </c>
      <c r="J499" s="18">
        <f t="shared" si="29"/>
        <v>6.666666666666667</v>
      </c>
      <c r="K499" s="7">
        <v>4.75</v>
      </c>
      <c r="L499" s="7">
        <v>2.714864453332381E-4</v>
      </c>
      <c r="M499" s="7">
        <v>-4.7335043520079041E-3</v>
      </c>
      <c r="N499" s="7">
        <v>2.7436787374047648E-2</v>
      </c>
      <c r="O499" s="7">
        <v>-2.5001577022774474E-2</v>
      </c>
      <c r="P499" s="11">
        <f t="shared" si="30"/>
        <v>2.7972795850743912</v>
      </c>
    </row>
    <row r="500" spans="1:16" x14ac:dyDescent="0.25">
      <c r="A500" s="11">
        <v>4.88</v>
      </c>
      <c r="B500" s="7">
        <v>4.75</v>
      </c>
      <c r="C500" s="11">
        <v>2.714864453332381E-4</v>
      </c>
      <c r="D500" s="11">
        <v>-4.7335043520079041E-3</v>
      </c>
      <c r="E500" s="11">
        <v>2.7436787374047648E-2</v>
      </c>
      <c r="F500" s="11">
        <v>-2.5001577022774474E-2</v>
      </c>
      <c r="G500" s="3">
        <f t="shared" si="28"/>
        <v>2.7714978924391065E-2</v>
      </c>
      <c r="H500" s="11"/>
      <c r="I500" s="17">
        <f t="shared" si="31"/>
        <v>48537</v>
      </c>
      <c r="J500" s="18">
        <f t="shared" si="29"/>
        <v>6.6803559206023273</v>
      </c>
      <c r="K500" s="7">
        <v>4.75</v>
      </c>
      <c r="L500" s="7">
        <v>2.714864453332381E-4</v>
      </c>
      <c r="M500" s="7">
        <v>-4.7335043520079041E-3</v>
      </c>
      <c r="N500" s="7">
        <v>2.7436787374047648E-2</v>
      </c>
      <c r="O500" s="7">
        <v>-2.5001577022774474E-2</v>
      </c>
      <c r="P500" s="11">
        <f t="shared" si="30"/>
        <v>2.7980067177166252</v>
      </c>
    </row>
    <row r="501" spans="1:16" x14ac:dyDescent="0.25">
      <c r="A501" s="11">
        <v>4.8899999999999997</v>
      </c>
      <c r="B501" s="7">
        <v>4.75</v>
      </c>
      <c r="C501" s="11">
        <v>2.714864453332381E-4</v>
      </c>
      <c r="D501" s="11">
        <v>-4.7335043520079041E-3</v>
      </c>
      <c r="E501" s="11">
        <v>2.7436787374047648E-2</v>
      </c>
      <c r="F501" s="11">
        <v>-2.5001577022774474E-2</v>
      </c>
      <c r="G501" s="3">
        <f t="shared" si="28"/>
        <v>2.7721239754695107E-2</v>
      </c>
      <c r="H501" s="11"/>
      <c r="I501" s="17">
        <f t="shared" si="31"/>
        <v>48542</v>
      </c>
      <c r="J501" s="18">
        <f t="shared" si="29"/>
        <v>6.6940451745379876</v>
      </c>
      <c r="K501" s="7">
        <v>4.75</v>
      </c>
      <c r="L501" s="7">
        <v>2.714864453332381E-4</v>
      </c>
      <c r="M501" s="7">
        <v>-4.7335043520079041E-3</v>
      </c>
      <c r="N501" s="7">
        <v>2.7436787374047648E-2</v>
      </c>
      <c r="O501" s="7">
        <v>-2.5001577022774474E-2</v>
      </c>
      <c r="P501" s="11">
        <f t="shared" si="30"/>
        <v>2.7987603621203339</v>
      </c>
    </row>
    <row r="502" spans="1:16" x14ac:dyDescent="0.25">
      <c r="A502" s="11">
        <v>4.9000000000000004</v>
      </c>
      <c r="B502" s="7">
        <v>4.75</v>
      </c>
      <c r="C502" s="11">
        <v>2.714864453332381E-4</v>
      </c>
      <c r="D502" s="11">
        <v>-4.7335043520079041E-3</v>
      </c>
      <c r="E502" s="11">
        <v>2.7436787374047648E-2</v>
      </c>
      <c r="F502" s="11">
        <v>-2.5001577022774474E-2</v>
      </c>
      <c r="G502" s="3">
        <f t="shared" si="28"/>
        <v>2.7727350425359329E-2</v>
      </c>
      <c r="H502" s="11"/>
      <c r="I502" s="17">
        <f t="shared" si="31"/>
        <v>48547</v>
      </c>
      <c r="J502" s="18">
        <f t="shared" si="29"/>
        <v>6.707734428473648</v>
      </c>
      <c r="K502" s="7">
        <v>4.75</v>
      </c>
      <c r="L502" s="7">
        <v>2.714864453332381E-4</v>
      </c>
      <c r="M502" s="7">
        <v>-4.7335043520079041E-3</v>
      </c>
      <c r="N502" s="7">
        <v>2.7436787374047648E-2</v>
      </c>
      <c r="O502" s="7">
        <v>-2.5001577022774474E-2</v>
      </c>
      <c r="P502" s="11">
        <f t="shared" si="30"/>
        <v>2.7995409361531665</v>
      </c>
    </row>
    <row r="503" spans="1:16" x14ac:dyDescent="0.25">
      <c r="A503" s="11">
        <v>4.91</v>
      </c>
      <c r="B503" s="7">
        <v>4.75</v>
      </c>
      <c r="C503" s="11">
        <v>2.714864453332381E-4</v>
      </c>
      <c r="D503" s="11">
        <v>-4.7335043520079041E-3</v>
      </c>
      <c r="E503" s="11">
        <v>2.7436787374047648E-2</v>
      </c>
      <c r="F503" s="11">
        <v>-2.5001577022774474E-2</v>
      </c>
      <c r="G503" s="3">
        <f t="shared" si="28"/>
        <v>2.7733312565302481E-2</v>
      </c>
      <c r="H503" s="11"/>
      <c r="I503" s="17">
        <f t="shared" si="31"/>
        <v>48552</v>
      </c>
      <c r="J503" s="18">
        <f t="shared" si="29"/>
        <v>6.7214236824093083</v>
      </c>
      <c r="K503" s="7">
        <v>4.75</v>
      </c>
      <c r="L503" s="7">
        <v>2.714864453332381E-4</v>
      </c>
      <c r="M503" s="7">
        <v>-4.7335043520079041E-3</v>
      </c>
      <c r="N503" s="7">
        <v>2.7436787374047648E-2</v>
      </c>
      <c r="O503" s="7">
        <v>-2.5001577022774474E-2</v>
      </c>
      <c r="P503" s="11">
        <f t="shared" si="30"/>
        <v>2.8003488576827635</v>
      </c>
    </row>
    <row r="504" spans="1:16" x14ac:dyDescent="0.25">
      <c r="A504" s="11">
        <v>4.92</v>
      </c>
      <c r="B504" s="7">
        <v>4.75</v>
      </c>
      <c r="C504" s="11">
        <v>2.714864453332381E-4</v>
      </c>
      <c r="D504" s="11">
        <v>-4.7335043520079041E-3</v>
      </c>
      <c r="E504" s="11">
        <v>2.7436787374047648E-2</v>
      </c>
      <c r="F504" s="11">
        <v>-2.5001577022774474E-2</v>
      </c>
      <c r="G504" s="3">
        <f t="shared" si="28"/>
        <v>2.7739127803443148E-2</v>
      </c>
      <c r="H504" s="11"/>
      <c r="I504" s="17">
        <f t="shared" si="31"/>
        <v>48557</v>
      </c>
      <c r="J504" s="18">
        <f t="shared" si="29"/>
        <v>6.7351129363449695</v>
      </c>
      <c r="K504" s="7">
        <v>4.75</v>
      </c>
      <c r="L504" s="7">
        <v>2.714864453332381E-4</v>
      </c>
      <c r="M504" s="7">
        <v>-4.7335043520079041E-3</v>
      </c>
      <c r="N504" s="7">
        <v>2.7436787374047648E-2</v>
      </c>
      <c r="O504" s="7">
        <v>-2.5001577022774474E-2</v>
      </c>
      <c r="P504" s="11">
        <f t="shared" si="30"/>
        <v>2.8011845445767571</v>
      </c>
    </row>
    <row r="505" spans="1:16" x14ac:dyDescent="0.25">
      <c r="A505" s="11">
        <v>4.93</v>
      </c>
      <c r="B505" s="7">
        <v>4.75</v>
      </c>
      <c r="C505" s="11">
        <v>2.714864453332381E-4</v>
      </c>
      <c r="D505" s="11">
        <v>-4.7335043520079041E-3</v>
      </c>
      <c r="E505" s="11">
        <v>2.7436787374047648E-2</v>
      </c>
      <c r="F505" s="11">
        <v>-2.5001577022774474E-2</v>
      </c>
      <c r="G505" s="3">
        <f t="shared" si="28"/>
        <v>2.7744797768700036E-2</v>
      </c>
      <c r="H505" s="11"/>
      <c r="I505" s="17">
        <f t="shared" si="31"/>
        <v>48562</v>
      </c>
      <c r="J505" s="18">
        <f t="shared" si="29"/>
        <v>6.7488021902806299</v>
      </c>
      <c r="K505" s="7">
        <v>4.75</v>
      </c>
      <c r="L505" s="7">
        <v>2.714864453332381E-4</v>
      </c>
      <c r="M505" s="7">
        <v>-4.7335043520079041E-3</v>
      </c>
      <c r="N505" s="7">
        <v>2.7436787374047648E-2</v>
      </c>
      <c r="O505" s="7">
        <v>-2.5001577022774474E-2</v>
      </c>
      <c r="P505" s="11">
        <f t="shared" si="30"/>
        <v>2.8020484147027958</v>
      </c>
    </row>
    <row r="506" spans="1:16" x14ac:dyDescent="0.25">
      <c r="A506" s="11">
        <v>4.9400000000000004</v>
      </c>
      <c r="B506" s="7">
        <v>4.75</v>
      </c>
      <c r="C506" s="11">
        <v>2.714864453332381E-4</v>
      </c>
      <c r="D506" s="11">
        <v>-4.7335043520079041E-3</v>
      </c>
      <c r="E506" s="11">
        <v>2.7436787374047648E-2</v>
      </c>
      <c r="F506" s="11">
        <v>-2.5001577022774474E-2</v>
      </c>
      <c r="G506" s="3">
        <f t="shared" si="28"/>
        <v>2.7750324089991812E-2</v>
      </c>
      <c r="H506" s="11"/>
      <c r="I506" s="17">
        <f t="shared" si="31"/>
        <v>48567</v>
      </c>
      <c r="J506" s="18">
        <f t="shared" si="29"/>
        <v>6.7624914442162902</v>
      </c>
      <c r="K506" s="7">
        <v>6.75</v>
      </c>
      <c r="L506" s="7">
        <v>-1.0944565390944813E-4</v>
      </c>
      <c r="M506" s="7">
        <v>2.6920269702771296E-3</v>
      </c>
      <c r="N506" s="7">
        <v>-2.0739229161565641E-2</v>
      </c>
      <c r="O506" s="7">
        <v>7.9015240430281408E-2</v>
      </c>
      <c r="P506" s="11">
        <f t="shared" si="30"/>
        <v>2.8029363124756737</v>
      </c>
    </row>
    <row r="507" spans="1:16" x14ac:dyDescent="0.25">
      <c r="A507" s="11">
        <v>4.95</v>
      </c>
      <c r="B507" s="7">
        <v>4.75</v>
      </c>
      <c r="C507" s="11">
        <v>2.714864453332381E-4</v>
      </c>
      <c r="D507" s="11">
        <v>-4.7335043520079041E-3</v>
      </c>
      <c r="E507" s="11">
        <v>2.7436787374047648E-2</v>
      </c>
      <c r="F507" s="11">
        <v>-2.5001577022774474E-2</v>
      </c>
      <c r="G507" s="3">
        <f t="shared" si="28"/>
        <v>2.7755708396237158E-2</v>
      </c>
      <c r="H507" s="11"/>
      <c r="I507" s="17">
        <f t="shared" si="31"/>
        <v>48572</v>
      </c>
      <c r="J507" s="18">
        <f t="shared" si="29"/>
        <v>6.7761806981519506</v>
      </c>
      <c r="K507" s="7">
        <v>6.75</v>
      </c>
      <c r="L507" s="7">
        <v>-1.0944565390944813E-4</v>
      </c>
      <c r="M507" s="7">
        <v>2.6920269702771296E-3</v>
      </c>
      <c r="N507" s="7">
        <v>-2.0739229161565641E-2</v>
      </c>
      <c r="O507" s="7">
        <v>7.9015240430281408E-2</v>
      </c>
      <c r="P507" s="11">
        <f t="shared" si="30"/>
        <v>2.8038419286273237</v>
      </c>
    </row>
    <row r="508" spans="1:16" x14ac:dyDescent="0.25">
      <c r="A508" s="11">
        <v>4.96</v>
      </c>
      <c r="B508" s="7">
        <v>4.75</v>
      </c>
      <c r="C508" s="11">
        <v>2.714864453332381E-4</v>
      </c>
      <c r="D508" s="11">
        <v>-4.7335043520079041E-3</v>
      </c>
      <c r="E508" s="11">
        <v>2.7436787374047648E-2</v>
      </c>
      <c r="F508" s="11">
        <v>-2.5001577022774474E-2</v>
      </c>
      <c r="G508" s="3">
        <f t="shared" si="28"/>
        <v>2.7760952316354753E-2</v>
      </c>
      <c r="H508" s="11"/>
      <c r="I508" s="17">
        <f t="shared" si="31"/>
        <v>48577</v>
      </c>
      <c r="J508" s="18">
        <f t="shared" si="29"/>
        <v>6.7898699520876109</v>
      </c>
      <c r="K508" s="7">
        <v>6.75</v>
      </c>
      <c r="L508" s="7">
        <v>-1.0944565390944813E-4</v>
      </c>
      <c r="M508" s="7">
        <v>2.6920269702771296E-3</v>
      </c>
      <c r="N508" s="7">
        <v>-2.0739229161565641E-2</v>
      </c>
      <c r="O508" s="7">
        <v>7.9015240430281408E-2</v>
      </c>
      <c r="P508" s="11">
        <f t="shared" si="30"/>
        <v>2.804765053396141</v>
      </c>
    </row>
    <row r="509" spans="1:16" x14ac:dyDescent="0.25">
      <c r="A509" s="11">
        <v>4.97</v>
      </c>
      <c r="B509" s="7">
        <v>4.75</v>
      </c>
      <c r="C509" s="11">
        <v>2.714864453332381E-4</v>
      </c>
      <c r="D509" s="11">
        <v>-4.7335043520079041E-3</v>
      </c>
      <c r="E509" s="11">
        <v>2.7436787374047648E-2</v>
      </c>
      <c r="F509" s="11">
        <v>-2.5001577022774474E-2</v>
      </c>
      <c r="G509" s="3">
        <f t="shared" si="28"/>
        <v>2.7766057479263251E-2</v>
      </c>
      <c r="H509" s="11"/>
      <c r="I509" s="17">
        <f t="shared" si="31"/>
        <v>48582</v>
      </c>
      <c r="J509" s="18">
        <f t="shared" si="29"/>
        <v>6.8035592060232721</v>
      </c>
      <c r="K509" s="7">
        <v>6.75</v>
      </c>
      <c r="L509" s="7">
        <v>-1.0944565390944813E-4</v>
      </c>
      <c r="M509" s="7">
        <v>2.6920269702771296E-3</v>
      </c>
      <c r="N509" s="7">
        <v>-2.0739229161565641E-2</v>
      </c>
      <c r="O509" s="7">
        <v>7.9015240430281408E-2</v>
      </c>
      <c r="P509" s="11">
        <f t="shared" si="30"/>
        <v>2.8057055183251007</v>
      </c>
    </row>
    <row r="510" spans="1:16" x14ac:dyDescent="0.25">
      <c r="A510" s="11">
        <v>4.9800000000000004</v>
      </c>
      <c r="B510" s="7">
        <v>4.75</v>
      </c>
      <c r="C510" s="11">
        <v>2.714864453332381E-4</v>
      </c>
      <c r="D510" s="11">
        <v>-4.7335043520079041E-3</v>
      </c>
      <c r="E510" s="11">
        <v>2.7436787374047648E-2</v>
      </c>
      <c r="F510" s="11">
        <v>-2.5001577022774474E-2</v>
      </c>
      <c r="G510" s="3">
        <f t="shared" si="28"/>
        <v>2.7771025513881317E-2</v>
      </c>
      <c r="H510" s="11"/>
      <c r="I510" s="17">
        <f t="shared" si="31"/>
        <v>48587</v>
      </c>
      <c r="J510" s="18">
        <f t="shared" si="29"/>
        <v>6.8172484599589325</v>
      </c>
      <c r="K510" s="7">
        <v>6.75</v>
      </c>
      <c r="L510" s="7">
        <v>-1.0944565390944813E-4</v>
      </c>
      <c r="M510" s="7">
        <v>2.6920269702771296E-3</v>
      </c>
      <c r="N510" s="7">
        <v>-2.0739229161565641E-2</v>
      </c>
      <c r="O510" s="7">
        <v>7.9015240430281408E-2</v>
      </c>
      <c r="P510" s="11">
        <f t="shared" si="30"/>
        <v>2.806663154957187</v>
      </c>
    </row>
    <row r="511" spans="1:16" x14ac:dyDescent="0.25">
      <c r="A511" s="11">
        <v>4.99</v>
      </c>
      <c r="B511" s="7">
        <v>4.75</v>
      </c>
      <c r="C511" s="11">
        <v>2.714864453332381E-4</v>
      </c>
      <c r="D511" s="11">
        <v>-4.7335043520079041E-3</v>
      </c>
      <c r="E511" s="11">
        <v>2.7436787374047648E-2</v>
      </c>
      <c r="F511" s="11">
        <v>-2.5001577022774474E-2</v>
      </c>
      <c r="G511" s="3">
        <f t="shared" si="28"/>
        <v>2.7775858049127661E-2</v>
      </c>
      <c r="H511" s="11"/>
      <c r="I511" s="17">
        <f t="shared" si="31"/>
        <v>48592</v>
      </c>
      <c r="J511" s="18">
        <f t="shared" si="29"/>
        <v>6.8309377138945928</v>
      </c>
      <c r="K511" s="7">
        <v>6.75</v>
      </c>
      <c r="L511" s="7">
        <v>-1.0944565390944813E-4</v>
      </c>
      <c r="M511" s="7">
        <v>2.6920269702771296E-3</v>
      </c>
      <c r="N511" s="7">
        <v>-2.0739229161565641E-2</v>
      </c>
      <c r="O511" s="7">
        <v>7.9015240430281408E-2</v>
      </c>
      <c r="P511" s="11">
        <f t="shared" si="30"/>
        <v>2.8076377948353826</v>
      </c>
    </row>
    <row r="512" spans="1:16" x14ac:dyDescent="0.25">
      <c r="A512" s="11">
        <v>5</v>
      </c>
      <c r="B512" s="7">
        <v>4.75</v>
      </c>
      <c r="C512" s="11">
        <v>2.714864453332381E-4</v>
      </c>
      <c r="D512" s="11">
        <v>-4.7335043520079041E-3</v>
      </c>
      <c r="E512" s="11">
        <v>2.7436787374047648E-2</v>
      </c>
      <c r="F512" s="11">
        <v>-2.5001577022774474E-2</v>
      </c>
      <c r="G512" s="3">
        <f t="shared" si="28"/>
        <v>2.7780556713920934E-2</v>
      </c>
      <c r="H512" s="11"/>
      <c r="I512" s="17">
        <f t="shared" si="31"/>
        <v>48597</v>
      </c>
      <c r="J512" s="18">
        <f t="shared" si="29"/>
        <v>6.8446269678302532</v>
      </c>
      <c r="K512" s="7">
        <v>6.75</v>
      </c>
      <c r="L512" s="7">
        <v>-1.0944565390944813E-4</v>
      </c>
      <c r="M512" s="7">
        <v>2.6920269702771296E-3</v>
      </c>
      <c r="N512" s="7">
        <v>-2.0739229161565641E-2</v>
      </c>
      <c r="O512" s="7">
        <v>7.9015240430281408E-2</v>
      </c>
      <c r="P512" s="11">
        <f t="shared" si="30"/>
        <v>2.8086292695026716</v>
      </c>
    </row>
    <row r="513" spans="1:16" x14ac:dyDescent="0.25">
      <c r="A513" s="11">
        <v>5.01</v>
      </c>
      <c r="B513" s="7">
        <v>4.75</v>
      </c>
      <c r="C513" s="11">
        <v>2.714864453332381E-4</v>
      </c>
      <c r="D513" s="11">
        <v>-4.7335043520079041E-3</v>
      </c>
      <c r="E513" s="11">
        <v>2.7436787374047648E-2</v>
      </c>
      <c r="F513" s="11">
        <v>-2.5001577022774474E-2</v>
      </c>
      <c r="G513" s="3">
        <f t="shared" si="28"/>
        <v>2.778512313717979E-2</v>
      </c>
      <c r="H513" s="11"/>
      <c r="I513" s="17">
        <f t="shared" si="31"/>
        <v>48602</v>
      </c>
      <c r="J513" s="18">
        <f t="shared" si="29"/>
        <v>6.8583162217659135</v>
      </c>
      <c r="K513" s="7">
        <v>6.75</v>
      </c>
      <c r="L513" s="7">
        <v>-1.0944565390944813E-4</v>
      </c>
      <c r="M513" s="7">
        <v>2.6920269702771296E-3</v>
      </c>
      <c r="N513" s="7">
        <v>-2.0739229161565641E-2</v>
      </c>
      <c r="O513" s="7">
        <v>7.9015240430281408E-2</v>
      </c>
      <c r="P513" s="11">
        <f t="shared" si="30"/>
        <v>2.8096374105020319</v>
      </c>
    </row>
    <row r="514" spans="1:16" x14ac:dyDescent="0.25">
      <c r="A514" s="11">
        <v>5.0199999999999996</v>
      </c>
      <c r="B514" s="7">
        <v>4.75</v>
      </c>
      <c r="C514" s="11">
        <v>2.714864453332381E-4</v>
      </c>
      <c r="D514" s="11">
        <v>-4.7335043520079041E-3</v>
      </c>
      <c r="E514" s="11">
        <v>2.7436787374047648E-2</v>
      </c>
      <c r="F514" s="11">
        <v>-2.5001577022774474E-2</v>
      </c>
      <c r="G514" s="3">
        <f t="shared" si="28"/>
        <v>2.7789558947822923E-2</v>
      </c>
      <c r="H514" s="11"/>
      <c r="I514" s="17">
        <f t="shared" si="31"/>
        <v>48607</v>
      </c>
      <c r="J514" s="18">
        <f t="shared" si="29"/>
        <v>6.8720054757015738</v>
      </c>
      <c r="K514" s="7">
        <v>6.75</v>
      </c>
      <c r="L514" s="7">
        <v>-1.0944565390944813E-4</v>
      </c>
      <c r="M514" s="7">
        <v>2.6920269702771296E-3</v>
      </c>
      <c r="N514" s="7">
        <v>-2.0739229161565641E-2</v>
      </c>
      <c r="O514" s="7">
        <v>7.9015240430281408E-2</v>
      </c>
      <c r="P514" s="11">
        <f t="shared" si="30"/>
        <v>2.8106620493764418</v>
      </c>
    </row>
    <row r="515" spans="1:16" x14ac:dyDescent="0.25">
      <c r="A515" s="11">
        <v>5.03</v>
      </c>
      <c r="B515" s="7">
        <v>4.75</v>
      </c>
      <c r="C515" s="11">
        <v>2.714864453332381E-4</v>
      </c>
      <c r="D515" s="11">
        <v>-4.7335043520079041E-3</v>
      </c>
      <c r="E515" s="11">
        <v>2.7436787374047648E-2</v>
      </c>
      <c r="F515" s="11">
        <v>-2.5001577022774474E-2</v>
      </c>
      <c r="G515" s="3">
        <f t="shared" si="28"/>
        <v>2.7793865774768972E-2</v>
      </c>
      <c r="H515" s="11"/>
      <c r="I515" s="17">
        <f t="shared" si="31"/>
        <v>48612</v>
      </c>
      <c r="J515" s="18">
        <f t="shared" si="29"/>
        <v>6.8856947296372351</v>
      </c>
      <c r="K515" s="7">
        <v>6.75</v>
      </c>
      <c r="L515" s="7">
        <v>-1.0944565390944813E-4</v>
      </c>
      <c r="M515" s="7">
        <v>2.6920269702771296E-3</v>
      </c>
      <c r="N515" s="7">
        <v>-2.0739229161565641E-2</v>
      </c>
      <c r="O515" s="7">
        <v>7.9015240430281408E-2</v>
      </c>
      <c r="P515" s="11">
        <f t="shared" si="30"/>
        <v>2.811703017668886</v>
      </c>
    </row>
    <row r="516" spans="1:16" x14ac:dyDescent="0.25">
      <c r="A516" s="11">
        <v>5.04</v>
      </c>
      <c r="B516" s="7">
        <v>4.75</v>
      </c>
      <c r="C516" s="11">
        <v>2.714864453332381E-4</v>
      </c>
      <c r="D516" s="11">
        <v>-4.7335043520079041E-3</v>
      </c>
      <c r="E516" s="11">
        <v>2.7436787374047648E-2</v>
      </c>
      <c r="F516" s="11">
        <v>-2.5001577022774474E-2</v>
      </c>
      <c r="G516" s="3">
        <f t="shared" si="28"/>
        <v>2.7798045246936659E-2</v>
      </c>
      <c r="H516" s="11"/>
      <c r="I516" s="17">
        <f t="shared" si="31"/>
        <v>48617</v>
      </c>
      <c r="J516" s="18">
        <f t="shared" si="29"/>
        <v>6.8993839835728954</v>
      </c>
      <c r="K516" s="7">
        <v>6.75</v>
      </c>
      <c r="L516" s="7">
        <v>-1.0944565390944813E-4</v>
      </c>
      <c r="M516" s="7">
        <v>2.6920269702771296E-3</v>
      </c>
      <c r="N516" s="7">
        <v>-2.0739229161565641E-2</v>
      </c>
      <c r="O516" s="7">
        <v>7.9015240430281408E-2</v>
      </c>
      <c r="P516" s="11">
        <f t="shared" si="30"/>
        <v>2.8127601469223467</v>
      </c>
    </row>
    <row r="517" spans="1:16" x14ac:dyDescent="0.25">
      <c r="A517" s="11">
        <v>5.05</v>
      </c>
      <c r="B517" s="7">
        <v>4.75</v>
      </c>
      <c r="C517" s="11">
        <v>2.714864453332381E-4</v>
      </c>
      <c r="D517" s="11">
        <v>-4.7335043520079041E-3</v>
      </c>
      <c r="E517" s="11">
        <v>2.7436787374047648E-2</v>
      </c>
      <c r="F517" s="11">
        <v>-2.5001577022774474E-2</v>
      </c>
      <c r="G517" s="3">
        <f t="shared" si="28"/>
        <v>2.7802098993244637E-2</v>
      </c>
      <c r="H517" s="11"/>
      <c r="I517" s="17">
        <f t="shared" si="31"/>
        <v>48622</v>
      </c>
      <c r="J517" s="18">
        <f t="shared" si="29"/>
        <v>6.9130732375085557</v>
      </c>
      <c r="K517" s="7">
        <v>6.75</v>
      </c>
      <c r="L517" s="7">
        <v>-1.0944565390944813E-4</v>
      </c>
      <c r="M517" s="7">
        <v>2.6920269702771296E-3</v>
      </c>
      <c r="N517" s="7">
        <v>-2.0739229161565641E-2</v>
      </c>
      <c r="O517" s="7">
        <v>7.9015240430281408E-2</v>
      </c>
      <c r="P517" s="11">
        <f t="shared" si="30"/>
        <v>2.813833268679808</v>
      </c>
    </row>
    <row r="518" spans="1:16" x14ac:dyDescent="0.25">
      <c r="A518" s="11">
        <v>5.0599999999999996</v>
      </c>
      <c r="B518" s="7">
        <v>4.75</v>
      </c>
      <c r="C518" s="11">
        <v>2.714864453332381E-4</v>
      </c>
      <c r="D518" s="11">
        <v>-4.7335043520079041E-3</v>
      </c>
      <c r="E518" s="11">
        <v>2.7436787374047648E-2</v>
      </c>
      <c r="F518" s="11">
        <v>-2.5001577022774474E-2</v>
      </c>
      <c r="G518" s="3">
        <f t="shared" si="28"/>
        <v>2.7806028642611558E-2</v>
      </c>
      <c r="H518" s="11"/>
      <c r="I518" s="17">
        <f t="shared" si="31"/>
        <v>48627</v>
      </c>
      <c r="J518" s="18">
        <f t="shared" si="29"/>
        <v>6.9267624914442161</v>
      </c>
      <c r="K518" s="7">
        <v>6.75</v>
      </c>
      <c r="L518" s="7">
        <v>-1.0944565390944813E-4</v>
      </c>
      <c r="M518" s="7">
        <v>2.6920269702771296E-3</v>
      </c>
      <c r="N518" s="7">
        <v>-2.0739229161565641E-2</v>
      </c>
      <c r="O518" s="7">
        <v>7.9015240430281408E-2</v>
      </c>
      <c r="P518" s="11">
        <f t="shared" si="30"/>
        <v>2.8149222144842447</v>
      </c>
    </row>
    <row r="519" spans="1:16" x14ac:dyDescent="0.25">
      <c r="A519" s="11">
        <v>5.07</v>
      </c>
      <c r="B519" s="7">
        <v>4.75</v>
      </c>
      <c r="C519" s="11">
        <v>2.714864453332381E-4</v>
      </c>
      <c r="D519" s="11">
        <v>-4.7335043520079041E-3</v>
      </c>
      <c r="E519" s="11">
        <v>2.7436787374047648E-2</v>
      </c>
      <c r="F519" s="11">
        <v>-2.5001577022774474E-2</v>
      </c>
      <c r="G519" s="3">
        <f t="shared" si="28"/>
        <v>2.7809835823956117E-2</v>
      </c>
      <c r="H519" s="11"/>
      <c r="I519" s="17">
        <f t="shared" si="31"/>
        <v>48632</v>
      </c>
      <c r="J519" s="18">
        <f t="shared" si="29"/>
        <v>6.9404517453798764</v>
      </c>
      <c r="K519" s="7">
        <v>6.75</v>
      </c>
      <c r="L519" s="7">
        <v>-1.0944565390944813E-4</v>
      </c>
      <c r="M519" s="7">
        <v>2.6920269702771296E-3</v>
      </c>
      <c r="N519" s="7">
        <v>-2.0739229161565641E-2</v>
      </c>
      <c r="O519" s="7">
        <v>7.9015240430281408E-2</v>
      </c>
      <c r="P519" s="11">
        <f t="shared" si="30"/>
        <v>2.8160268158786432</v>
      </c>
    </row>
    <row r="520" spans="1:16" x14ac:dyDescent="0.25">
      <c r="A520" s="11">
        <v>5.08</v>
      </c>
      <c r="B520" s="7">
        <v>4.75</v>
      </c>
      <c r="C520" s="11">
        <v>2.714864453332381E-4</v>
      </c>
      <c r="D520" s="11">
        <v>-4.7335043520079041E-3</v>
      </c>
      <c r="E520" s="11">
        <v>2.7436787374047648E-2</v>
      </c>
      <c r="F520" s="11">
        <v>-2.5001577022774474E-2</v>
      </c>
      <c r="G520" s="3">
        <f t="shared" si="28"/>
        <v>2.7813522166197008E-2</v>
      </c>
      <c r="H520" s="11"/>
      <c r="I520" s="17">
        <f t="shared" si="31"/>
        <v>48637</v>
      </c>
      <c r="J520" s="18">
        <f t="shared" si="29"/>
        <v>6.9541409993155376</v>
      </c>
      <c r="K520" s="7">
        <v>6.75</v>
      </c>
      <c r="L520" s="7">
        <v>-1.0944565390944813E-4</v>
      </c>
      <c r="M520" s="7">
        <v>2.6920269702771296E-3</v>
      </c>
      <c r="N520" s="7">
        <v>-2.0739229161565641E-2</v>
      </c>
      <c r="O520" s="7">
        <v>7.9015240430281408E-2</v>
      </c>
      <c r="P520" s="11">
        <f t="shared" si="30"/>
        <v>2.8171469044059814</v>
      </c>
    </row>
    <row r="521" spans="1:16" x14ac:dyDescent="0.25">
      <c r="A521" s="11">
        <v>5.09</v>
      </c>
      <c r="B521" s="7">
        <v>4.75</v>
      </c>
      <c r="C521" s="11">
        <v>2.714864453332381E-4</v>
      </c>
      <c r="D521" s="11">
        <v>-4.7335043520079041E-3</v>
      </c>
      <c r="E521" s="11">
        <v>2.7436787374047648E-2</v>
      </c>
      <c r="F521" s="11">
        <v>-2.5001577022774474E-2</v>
      </c>
      <c r="G521" s="3">
        <f t="shared" si="28"/>
        <v>2.7817089298252842E-2</v>
      </c>
      <c r="H521" s="11"/>
      <c r="I521" s="17">
        <f t="shared" si="31"/>
        <v>48642</v>
      </c>
      <c r="J521" s="18">
        <f t="shared" si="29"/>
        <v>6.967830253251198</v>
      </c>
      <c r="K521" s="7">
        <v>6.75</v>
      </c>
      <c r="L521" s="7">
        <v>-1.0944565390944813E-4</v>
      </c>
      <c r="M521" s="7">
        <v>2.6920269702771296E-3</v>
      </c>
      <c r="N521" s="7">
        <v>-2.0739229161565641E-2</v>
      </c>
      <c r="O521" s="7">
        <v>7.9015240430281408E-2</v>
      </c>
      <c r="P521" s="11">
        <f t="shared" si="30"/>
        <v>2.818282311609245</v>
      </c>
    </row>
    <row r="522" spans="1:16" x14ac:dyDescent="0.25">
      <c r="A522" s="11">
        <v>5.0999999999999996</v>
      </c>
      <c r="B522" s="7">
        <v>4.75</v>
      </c>
      <c r="C522" s="11">
        <v>2.714864453332381E-4</v>
      </c>
      <c r="D522" s="11">
        <v>-4.7335043520079041E-3</v>
      </c>
      <c r="E522" s="11">
        <v>2.7436787374047648E-2</v>
      </c>
      <c r="F522" s="11">
        <v>-2.5001577022774474E-2</v>
      </c>
      <c r="G522" s="3">
        <f t="shared" si="28"/>
        <v>2.7820538849042314E-2</v>
      </c>
      <c r="H522" s="11"/>
      <c r="I522" s="17">
        <f t="shared" si="31"/>
        <v>48647</v>
      </c>
      <c r="J522" s="18">
        <f t="shared" si="29"/>
        <v>6.9815195071868583</v>
      </c>
      <c r="K522" s="7">
        <v>6.75</v>
      </c>
      <c r="L522" s="7">
        <v>-1.0944565390944813E-4</v>
      </c>
      <c r="M522" s="7">
        <v>2.6920269702771296E-3</v>
      </c>
      <c r="N522" s="7">
        <v>-2.0739229161565641E-2</v>
      </c>
      <c r="O522" s="7">
        <v>7.9015240430281408E-2</v>
      </c>
      <c r="P522" s="11">
        <f t="shared" si="30"/>
        <v>2.8194328690314157</v>
      </c>
    </row>
    <row r="523" spans="1:16" x14ac:dyDescent="0.25">
      <c r="A523" s="11">
        <v>5.1100000000000003</v>
      </c>
      <c r="B523" s="7">
        <v>4.75</v>
      </c>
      <c r="C523" s="11">
        <v>2.714864453332381E-4</v>
      </c>
      <c r="D523" s="11">
        <v>-4.7335043520079041E-3</v>
      </c>
      <c r="E523" s="11">
        <v>2.7436787374047648E-2</v>
      </c>
      <c r="F523" s="11">
        <v>-2.5001577022774474E-2</v>
      </c>
      <c r="G523" s="3">
        <f t="shared" si="28"/>
        <v>2.7823872447484119E-2</v>
      </c>
      <c r="H523" s="11"/>
      <c r="I523" s="17">
        <f t="shared" si="31"/>
        <v>48652</v>
      </c>
      <c r="J523" s="18">
        <f t="shared" si="29"/>
        <v>6.9952087611225187</v>
      </c>
      <c r="K523" s="7">
        <v>6.75</v>
      </c>
      <c r="L523" s="7">
        <v>-1.0944565390944813E-4</v>
      </c>
      <c r="M523" s="7">
        <v>2.6920269702771296E-3</v>
      </c>
      <c r="N523" s="7">
        <v>-2.0739229161565641E-2</v>
      </c>
      <c r="O523" s="7">
        <v>7.9015240430281408E-2</v>
      </c>
      <c r="P523" s="11">
        <f t="shared" si="30"/>
        <v>2.8205984082154689</v>
      </c>
    </row>
    <row r="524" spans="1:16" x14ac:dyDescent="0.25">
      <c r="A524" s="11">
        <v>5.12</v>
      </c>
      <c r="B524" s="7">
        <v>4.75</v>
      </c>
      <c r="C524" s="11">
        <v>2.714864453332381E-4</v>
      </c>
      <c r="D524" s="11">
        <v>-4.7335043520079041E-3</v>
      </c>
      <c r="E524" s="11">
        <v>2.7436787374047648E-2</v>
      </c>
      <c r="F524" s="11">
        <v>-2.5001577022774474E-2</v>
      </c>
      <c r="G524" s="3">
        <f t="shared" si="28"/>
        <v>2.7827091722496908E-2</v>
      </c>
      <c r="H524" s="11"/>
      <c r="I524" s="17">
        <f t="shared" si="31"/>
        <v>48657</v>
      </c>
      <c r="J524" s="18">
        <f t="shared" si="29"/>
        <v>7.008898015058179</v>
      </c>
      <c r="K524" s="7">
        <v>6.75</v>
      </c>
      <c r="L524" s="7">
        <v>-1.0944565390944813E-4</v>
      </c>
      <c r="M524" s="7">
        <v>2.6920269702771296E-3</v>
      </c>
      <c r="N524" s="7">
        <v>-2.0739229161565641E-2</v>
      </c>
      <c r="O524" s="7">
        <v>7.9015240430281408E-2</v>
      </c>
      <c r="P524" s="11">
        <f t="shared" si="30"/>
        <v>2.8217787607043912</v>
      </c>
    </row>
    <row r="525" spans="1:16" x14ac:dyDescent="0.25">
      <c r="A525" s="11">
        <v>5.13</v>
      </c>
      <c r="B525" s="7">
        <v>4.75</v>
      </c>
      <c r="C525" s="11">
        <v>2.714864453332381E-4</v>
      </c>
      <c r="D525" s="11">
        <v>-4.7335043520079041E-3</v>
      </c>
      <c r="E525" s="11">
        <v>2.7436787374047648E-2</v>
      </c>
      <c r="F525" s="11">
        <v>-2.5001577022774474E-2</v>
      </c>
      <c r="G525" s="3">
        <f t="shared" ref="G525:G588" si="32">C525*A525^3 + D525*A525^2 + E525*A525 + F525</f>
        <v>2.7830198302999334E-2</v>
      </c>
      <c r="H525" s="11"/>
      <c r="I525" s="17">
        <f t="shared" si="31"/>
        <v>48662</v>
      </c>
      <c r="J525" s="18">
        <f t="shared" ref="J525:J588" si="33">(I525-$I$12)/365.25</f>
        <v>7.0225872689938402</v>
      </c>
      <c r="K525" s="7">
        <v>6.75</v>
      </c>
      <c r="L525" s="7">
        <v>-1.0944565390944813E-4</v>
      </c>
      <c r="M525" s="7">
        <v>2.6920269702771296E-3</v>
      </c>
      <c r="N525" s="7">
        <v>-2.0739229161565641E-2</v>
      </c>
      <c r="O525" s="7">
        <v>7.9015240430281408E-2</v>
      </c>
      <c r="P525" s="11">
        <f t="shared" ref="P525:P588" si="34">100*(L525*J525^3 + M525*J525^2 + N525*J525 + O525)</f>
        <v>2.8229737580411611</v>
      </c>
    </row>
    <row r="526" spans="1:16" x14ac:dyDescent="0.25">
      <c r="A526" s="11">
        <v>5.14</v>
      </c>
      <c r="B526" s="7">
        <v>4.75</v>
      </c>
      <c r="C526" s="11">
        <v>2.714864453332381E-4</v>
      </c>
      <c r="D526" s="11">
        <v>-4.7335043520079041E-3</v>
      </c>
      <c r="E526" s="11">
        <v>2.7436787374047648E-2</v>
      </c>
      <c r="F526" s="11">
        <v>-2.5001577022774474E-2</v>
      </c>
      <c r="G526" s="3">
        <f t="shared" si="32"/>
        <v>2.7833193817910135E-2</v>
      </c>
      <c r="H526" s="11"/>
      <c r="I526" s="17">
        <f t="shared" ref="I526:I589" si="35">I525+5</f>
        <v>48667</v>
      </c>
      <c r="J526" s="18">
        <f t="shared" si="33"/>
        <v>7.0362765229295006</v>
      </c>
      <c r="K526" s="7">
        <v>6.75</v>
      </c>
      <c r="L526" s="7">
        <v>-1.0944565390944813E-4</v>
      </c>
      <c r="M526" s="7">
        <v>2.6920269702771296E-3</v>
      </c>
      <c r="N526" s="7">
        <v>-2.0739229161565641E-2</v>
      </c>
      <c r="O526" s="7">
        <v>7.9015240430281408E-2</v>
      </c>
      <c r="P526" s="11">
        <f t="shared" si="34"/>
        <v>2.8241832317687647</v>
      </c>
    </row>
    <row r="527" spans="1:16" x14ac:dyDescent="0.25">
      <c r="A527" s="11">
        <v>5.15</v>
      </c>
      <c r="B527" s="7">
        <v>4.75</v>
      </c>
      <c r="C527" s="11">
        <v>2.714864453332381E-4</v>
      </c>
      <c r="D527" s="11">
        <v>-4.7335043520079041E-3</v>
      </c>
      <c r="E527" s="11">
        <v>2.7436787374047648E-2</v>
      </c>
      <c r="F527" s="11">
        <v>-2.5001577022774474E-2</v>
      </c>
      <c r="G527" s="3">
        <f t="shared" si="32"/>
        <v>2.7836079896147919E-2</v>
      </c>
      <c r="H527" s="11"/>
      <c r="I527" s="17">
        <f t="shared" si="35"/>
        <v>48672</v>
      </c>
      <c r="J527" s="18">
        <f t="shared" si="33"/>
        <v>7.0499657768651609</v>
      </c>
      <c r="K527" s="7">
        <v>6.75</v>
      </c>
      <c r="L527" s="7">
        <v>-1.0944565390944813E-4</v>
      </c>
      <c r="M527" s="7">
        <v>2.6920269702771296E-3</v>
      </c>
      <c r="N527" s="7">
        <v>-2.0739229161565641E-2</v>
      </c>
      <c r="O527" s="7">
        <v>7.9015240430281408E-2</v>
      </c>
      <c r="P527" s="11">
        <f t="shared" si="34"/>
        <v>2.8254070134301785</v>
      </c>
    </row>
    <row r="528" spans="1:16" x14ac:dyDescent="0.25">
      <c r="A528" s="11">
        <v>5.16</v>
      </c>
      <c r="B528" s="7">
        <v>4.75</v>
      </c>
      <c r="C528" s="11">
        <v>2.714864453332381E-4</v>
      </c>
      <c r="D528" s="11">
        <v>-4.7335043520079041E-3</v>
      </c>
      <c r="E528" s="11">
        <v>2.7436787374047648E-2</v>
      </c>
      <c r="F528" s="11">
        <v>-2.5001577022774474E-2</v>
      </c>
      <c r="G528" s="3">
        <f t="shared" si="32"/>
        <v>2.7838858166631397E-2</v>
      </c>
      <c r="H528" s="11"/>
      <c r="I528" s="17">
        <f t="shared" si="35"/>
        <v>48677</v>
      </c>
      <c r="J528" s="18">
        <f t="shared" si="33"/>
        <v>7.0636550308008212</v>
      </c>
      <c r="K528" s="7">
        <v>6.75</v>
      </c>
      <c r="L528" s="7">
        <v>-1.0944565390944813E-4</v>
      </c>
      <c r="M528" s="7">
        <v>2.6920269702771296E-3</v>
      </c>
      <c r="N528" s="7">
        <v>-2.0739229161565641E-2</v>
      </c>
      <c r="O528" s="7">
        <v>7.9015240430281408E-2</v>
      </c>
      <c r="P528" s="11">
        <f t="shared" si="34"/>
        <v>2.8266449345683844</v>
      </c>
    </row>
    <row r="529" spans="1:16" x14ac:dyDescent="0.25">
      <c r="A529" s="11">
        <v>5.17</v>
      </c>
      <c r="B529" s="7">
        <v>4.75</v>
      </c>
      <c r="C529" s="11">
        <v>2.714864453332381E-4</v>
      </c>
      <c r="D529" s="11">
        <v>-4.7335043520079041E-3</v>
      </c>
      <c r="E529" s="11">
        <v>2.7436787374047648E-2</v>
      </c>
      <c r="F529" s="11">
        <v>-2.5001577022774474E-2</v>
      </c>
      <c r="G529" s="3">
        <f t="shared" si="32"/>
        <v>2.7841530258279235E-2</v>
      </c>
      <c r="H529" s="11"/>
      <c r="I529" s="17">
        <f t="shared" si="35"/>
        <v>48682</v>
      </c>
      <c r="J529" s="18">
        <f t="shared" si="33"/>
        <v>7.0773442847364816</v>
      </c>
      <c r="K529" s="7">
        <v>6.75</v>
      </c>
      <c r="L529" s="7">
        <v>-1.0944565390944813E-4</v>
      </c>
      <c r="M529" s="7">
        <v>2.6920269702771296E-3</v>
      </c>
      <c r="N529" s="7">
        <v>-2.0739229161565641E-2</v>
      </c>
      <c r="O529" s="7">
        <v>7.9015240430281408E-2</v>
      </c>
      <c r="P529" s="11">
        <f t="shared" si="34"/>
        <v>2.8278968267263687</v>
      </c>
    </row>
    <row r="530" spans="1:16" x14ac:dyDescent="0.25">
      <c r="A530" s="11">
        <v>5.18</v>
      </c>
      <c r="B530" s="7">
        <v>4.75</v>
      </c>
      <c r="C530" s="11">
        <v>2.714864453332381E-4</v>
      </c>
      <c r="D530" s="11">
        <v>-4.7335043520079041E-3</v>
      </c>
      <c r="E530" s="11">
        <v>2.7436787374047648E-2</v>
      </c>
      <c r="F530" s="11">
        <v>-2.5001577022774474E-2</v>
      </c>
      <c r="G530" s="3">
        <f t="shared" si="32"/>
        <v>2.7844097800010084E-2</v>
      </c>
      <c r="H530" s="11"/>
      <c r="I530" s="17">
        <f t="shared" si="35"/>
        <v>48687</v>
      </c>
      <c r="J530" s="18">
        <f t="shared" si="33"/>
        <v>7.0910335386721428</v>
      </c>
      <c r="K530" s="7">
        <v>6.75</v>
      </c>
      <c r="L530" s="7">
        <v>-1.0944565390944813E-4</v>
      </c>
      <c r="M530" s="7">
        <v>2.6920269702771296E-3</v>
      </c>
      <c r="N530" s="7">
        <v>-2.0739229161565641E-2</v>
      </c>
      <c r="O530" s="7">
        <v>7.9015240430281408E-2</v>
      </c>
      <c r="P530" s="11">
        <f t="shared" si="34"/>
        <v>2.8291625214471079</v>
      </c>
    </row>
    <row r="531" spans="1:16" x14ac:dyDescent="0.25">
      <c r="A531" s="11">
        <v>5.19</v>
      </c>
      <c r="B531" s="7">
        <v>4.75</v>
      </c>
      <c r="C531" s="11">
        <v>2.714864453332381E-4</v>
      </c>
      <c r="D531" s="11">
        <v>-4.7335043520079041E-3</v>
      </c>
      <c r="E531" s="11">
        <v>2.7436787374047648E-2</v>
      </c>
      <c r="F531" s="11">
        <v>-2.5001577022774474E-2</v>
      </c>
      <c r="G531" s="3">
        <f t="shared" si="32"/>
        <v>2.7846562420742599E-2</v>
      </c>
      <c r="H531" s="11"/>
      <c r="I531" s="17">
        <f t="shared" si="35"/>
        <v>48692</v>
      </c>
      <c r="J531" s="18">
        <f t="shared" si="33"/>
        <v>7.1047227926078032</v>
      </c>
      <c r="K531" s="7">
        <v>6.75</v>
      </c>
      <c r="L531" s="7">
        <v>-1.0944565390944813E-4</v>
      </c>
      <c r="M531" s="7">
        <v>2.6920269702771296E-3</v>
      </c>
      <c r="N531" s="7">
        <v>-2.0739229161565641E-2</v>
      </c>
      <c r="O531" s="7">
        <v>7.9015240430281408E-2</v>
      </c>
      <c r="P531" s="11">
        <f t="shared" si="34"/>
        <v>2.8304418502735866</v>
      </c>
    </row>
    <row r="532" spans="1:16" x14ac:dyDescent="0.25">
      <c r="A532" s="11">
        <v>5.2</v>
      </c>
      <c r="B532" s="7">
        <v>4.75</v>
      </c>
      <c r="C532" s="11">
        <v>2.714864453332381E-4</v>
      </c>
      <c r="D532" s="11">
        <v>-4.7335043520079041E-3</v>
      </c>
      <c r="E532" s="11">
        <v>2.7436787374047648E-2</v>
      </c>
      <c r="F532" s="11">
        <v>-2.5001577022774474E-2</v>
      </c>
      <c r="G532" s="3">
        <f t="shared" si="32"/>
        <v>2.7848925749395501E-2</v>
      </c>
      <c r="H532" s="11"/>
      <c r="I532" s="17">
        <f t="shared" si="35"/>
        <v>48697</v>
      </c>
      <c r="J532" s="18">
        <f t="shared" si="33"/>
        <v>7.1184120465434635</v>
      </c>
      <c r="K532" s="7">
        <v>6.75</v>
      </c>
      <c r="L532" s="7">
        <v>-1.0944565390944813E-4</v>
      </c>
      <c r="M532" s="7">
        <v>2.6920269702771296E-3</v>
      </c>
      <c r="N532" s="7">
        <v>-2.0739229161565641E-2</v>
      </c>
      <c r="O532" s="7">
        <v>7.9015240430281408E-2</v>
      </c>
      <c r="P532" s="11">
        <f t="shared" si="34"/>
        <v>2.8317346447487846</v>
      </c>
    </row>
    <row r="533" spans="1:16" x14ac:dyDescent="0.25">
      <c r="A533" s="11">
        <v>5.21</v>
      </c>
      <c r="B533" s="7">
        <v>4.75</v>
      </c>
      <c r="C533" s="11">
        <v>2.714864453332381E-4</v>
      </c>
      <c r="D533" s="11">
        <v>-4.7335043520079041E-3</v>
      </c>
      <c r="E533" s="11">
        <v>2.7436787374047648E-2</v>
      </c>
      <c r="F533" s="11">
        <v>-2.5001577022774474E-2</v>
      </c>
      <c r="G533" s="3">
        <f t="shared" si="32"/>
        <v>2.7851189414887456E-2</v>
      </c>
      <c r="H533" s="11"/>
      <c r="I533" s="17">
        <f t="shared" si="35"/>
        <v>48702</v>
      </c>
      <c r="J533" s="18">
        <f t="shared" si="33"/>
        <v>7.1321013004791238</v>
      </c>
      <c r="K533" s="7">
        <v>6.75</v>
      </c>
      <c r="L533" s="7">
        <v>-1.0944565390944813E-4</v>
      </c>
      <c r="M533" s="7">
        <v>2.6920269702771296E-3</v>
      </c>
      <c r="N533" s="7">
        <v>-2.0739229161565641E-2</v>
      </c>
      <c r="O533" s="7">
        <v>7.9015240430281408E-2</v>
      </c>
      <c r="P533" s="11">
        <f t="shared" si="34"/>
        <v>2.8330407364156791</v>
      </c>
    </row>
    <row r="534" spans="1:16" x14ac:dyDescent="0.25">
      <c r="A534" s="11">
        <v>5.22</v>
      </c>
      <c r="B534" s="7">
        <v>4.75</v>
      </c>
      <c r="C534" s="11">
        <v>2.714864453332381E-4</v>
      </c>
      <c r="D534" s="11">
        <v>-4.7335043520079041E-3</v>
      </c>
      <c r="E534" s="11">
        <v>2.7436787374047648E-2</v>
      </c>
      <c r="F534" s="11">
        <v>-2.5001577022774474E-2</v>
      </c>
      <c r="G534" s="3">
        <f t="shared" si="32"/>
        <v>2.785335504613709E-2</v>
      </c>
      <c r="H534" s="11"/>
      <c r="I534" s="17">
        <f t="shared" si="35"/>
        <v>48707</v>
      </c>
      <c r="J534" s="18">
        <f t="shared" si="33"/>
        <v>7.1457905544147842</v>
      </c>
      <c r="K534" s="7">
        <v>6.75</v>
      </c>
      <c r="L534" s="7">
        <v>-1.0944565390944813E-4</v>
      </c>
      <c r="M534" s="7">
        <v>2.6920269702771296E-3</v>
      </c>
      <c r="N534" s="7">
        <v>-2.0739229161565641E-2</v>
      </c>
      <c r="O534" s="7">
        <v>7.9015240430281408E-2</v>
      </c>
      <c r="P534" s="11">
        <f t="shared" si="34"/>
        <v>2.8343599568172602</v>
      </c>
    </row>
    <row r="535" spans="1:16" x14ac:dyDescent="0.25">
      <c r="A535" s="11">
        <v>5.23</v>
      </c>
      <c r="B535" s="7">
        <v>4.75</v>
      </c>
      <c r="C535" s="11">
        <v>2.714864453332381E-4</v>
      </c>
      <c r="D535" s="11">
        <v>-4.7335043520079041E-3</v>
      </c>
      <c r="E535" s="11">
        <v>2.7436787374047648E-2</v>
      </c>
      <c r="F535" s="11">
        <v>-2.5001577022774474E-2</v>
      </c>
      <c r="G535" s="3">
        <f t="shared" si="32"/>
        <v>2.785542427206314E-2</v>
      </c>
      <c r="H535" s="11"/>
      <c r="I535" s="17">
        <f t="shared" si="35"/>
        <v>48712</v>
      </c>
      <c r="J535" s="18">
        <f t="shared" si="33"/>
        <v>7.1594798083504445</v>
      </c>
      <c r="K535" s="7">
        <v>6.75</v>
      </c>
      <c r="L535" s="7">
        <v>-1.0944565390944813E-4</v>
      </c>
      <c r="M535" s="7">
        <v>2.6920269702771296E-3</v>
      </c>
      <c r="N535" s="7">
        <v>-2.0739229161565641E-2</v>
      </c>
      <c r="O535" s="7">
        <v>7.9015240430281408E-2</v>
      </c>
      <c r="P535" s="11">
        <f t="shared" si="34"/>
        <v>2.8356921374965025</v>
      </c>
    </row>
    <row r="536" spans="1:16" x14ac:dyDescent="0.25">
      <c r="A536" s="11">
        <v>5.24</v>
      </c>
      <c r="B536" s="7">
        <v>4.75</v>
      </c>
      <c r="C536" s="11">
        <v>2.714864453332381E-4</v>
      </c>
      <c r="D536" s="11">
        <v>-4.7335043520079041E-3</v>
      </c>
      <c r="E536" s="11">
        <v>2.7436787374047648E-2</v>
      </c>
      <c r="F536" s="11">
        <v>-2.5001577022774474E-2</v>
      </c>
      <c r="G536" s="3">
        <f t="shared" si="32"/>
        <v>2.7857398721584242E-2</v>
      </c>
      <c r="H536" s="11"/>
      <c r="I536" s="17">
        <f t="shared" si="35"/>
        <v>48717</v>
      </c>
      <c r="J536" s="18">
        <f t="shared" si="33"/>
        <v>7.1731690622861057</v>
      </c>
      <c r="K536" s="7">
        <v>6.75</v>
      </c>
      <c r="L536" s="7">
        <v>-1.0944565390944813E-4</v>
      </c>
      <c r="M536" s="7">
        <v>2.6920269702771296E-3</v>
      </c>
      <c r="N536" s="7">
        <v>-2.0739229161565641E-2</v>
      </c>
      <c r="O536" s="7">
        <v>7.9015240430281408E-2</v>
      </c>
      <c r="P536" s="11">
        <f t="shared" si="34"/>
        <v>2.8370371099963929</v>
      </c>
    </row>
    <row r="537" spans="1:16" x14ac:dyDescent="0.25">
      <c r="A537" s="11">
        <v>5.25</v>
      </c>
      <c r="B537" s="7">
        <v>4.75</v>
      </c>
      <c r="C537" s="11">
        <v>2.714864453332381E-4</v>
      </c>
      <c r="D537" s="11">
        <v>-4.7335043520079041E-3</v>
      </c>
      <c r="E537" s="11">
        <v>2.7436787374047648E-2</v>
      </c>
      <c r="F537" s="11">
        <v>-2.5001577022774474E-2</v>
      </c>
      <c r="G537" s="3">
        <f t="shared" si="32"/>
        <v>2.7859280023619037E-2</v>
      </c>
      <c r="H537" s="11"/>
      <c r="I537" s="17">
        <f t="shared" si="35"/>
        <v>48722</v>
      </c>
      <c r="J537" s="18">
        <f t="shared" si="33"/>
        <v>7.1868583162217661</v>
      </c>
      <c r="K537" s="7">
        <v>6.75</v>
      </c>
      <c r="L537" s="7">
        <v>-1.0944565390944813E-4</v>
      </c>
      <c r="M537" s="7">
        <v>2.6920269702771296E-3</v>
      </c>
      <c r="N537" s="7">
        <v>-2.0739229161565641E-2</v>
      </c>
      <c r="O537" s="7">
        <v>7.9015240430281408E-2</v>
      </c>
      <c r="P537" s="11">
        <f t="shared" si="34"/>
        <v>2.8383947058599119</v>
      </c>
    </row>
    <row r="538" spans="1:16" x14ac:dyDescent="0.25">
      <c r="A538" s="11">
        <v>5.26</v>
      </c>
      <c r="B538" s="7">
        <v>4.75</v>
      </c>
      <c r="C538" s="11">
        <v>2.714864453332381E-4</v>
      </c>
      <c r="D538" s="11">
        <v>-4.7335043520079041E-3</v>
      </c>
      <c r="E538" s="11">
        <v>2.7436787374047648E-2</v>
      </c>
      <c r="F538" s="11">
        <v>-2.5001577022774474E-2</v>
      </c>
      <c r="G538" s="3">
        <f t="shared" si="32"/>
        <v>2.7861069807086247E-2</v>
      </c>
      <c r="H538" s="11"/>
      <c r="I538" s="17">
        <f t="shared" si="35"/>
        <v>48727</v>
      </c>
      <c r="J538" s="18">
        <f t="shared" si="33"/>
        <v>7.2005475701574264</v>
      </c>
      <c r="K538" s="7">
        <v>6.75</v>
      </c>
      <c r="L538" s="7">
        <v>-1.0944565390944813E-4</v>
      </c>
      <c r="M538" s="7">
        <v>2.6920269702771296E-3</v>
      </c>
      <c r="N538" s="7">
        <v>-2.0739229161565641E-2</v>
      </c>
      <c r="O538" s="7">
        <v>7.9015240430281408E-2</v>
      </c>
      <c r="P538" s="11">
        <f t="shared" si="34"/>
        <v>2.8397647566300352</v>
      </c>
    </row>
    <row r="539" spans="1:16" x14ac:dyDescent="0.25">
      <c r="A539" s="11">
        <v>5.27</v>
      </c>
      <c r="B539" s="7">
        <v>4.75</v>
      </c>
      <c r="C539" s="11">
        <v>2.714864453332381E-4</v>
      </c>
      <c r="D539" s="11">
        <v>-4.7335043520079041E-3</v>
      </c>
      <c r="E539" s="11">
        <v>2.7436787374047648E-2</v>
      </c>
      <c r="F539" s="11">
        <v>-2.5001577022774474E-2</v>
      </c>
      <c r="G539" s="3">
        <f t="shared" si="32"/>
        <v>2.7862769700904511E-2</v>
      </c>
      <c r="H539" s="11"/>
      <c r="I539" s="17">
        <f t="shared" si="35"/>
        <v>48732</v>
      </c>
      <c r="J539" s="18">
        <f t="shared" si="33"/>
        <v>7.2142368240930868</v>
      </c>
      <c r="K539" s="7">
        <v>6.75</v>
      </c>
      <c r="L539" s="7">
        <v>-1.0944565390944813E-4</v>
      </c>
      <c r="M539" s="7">
        <v>2.6920269702771296E-3</v>
      </c>
      <c r="N539" s="7">
        <v>-2.0739229161565641E-2</v>
      </c>
      <c r="O539" s="7">
        <v>7.9015240430281408E-2</v>
      </c>
      <c r="P539" s="11">
        <f t="shared" si="34"/>
        <v>2.8411470938497523</v>
      </c>
    </row>
    <row r="540" spans="1:16" x14ac:dyDescent="0.25">
      <c r="A540" s="11">
        <v>5.28</v>
      </c>
      <c r="B540" s="7">
        <v>4.75</v>
      </c>
      <c r="C540" s="11">
        <v>2.714864453332381E-4</v>
      </c>
      <c r="D540" s="11">
        <v>-4.7335043520079041E-3</v>
      </c>
      <c r="E540" s="11">
        <v>2.7436787374047648E-2</v>
      </c>
      <c r="F540" s="11">
        <v>-2.5001577022774474E-2</v>
      </c>
      <c r="G540" s="3">
        <f t="shared" si="32"/>
        <v>2.7864381333992549E-2</v>
      </c>
      <c r="H540" s="11"/>
      <c r="I540" s="17">
        <f t="shared" si="35"/>
        <v>48737</v>
      </c>
      <c r="J540" s="18">
        <f t="shared" si="33"/>
        <v>7.2279260780287471</v>
      </c>
      <c r="K540" s="7">
        <v>6.75</v>
      </c>
      <c r="L540" s="7">
        <v>-1.0944565390944813E-4</v>
      </c>
      <c r="M540" s="7">
        <v>2.6920269702771296E-3</v>
      </c>
      <c r="N540" s="7">
        <v>-2.0739229161565641E-2</v>
      </c>
      <c r="O540" s="7">
        <v>7.9015240430281408E-2</v>
      </c>
      <c r="P540" s="11">
        <f t="shared" si="34"/>
        <v>2.842541549062036</v>
      </c>
    </row>
    <row r="541" spans="1:16" x14ac:dyDescent="0.25">
      <c r="A541" s="11">
        <v>5.29</v>
      </c>
      <c r="B541" s="7">
        <v>4.75</v>
      </c>
      <c r="C541" s="11">
        <v>2.714864453332381E-4</v>
      </c>
      <c r="D541" s="11">
        <v>-4.7335043520079041E-3</v>
      </c>
      <c r="E541" s="11">
        <v>2.7436787374047648E-2</v>
      </c>
      <c r="F541" s="11">
        <v>-2.5001577022774474E-2</v>
      </c>
      <c r="G541" s="3">
        <f t="shared" si="32"/>
        <v>2.7865906335268975E-2</v>
      </c>
      <c r="H541" s="11"/>
      <c r="I541" s="17">
        <f t="shared" si="35"/>
        <v>48742</v>
      </c>
      <c r="J541" s="18">
        <f t="shared" si="33"/>
        <v>7.2416153319644083</v>
      </c>
      <c r="K541" s="7">
        <v>6.75</v>
      </c>
      <c r="L541" s="7">
        <v>-1.0944565390944813E-4</v>
      </c>
      <c r="M541" s="7">
        <v>2.6920269702771296E-3</v>
      </c>
      <c r="N541" s="7">
        <v>-2.0739229161565641E-2</v>
      </c>
      <c r="O541" s="7">
        <v>7.9015240430281408E-2</v>
      </c>
      <c r="P541" s="11">
        <f t="shared" si="34"/>
        <v>2.8439479538098751</v>
      </c>
    </row>
    <row r="542" spans="1:16" x14ac:dyDescent="0.25">
      <c r="A542" s="11">
        <v>5.3</v>
      </c>
      <c r="B542" s="7">
        <v>4.75</v>
      </c>
      <c r="C542" s="11">
        <v>2.714864453332381E-4</v>
      </c>
      <c r="D542" s="11">
        <v>-4.7335043520079041E-3</v>
      </c>
      <c r="E542" s="11">
        <v>2.7436787374047648E-2</v>
      </c>
      <c r="F542" s="11">
        <v>-2.5001577022774474E-2</v>
      </c>
      <c r="G542" s="3">
        <f t="shared" si="32"/>
        <v>2.786734633365251E-2</v>
      </c>
      <c r="H542" s="11"/>
      <c r="I542" s="17">
        <f t="shared" si="35"/>
        <v>48747</v>
      </c>
      <c r="J542" s="18">
        <f t="shared" si="33"/>
        <v>7.2553045859000687</v>
      </c>
      <c r="K542" s="7">
        <v>6.75</v>
      </c>
      <c r="L542" s="7">
        <v>-1.0944565390944813E-4</v>
      </c>
      <c r="M542" s="7">
        <v>2.6920269702771296E-3</v>
      </c>
      <c r="N542" s="7">
        <v>-2.0739229161565641E-2</v>
      </c>
      <c r="O542" s="7">
        <v>7.9015240430281408E-2</v>
      </c>
      <c r="P542" s="11">
        <f t="shared" si="34"/>
        <v>2.8453661396362504</v>
      </c>
    </row>
    <row r="543" spans="1:16" x14ac:dyDescent="0.25">
      <c r="A543" s="11">
        <v>5.31</v>
      </c>
      <c r="B543" s="7">
        <v>4.75</v>
      </c>
      <c r="C543" s="11">
        <v>2.714864453332381E-4</v>
      </c>
      <c r="D543" s="11">
        <v>-4.7335043520079041E-3</v>
      </c>
      <c r="E543" s="11">
        <v>2.7436787374047648E-2</v>
      </c>
      <c r="F543" s="11">
        <v>-2.5001577022774474E-2</v>
      </c>
      <c r="G543" s="3">
        <f t="shared" si="32"/>
        <v>2.7868702958061792E-2</v>
      </c>
      <c r="H543" s="11"/>
      <c r="I543" s="17">
        <f t="shared" si="35"/>
        <v>48752</v>
      </c>
      <c r="J543" s="18">
        <f t="shared" si="33"/>
        <v>7.268993839835729</v>
      </c>
      <c r="K543" s="7">
        <v>6.75</v>
      </c>
      <c r="L543" s="7">
        <v>-1.0944565390944813E-4</v>
      </c>
      <c r="M543" s="7">
        <v>2.6920269702771296E-3</v>
      </c>
      <c r="N543" s="7">
        <v>-2.0739229161565641E-2</v>
      </c>
      <c r="O543" s="7">
        <v>7.9015240430281408E-2</v>
      </c>
      <c r="P543" s="11">
        <f t="shared" si="34"/>
        <v>2.8467959380841372</v>
      </c>
    </row>
    <row r="544" spans="1:16" x14ac:dyDescent="0.25">
      <c r="A544" s="11">
        <v>5.32</v>
      </c>
      <c r="B544" s="7">
        <v>4.75</v>
      </c>
      <c r="C544" s="11">
        <v>2.714864453332381E-4</v>
      </c>
      <c r="D544" s="11">
        <v>-4.7335043520079041E-3</v>
      </c>
      <c r="E544" s="11">
        <v>2.7436787374047648E-2</v>
      </c>
      <c r="F544" s="11">
        <v>-2.5001577022774474E-2</v>
      </c>
      <c r="G544" s="3">
        <f t="shared" si="32"/>
        <v>2.7869977837415516E-2</v>
      </c>
      <c r="H544" s="11"/>
      <c r="I544" s="17">
        <f t="shared" si="35"/>
        <v>48757</v>
      </c>
      <c r="J544" s="18">
        <f t="shared" si="33"/>
        <v>7.2826830937713893</v>
      </c>
      <c r="K544" s="7">
        <v>6.75</v>
      </c>
      <c r="L544" s="7">
        <v>-1.0944565390944813E-4</v>
      </c>
      <c r="M544" s="7">
        <v>2.6920269702771296E-3</v>
      </c>
      <c r="N544" s="7">
        <v>-2.0739229161565641E-2</v>
      </c>
      <c r="O544" s="7">
        <v>7.9015240430281408E-2</v>
      </c>
      <c r="P544" s="11">
        <f t="shared" si="34"/>
        <v>2.848237180696525</v>
      </c>
    </row>
    <row r="545" spans="1:16" x14ac:dyDescent="0.25">
      <c r="A545" s="11">
        <v>5.33</v>
      </c>
      <c r="B545" s="7">
        <v>4.75</v>
      </c>
      <c r="C545" s="11">
        <v>2.714864453332381E-4</v>
      </c>
      <c r="D545" s="11">
        <v>-4.7335043520079041E-3</v>
      </c>
      <c r="E545" s="11">
        <v>2.7436787374047648E-2</v>
      </c>
      <c r="F545" s="11">
        <v>-2.5001577022774474E-2</v>
      </c>
      <c r="G545" s="3">
        <f t="shared" si="32"/>
        <v>2.7871172600632349E-2</v>
      </c>
      <c r="H545" s="11"/>
      <c r="I545" s="17">
        <f t="shared" si="35"/>
        <v>48762</v>
      </c>
      <c r="J545" s="18">
        <f t="shared" si="33"/>
        <v>7.2963723477070497</v>
      </c>
      <c r="K545" s="7">
        <v>6.75</v>
      </c>
      <c r="L545" s="7">
        <v>-1.0944565390944813E-4</v>
      </c>
      <c r="M545" s="7">
        <v>2.6920269702771296E-3</v>
      </c>
      <c r="N545" s="7">
        <v>-2.0739229161565641E-2</v>
      </c>
      <c r="O545" s="7">
        <v>7.9015240430281408E-2</v>
      </c>
      <c r="P545" s="11">
        <f t="shared" si="34"/>
        <v>2.8496896990163862</v>
      </c>
    </row>
    <row r="546" spans="1:16" x14ac:dyDescent="0.25">
      <c r="A546" s="11">
        <v>5.34</v>
      </c>
      <c r="B546" s="7">
        <v>4.75</v>
      </c>
      <c r="C546" s="11">
        <v>2.714864453332381E-4</v>
      </c>
      <c r="D546" s="11">
        <v>-4.7335043520079041E-3</v>
      </c>
      <c r="E546" s="11">
        <v>2.7436787374047648E-2</v>
      </c>
      <c r="F546" s="11">
        <v>-2.5001577022774474E-2</v>
      </c>
      <c r="G546" s="3">
        <f t="shared" si="32"/>
        <v>2.787228887663093E-2</v>
      </c>
      <c r="H546" s="11"/>
      <c r="I546" s="17">
        <f t="shared" si="35"/>
        <v>48767</v>
      </c>
      <c r="J546" s="18">
        <f t="shared" si="33"/>
        <v>7.3100616016427109</v>
      </c>
      <c r="K546" s="7">
        <v>6.75</v>
      </c>
      <c r="L546" s="7">
        <v>-1.0944565390944813E-4</v>
      </c>
      <c r="M546" s="7">
        <v>2.6920269702771296E-3</v>
      </c>
      <c r="N546" s="7">
        <v>-2.0739229161565641E-2</v>
      </c>
      <c r="O546" s="7">
        <v>7.9015240430281408E-2</v>
      </c>
      <c r="P546" s="11">
        <f t="shared" si="34"/>
        <v>2.8511533245867122</v>
      </c>
    </row>
    <row r="547" spans="1:16" x14ac:dyDescent="0.25">
      <c r="A547" s="11">
        <v>5.35</v>
      </c>
      <c r="B547" s="7">
        <v>4.75</v>
      </c>
      <c r="C547" s="11">
        <v>2.714864453332381E-4</v>
      </c>
      <c r="D547" s="11">
        <v>-4.7335043520079041E-3</v>
      </c>
      <c r="E547" s="11">
        <v>2.7436787374047648E-2</v>
      </c>
      <c r="F547" s="11">
        <v>-2.5001577022774474E-2</v>
      </c>
      <c r="G547" s="3">
        <f t="shared" si="32"/>
        <v>2.7873328294329952E-2</v>
      </c>
      <c r="H547" s="11"/>
      <c r="I547" s="17">
        <f t="shared" si="35"/>
        <v>48772</v>
      </c>
      <c r="J547" s="18">
        <f t="shared" si="33"/>
        <v>7.3237508555783712</v>
      </c>
      <c r="K547" s="7">
        <v>6.75</v>
      </c>
      <c r="L547" s="7">
        <v>-1.0944565390944813E-4</v>
      </c>
      <c r="M547" s="7">
        <v>2.6920269702771296E-3</v>
      </c>
      <c r="N547" s="7">
        <v>-2.0739229161565641E-2</v>
      </c>
      <c r="O547" s="7">
        <v>7.9015240430281408E-2</v>
      </c>
      <c r="P547" s="11">
        <f t="shared" si="34"/>
        <v>2.8526278889504804</v>
      </c>
    </row>
    <row r="548" spans="1:16" x14ac:dyDescent="0.25">
      <c r="A548" s="11">
        <v>5.36</v>
      </c>
      <c r="B548" s="7">
        <v>4.75</v>
      </c>
      <c r="C548" s="11">
        <v>2.714864453332381E-4</v>
      </c>
      <c r="D548" s="11">
        <v>-4.7335043520079041E-3</v>
      </c>
      <c r="E548" s="11">
        <v>2.7436787374047648E-2</v>
      </c>
      <c r="F548" s="11">
        <v>-2.5001577022774474E-2</v>
      </c>
      <c r="G548" s="3">
        <f t="shared" si="32"/>
        <v>2.7874292482648097E-2</v>
      </c>
      <c r="H548" s="11"/>
      <c r="I548" s="17">
        <f t="shared" si="35"/>
        <v>48777</v>
      </c>
      <c r="J548" s="18">
        <f t="shared" si="33"/>
        <v>7.3374401095140316</v>
      </c>
      <c r="K548" s="7">
        <v>6.75</v>
      </c>
      <c r="L548" s="7">
        <v>-1.0944565390944813E-4</v>
      </c>
      <c r="M548" s="7">
        <v>2.6920269702771296E-3</v>
      </c>
      <c r="N548" s="7">
        <v>-2.0739229161565641E-2</v>
      </c>
      <c r="O548" s="7">
        <v>7.9015240430281408E-2</v>
      </c>
      <c r="P548" s="11">
        <f t="shared" si="34"/>
        <v>2.8541132236506672</v>
      </c>
    </row>
    <row r="549" spans="1:16" x14ac:dyDescent="0.25">
      <c r="A549" s="11">
        <v>5.37</v>
      </c>
      <c r="B549" s="7">
        <v>4.75</v>
      </c>
      <c r="C549" s="11">
        <v>2.714864453332381E-4</v>
      </c>
      <c r="D549" s="11">
        <v>-4.7335043520079041E-3</v>
      </c>
      <c r="E549" s="11">
        <v>2.7436787374047648E-2</v>
      </c>
      <c r="F549" s="11">
        <v>-2.5001577022774474E-2</v>
      </c>
      <c r="G549" s="3">
        <f t="shared" si="32"/>
        <v>2.7875183070504045E-2</v>
      </c>
      <c r="H549" s="11"/>
      <c r="I549" s="17">
        <f t="shared" si="35"/>
        <v>48782</v>
      </c>
      <c r="J549" s="18">
        <f t="shared" si="33"/>
        <v>7.3511293634496919</v>
      </c>
      <c r="K549" s="7">
        <v>6.75</v>
      </c>
      <c r="L549" s="7">
        <v>-1.0944565390944813E-4</v>
      </c>
      <c r="M549" s="7">
        <v>2.6920269702771296E-3</v>
      </c>
      <c r="N549" s="7">
        <v>-2.0739229161565641E-2</v>
      </c>
      <c r="O549" s="7">
        <v>7.9015240430281408E-2</v>
      </c>
      <c r="P549" s="11">
        <f t="shared" si="34"/>
        <v>2.8556091602302631</v>
      </c>
    </row>
    <row r="550" spans="1:16" x14ac:dyDescent="0.25">
      <c r="A550" s="11">
        <v>5.38</v>
      </c>
      <c r="B550" s="7">
        <v>4.75</v>
      </c>
      <c r="C550" s="11">
        <v>2.714864453332381E-4</v>
      </c>
      <c r="D550" s="11">
        <v>-4.7335043520079041E-3</v>
      </c>
      <c r="E550" s="11">
        <v>2.7436787374047648E-2</v>
      </c>
      <c r="F550" s="11">
        <v>-2.5001577022774474E-2</v>
      </c>
      <c r="G550" s="3">
        <f t="shared" si="32"/>
        <v>2.7876001686816462E-2</v>
      </c>
      <c r="H550" s="11"/>
      <c r="I550" s="17">
        <f t="shared" si="35"/>
        <v>48787</v>
      </c>
      <c r="J550" s="18">
        <f t="shared" si="33"/>
        <v>7.3648186173853523</v>
      </c>
      <c r="K550" s="7">
        <v>6.75</v>
      </c>
      <c r="L550" s="7">
        <v>-1.0944565390944813E-4</v>
      </c>
      <c r="M550" s="7">
        <v>2.6920269702771296E-3</v>
      </c>
      <c r="N550" s="7">
        <v>-2.0739229161565641E-2</v>
      </c>
      <c r="O550" s="7">
        <v>7.9015240430281408E-2</v>
      </c>
      <c r="P550" s="11">
        <f t="shared" si="34"/>
        <v>2.8571155302322406</v>
      </c>
    </row>
    <row r="551" spans="1:16" x14ac:dyDescent="0.25">
      <c r="A551" s="11">
        <v>5.39</v>
      </c>
      <c r="B551" s="7">
        <v>4.75</v>
      </c>
      <c r="C551" s="11">
        <v>2.714864453332381E-4</v>
      </c>
      <c r="D551" s="11">
        <v>-4.7335043520079041E-3</v>
      </c>
      <c r="E551" s="11">
        <v>2.7436787374047648E-2</v>
      </c>
      <c r="F551" s="11">
        <v>-2.5001577022774474E-2</v>
      </c>
      <c r="G551" s="3">
        <f t="shared" si="32"/>
        <v>2.7876749960504016E-2</v>
      </c>
      <c r="H551" s="11"/>
      <c r="I551" s="17">
        <f t="shared" si="35"/>
        <v>48792</v>
      </c>
      <c r="J551" s="18">
        <f t="shared" si="33"/>
        <v>7.3785078713210126</v>
      </c>
      <c r="K551" s="7">
        <v>6.75</v>
      </c>
      <c r="L551" s="7">
        <v>-1.0944565390944813E-4</v>
      </c>
      <c r="M551" s="7">
        <v>2.6920269702771296E-3</v>
      </c>
      <c r="N551" s="7">
        <v>-2.0739229161565641E-2</v>
      </c>
      <c r="O551" s="7">
        <v>7.9015240430281408E-2</v>
      </c>
      <c r="P551" s="11">
        <f t="shared" si="34"/>
        <v>2.8586321651995901</v>
      </c>
    </row>
    <row r="552" spans="1:16" x14ac:dyDescent="0.25">
      <c r="A552" s="11">
        <v>5.4</v>
      </c>
      <c r="B552" s="7">
        <v>4.75</v>
      </c>
      <c r="C552" s="11">
        <v>2.714864453332381E-4</v>
      </c>
      <c r="D552" s="11">
        <v>-4.7335043520079041E-3</v>
      </c>
      <c r="E552" s="11">
        <v>2.7436787374047648E-2</v>
      </c>
      <c r="F552" s="11">
        <v>-2.5001577022774474E-2</v>
      </c>
      <c r="G552" s="3">
        <f t="shared" si="32"/>
        <v>2.7877429520485331E-2</v>
      </c>
      <c r="H552" s="11"/>
      <c r="I552" s="17">
        <f t="shared" si="35"/>
        <v>48797</v>
      </c>
      <c r="J552" s="18">
        <f t="shared" si="33"/>
        <v>7.3921971252566738</v>
      </c>
      <c r="K552" s="7">
        <v>6.75</v>
      </c>
      <c r="L552" s="7">
        <v>-1.0944565390944813E-4</v>
      </c>
      <c r="M552" s="7">
        <v>2.6920269702771296E-3</v>
      </c>
      <c r="N552" s="7">
        <v>-2.0739229161565641E-2</v>
      </c>
      <c r="O552" s="7">
        <v>7.9015240430281408E-2</v>
      </c>
      <c r="P552" s="11">
        <f t="shared" si="34"/>
        <v>2.8601588966752853</v>
      </c>
    </row>
    <row r="553" spans="1:16" x14ac:dyDescent="0.25">
      <c r="A553" s="11">
        <v>5.41</v>
      </c>
      <c r="B553" s="7">
        <v>4.75</v>
      </c>
      <c r="C553" s="11">
        <v>2.714864453332381E-4</v>
      </c>
      <c r="D553" s="11">
        <v>-4.7335043520079041E-3</v>
      </c>
      <c r="E553" s="11">
        <v>2.7436787374047648E-2</v>
      </c>
      <c r="F553" s="11">
        <v>-2.5001577022774474E-2</v>
      </c>
      <c r="G553" s="3">
        <f t="shared" si="32"/>
        <v>2.7878041995679198E-2</v>
      </c>
      <c r="H553" s="11"/>
      <c r="I553" s="17">
        <f t="shared" si="35"/>
        <v>48802</v>
      </c>
      <c r="J553" s="18">
        <f t="shared" si="33"/>
        <v>7.4058863791923342</v>
      </c>
      <c r="K553" s="7">
        <v>6.75</v>
      </c>
      <c r="L553" s="7">
        <v>-1.0944565390944813E-4</v>
      </c>
      <c r="M553" s="7">
        <v>2.6920269702771296E-3</v>
      </c>
      <c r="N553" s="7">
        <v>-2.0739229161565641E-2</v>
      </c>
      <c r="O553" s="7">
        <v>7.9015240430281408E-2</v>
      </c>
      <c r="P553" s="11">
        <f t="shared" si="34"/>
        <v>2.8616955562023123</v>
      </c>
    </row>
    <row r="554" spans="1:16" x14ac:dyDescent="0.25">
      <c r="A554" s="11">
        <v>5.42</v>
      </c>
      <c r="B554" s="7">
        <v>4.75</v>
      </c>
      <c r="C554" s="11">
        <v>2.714864453332381E-4</v>
      </c>
      <c r="D554" s="11">
        <v>-4.7335043520079041E-3</v>
      </c>
      <c r="E554" s="11">
        <v>2.7436787374047648E-2</v>
      </c>
      <c r="F554" s="11">
        <v>-2.5001577022774474E-2</v>
      </c>
      <c r="G554" s="3">
        <f t="shared" si="32"/>
        <v>2.7878589015004146E-2</v>
      </c>
      <c r="H554" s="11"/>
      <c r="I554" s="17">
        <f t="shared" si="35"/>
        <v>48807</v>
      </c>
      <c r="J554" s="18">
        <f t="shared" si="33"/>
        <v>7.4195756331279945</v>
      </c>
      <c r="K554" s="7">
        <v>6.75</v>
      </c>
      <c r="L554" s="7">
        <v>-1.0944565390944813E-4</v>
      </c>
      <c r="M554" s="7">
        <v>2.6920269702771296E-3</v>
      </c>
      <c r="N554" s="7">
        <v>-2.0739229161565641E-2</v>
      </c>
      <c r="O554" s="7">
        <v>7.9015240430281408E-2</v>
      </c>
      <c r="P554" s="11">
        <f t="shared" si="34"/>
        <v>2.863241975323652</v>
      </c>
    </row>
    <row r="555" spans="1:16" x14ac:dyDescent="0.25">
      <c r="A555" s="11">
        <v>5.43</v>
      </c>
      <c r="B555" s="7">
        <v>4.75</v>
      </c>
      <c r="C555" s="11">
        <v>2.714864453332381E-4</v>
      </c>
      <c r="D555" s="11">
        <v>-4.7335043520079041E-3</v>
      </c>
      <c r="E555" s="11">
        <v>2.7436787374047648E-2</v>
      </c>
      <c r="F555" s="11">
        <v>-2.5001577022774474E-2</v>
      </c>
      <c r="G555" s="3">
        <f t="shared" si="32"/>
        <v>2.7879072207378952E-2</v>
      </c>
      <c r="H555" s="11"/>
      <c r="I555" s="17">
        <f t="shared" si="35"/>
        <v>48812</v>
      </c>
      <c r="J555" s="18">
        <f t="shared" si="33"/>
        <v>7.4332648870636548</v>
      </c>
      <c r="K555" s="7">
        <v>6.75</v>
      </c>
      <c r="L555" s="7">
        <v>-1.0944565390944813E-4</v>
      </c>
      <c r="M555" s="7">
        <v>2.6920269702771296E-3</v>
      </c>
      <c r="N555" s="7">
        <v>-2.0739229161565641E-2</v>
      </c>
      <c r="O555" s="7">
        <v>7.9015240430281408E-2</v>
      </c>
      <c r="P555" s="11">
        <f t="shared" si="34"/>
        <v>2.8647979855822818</v>
      </c>
    </row>
    <row r="556" spans="1:16" x14ac:dyDescent="0.25">
      <c r="A556" s="11">
        <v>5.44</v>
      </c>
      <c r="B556" s="7">
        <v>4.75</v>
      </c>
      <c r="C556" s="11">
        <v>2.714864453332381E-4</v>
      </c>
      <c r="D556" s="11">
        <v>-4.7335043520079041E-3</v>
      </c>
      <c r="E556" s="11">
        <v>2.7436787374047648E-2</v>
      </c>
      <c r="F556" s="11">
        <v>-2.5001577022774474E-2</v>
      </c>
      <c r="G556" s="3">
        <f t="shared" si="32"/>
        <v>2.7879493201722227E-2</v>
      </c>
      <c r="H556" s="11"/>
      <c r="I556" s="17">
        <f t="shared" si="35"/>
        <v>48817</v>
      </c>
      <c r="J556" s="18">
        <f t="shared" si="33"/>
        <v>7.4469541409993152</v>
      </c>
      <c r="K556" s="7">
        <v>6.75</v>
      </c>
      <c r="L556" s="7">
        <v>-1.0944565390944813E-4</v>
      </c>
      <c r="M556" s="7">
        <v>2.6920269702771296E-3</v>
      </c>
      <c r="N556" s="7">
        <v>-2.0739229161565641E-2</v>
      </c>
      <c r="O556" s="7">
        <v>7.9015240430281408E-2</v>
      </c>
      <c r="P556" s="11">
        <f t="shared" si="34"/>
        <v>2.8663634185211895</v>
      </c>
    </row>
    <row r="557" spans="1:16" x14ac:dyDescent="0.25">
      <c r="A557" s="11">
        <v>5.45</v>
      </c>
      <c r="B557" s="7">
        <v>4.75</v>
      </c>
      <c r="C557" s="11">
        <v>2.714864453332381E-4</v>
      </c>
      <c r="D557" s="11">
        <v>-4.7335043520079041E-3</v>
      </c>
      <c r="E557" s="11">
        <v>2.7436787374047648E-2</v>
      </c>
      <c r="F557" s="11">
        <v>-2.5001577022774474E-2</v>
      </c>
      <c r="G557" s="3">
        <f t="shared" si="32"/>
        <v>2.7879853626952694E-2</v>
      </c>
      <c r="H557" s="11"/>
      <c r="I557" s="17">
        <f t="shared" si="35"/>
        <v>48822</v>
      </c>
      <c r="J557" s="18">
        <f t="shared" si="33"/>
        <v>7.4606433949349764</v>
      </c>
      <c r="K557" s="7">
        <v>6.75</v>
      </c>
      <c r="L557" s="7">
        <v>-1.0944565390944813E-4</v>
      </c>
      <c r="M557" s="7">
        <v>2.6920269702771296E-3</v>
      </c>
      <c r="N557" s="7">
        <v>-2.0739229161565641E-2</v>
      </c>
      <c r="O557" s="7">
        <v>7.9015240430281408E-2</v>
      </c>
      <c r="P557" s="11">
        <f t="shared" si="34"/>
        <v>2.8679381056833528</v>
      </c>
    </row>
    <row r="558" spans="1:16" x14ac:dyDescent="0.25">
      <c r="A558" s="11">
        <v>5.46</v>
      </c>
      <c r="B558" s="7">
        <v>4.75</v>
      </c>
      <c r="C558" s="11">
        <v>2.714864453332381E-4</v>
      </c>
      <c r="D558" s="11">
        <v>-4.7335043520079041E-3</v>
      </c>
      <c r="E558" s="11">
        <v>2.7436787374047648E-2</v>
      </c>
      <c r="F558" s="11">
        <v>-2.5001577022774474E-2</v>
      </c>
      <c r="G558" s="3">
        <f t="shared" si="32"/>
        <v>2.7880155111988963E-2</v>
      </c>
      <c r="H558" s="11"/>
      <c r="I558" s="17">
        <f t="shared" si="35"/>
        <v>48827</v>
      </c>
      <c r="J558" s="18">
        <f t="shared" si="33"/>
        <v>7.4743326488706368</v>
      </c>
      <c r="K558" s="7">
        <v>6.75</v>
      </c>
      <c r="L558" s="7">
        <v>-1.0944565390944813E-4</v>
      </c>
      <c r="M558" s="7">
        <v>2.6920269702771296E-3</v>
      </c>
      <c r="N558" s="7">
        <v>-2.0739229161565641E-2</v>
      </c>
      <c r="O558" s="7">
        <v>7.9015240430281408E-2</v>
      </c>
      <c r="P558" s="11">
        <f t="shared" si="34"/>
        <v>2.8695218786117529</v>
      </c>
    </row>
    <row r="559" spans="1:16" x14ac:dyDescent="0.25">
      <c r="A559" s="11">
        <v>5.47</v>
      </c>
      <c r="B559" s="7">
        <v>4.75</v>
      </c>
      <c r="C559" s="11">
        <v>2.714864453332381E-4</v>
      </c>
      <c r="D559" s="11">
        <v>-4.7335043520079041E-3</v>
      </c>
      <c r="E559" s="11">
        <v>2.7436787374047648E-2</v>
      </c>
      <c r="F559" s="11">
        <v>-2.5001577022774474E-2</v>
      </c>
      <c r="G559" s="3">
        <f t="shared" si="32"/>
        <v>2.7880399285749785E-2</v>
      </c>
      <c r="H559" s="11"/>
      <c r="I559" s="17">
        <f t="shared" si="35"/>
        <v>48832</v>
      </c>
      <c r="J559" s="18">
        <f t="shared" si="33"/>
        <v>7.4880219028062971</v>
      </c>
      <c r="K559" s="7">
        <v>6.75</v>
      </c>
      <c r="L559" s="7">
        <v>-1.0944565390944813E-4</v>
      </c>
      <c r="M559" s="7">
        <v>2.6920269702771296E-3</v>
      </c>
      <c r="N559" s="7">
        <v>-2.0739229161565641E-2</v>
      </c>
      <c r="O559" s="7">
        <v>7.9015240430281408E-2</v>
      </c>
      <c r="P559" s="11">
        <f t="shared" si="34"/>
        <v>2.8711145688493755</v>
      </c>
    </row>
    <row r="560" spans="1:16" x14ac:dyDescent="0.25">
      <c r="A560" s="11">
        <v>5.48</v>
      </c>
      <c r="B560" s="7">
        <v>4.75</v>
      </c>
      <c r="C560" s="11">
        <v>2.714864453332381E-4</v>
      </c>
      <c r="D560" s="11">
        <v>-4.7335043520079041E-3</v>
      </c>
      <c r="E560" s="11">
        <v>2.7436787374047648E-2</v>
      </c>
      <c r="F560" s="11">
        <v>-2.5001577022774474E-2</v>
      </c>
      <c r="G560" s="3">
        <f t="shared" si="32"/>
        <v>2.788058777715377E-2</v>
      </c>
      <c r="H560" s="11"/>
      <c r="I560" s="17">
        <f t="shared" si="35"/>
        <v>48837</v>
      </c>
      <c r="J560" s="18">
        <f t="shared" si="33"/>
        <v>7.5017111567419574</v>
      </c>
      <c r="K560" s="7">
        <v>6.75</v>
      </c>
      <c r="L560" s="7">
        <v>-1.0944565390944813E-4</v>
      </c>
      <c r="M560" s="7">
        <v>2.6920269702771296E-3</v>
      </c>
      <c r="N560" s="7">
        <v>-2.0739229161565641E-2</v>
      </c>
      <c r="O560" s="7">
        <v>7.9015240430281408E-2</v>
      </c>
      <c r="P560" s="11">
        <f t="shared" si="34"/>
        <v>2.8727160079391938</v>
      </c>
    </row>
    <row r="561" spans="1:16" x14ac:dyDescent="0.25">
      <c r="A561" s="11">
        <v>5.49</v>
      </c>
      <c r="B561" s="7">
        <v>4.75</v>
      </c>
      <c r="C561" s="11">
        <v>2.714864453332381E-4</v>
      </c>
      <c r="D561" s="11">
        <v>-4.7335043520079041E-3</v>
      </c>
      <c r="E561" s="11">
        <v>2.7436787374047648E-2</v>
      </c>
      <c r="F561" s="11">
        <v>-2.5001577022774474E-2</v>
      </c>
      <c r="G561" s="3">
        <f t="shared" si="32"/>
        <v>2.7880722215119613E-2</v>
      </c>
      <c r="H561" s="11"/>
      <c r="I561" s="17">
        <f t="shared" si="35"/>
        <v>48842</v>
      </c>
      <c r="J561" s="18">
        <f t="shared" si="33"/>
        <v>7.5154004106776178</v>
      </c>
      <c r="K561" s="7">
        <v>6.75</v>
      </c>
      <c r="L561" s="7">
        <v>-1.0944565390944813E-4</v>
      </c>
      <c r="M561" s="7">
        <v>2.6920269702771296E-3</v>
      </c>
      <c r="N561" s="7">
        <v>-2.0739229161565641E-2</v>
      </c>
      <c r="O561" s="7">
        <v>7.9015240430281408E-2</v>
      </c>
      <c r="P561" s="11">
        <f t="shared" si="34"/>
        <v>2.8743260274241997</v>
      </c>
    </row>
    <row r="562" spans="1:16" x14ac:dyDescent="0.25">
      <c r="A562" s="11">
        <v>5.5</v>
      </c>
      <c r="B562" s="7">
        <v>4.75</v>
      </c>
      <c r="C562" s="11">
        <v>2.714864453332381E-4</v>
      </c>
      <c r="D562" s="11">
        <v>-4.7335043520079041E-3</v>
      </c>
      <c r="E562" s="11">
        <v>2.7436787374047648E-2</v>
      </c>
      <c r="F562" s="11">
        <v>-2.5001577022774474E-2</v>
      </c>
      <c r="G562" s="3">
        <f t="shared" si="32"/>
        <v>2.7880804228565981E-2</v>
      </c>
      <c r="H562" s="11"/>
      <c r="I562" s="17">
        <f t="shared" si="35"/>
        <v>48847</v>
      </c>
      <c r="J562" s="18">
        <f t="shared" si="33"/>
        <v>7.529089664613279</v>
      </c>
      <c r="K562" s="7">
        <v>6.75</v>
      </c>
      <c r="L562" s="7">
        <v>-1.0944565390944813E-4</v>
      </c>
      <c r="M562" s="7">
        <v>2.6920269702771296E-3</v>
      </c>
      <c r="N562" s="7">
        <v>-2.0739229161565641E-2</v>
      </c>
      <c r="O562" s="7">
        <v>7.9015240430281408E-2</v>
      </c>
      <c r="P562" s="11">
        <f t="shared" si="34"/>
        <v>2.8759444588473655</v>
      </c>
    </row>
    <row r="563" spans="1:16" x14ac:dyDescent="0.25">
      <c r="A563" s="11">
        <v>5.51</v>
      </c>
      <c r="B563" s="7">
        <v>4.75</v>
      </c>
      <c r="C563" s="11">
        <v>2.714864453332381E-4</v>
      </c>
      <c r="D563" s="11">
        <v>-4.7335043520079041E-3</v>
      </c>
      <c r="E563" s="11">
        <v>2.7436787374047648E-2</v>
      </c>
      <c r="F563" s="11">
        <v>-2.5001577022774474E-2</v>
      </c>
      <c r="G563" s="3">
        <f t="shared" si="32"/>
        <v>2.7880835446411539E-2</v>
      </c>
      <c r="H563" s="11"/>
      <c r="I563" s="17">
        <f t="shared" si="35"/>
        <v>48852</v>
      </c>
      <c r="J563" s="18">
        <f t="shared" si="33"/>
        <v>7.5427789185489393</v>
      </c>
      <c r="K563" s="7">
        <v>6.75</v>
      </c>
      <c r="L563" s="7">
        <v>-1.0944565390944813E-4</v>
      </c>
      <c r="M563" s="7">
        <v>2.6920269702771296E-3</v>
      </c>
      <c r="N563" s="7">
        <v>-2.0739229161565641E-2</v>
      </c>
      <c r="O563" s="7">
        <v>7.9015240430281408E-2</v>
      </c>
      <c r="P563" s="11">
        <f t="shared" si="34"/>
        <v>2.8775711337516761</v>
      </c>
    </row>
    <row r="564" spans="1:16" x14ac:dyDescent="0.25">
      <c r="A564" s="11">
        <v>5.52</v>
      </c>
      <c r="B564" s="7">
        <v>4.75</v>
      </c>
      <c r="C564" s="11">
        <v>2.714864453332381E-4</v>
      </c>
      <c r="D564" s="11">
        <v>-4.7335043520079041E-3</v>
      </c>
      <c r="E564" s="11">
        <v>2.7436787374047648E-2</v>
      </c>
      <c r="F564" s="11">
        <v>-2.5001577022774474E-2</v>
      </c>
      <c r="G564" s="3">
        <f t="shared" si="32"/>
        <v>2.788081749757497E-2</v>
      </c>
      <c r="H564" s="11"/>
      <c r="I564" s="17">
        <f t="shared" si="35"/>
        <v>48857</v>
      </c>
      <c r="J564" s="18">
        <f t="shared" si="33"/>
        <v>7.5564681724845997</v>
      </c>
      <c r="K564" s="7">
        <v>6.75</v>
      </c>
      <c r="L564" s="7">
        <v>-1.0944565390944813E-4</v>
      </c>
      <c r="M564" s="7">
        <v>2.6920269702771296E-3</v>
      </c>
      <c r="N564" s="7">
        <v>-2.0739229161565641E-2</v>
      </c>
      <c r="O564" s="7">
        <v>7.9015240430281408E-2</v>
      </c>
      <c r="P564" s="11">
        <f t="shared" si="34"/>
        <v>2.8792058836801164</v>
      </c>
    </row>
    <row r="565" spans="1:16" x14ac:dyDescent="0.25">
      <c r="A565" s="11">
        <v>5.53</v>
      </c>
      <c r="B565" s="7">
        <v>4.75</v>
      </c>
      <c r="C565" s="11">
        <v>2.714864453332381E-4</v>
      </c>
      <c r="D565" s="11">
        <v>-4.7335043520079041E-3</v>
      </c>
      <c r="E565" s="11">
        <v>2.7436787374047648E-2</v>
      </c>
      <c r="F565" s="11">
        <v>-2.5001577022774474E-2</v>
      </c>
      <c r="G565" s="3">
        <f t="shared" si="32"/>
        <v>2.7880752010974952E-2</v>
      </c>
      <c r="H565" s="11"/>
      <c r="I565" s="17">
        <f t="shared" si="35"/>
        <v>48862</v>
      </c>
      <c r="J565" s="18">
        <f t="shared" si="33"/>
        <v>7.57015742642026</v>
      </c>
      <c r="K565" s="7">
        <v>6.75</v>
      </c>
      <c r="L565" s="7">
        <v>-1.0944565390944813E-4</v>
      </c>
      <c r="M565" s="7">
        <v>2.6920269702771296E-3</v>
      </c>
      <c r="N565" s="7">
        <v>-2.0739229161565641E-2</v>
      </c>
      <c r="O565" s="7">
        <v>7.9015240430281408E-2</v>
      </c>
      <c r="P565" s="11">
        <f t="shared" si="34"/>
        <v>2.8808485401756596</v>
      </c>
    </row>
    <row r="566" spans="1:16" x14ac:dyDescent="0.25">
      <c r="A566" s="11">
        <v>5.54</v>
      </c>
      <c r="B566" s="7">
        <v>4.75</v>
      </c>
      <c r="C566" s="11">
        <v>2.714864453332381E-4</v>
      </c>
      <c r="D566" s="11">
        <v>-4.7335043520079041E-3</v>
      </c>
      <c r="E566" s="11">
        <v>2.7436787374047648E-2</v>
      </c>
      <c r="F566" s="11">
        <v>-2.5001577022774474E-2</v>
      </c>
      <c r="G566" s="3">
        <f t="shared" si="32"/>
        <v>2.7880640615530153E-2</v>
      </c>
      <c r="H566" s="11"/>
      <c r="I566" s="17">
        <f t="shared" si="35"/>
        <v>48867</v>
      </c>
      <c r="J566" s="18">
        <f t="shared" si="33"/>
        <v>7.5838466803559204</v>
      </c>
      <c r="K566" s="7">
        <v>6.75</v>
      </c>
      <c r="L566" s="7">
        <v>-1.0944565390944813E-4</v>
      </c>
      <c r="M566" s="7">
        <v>2.6920269702771296E-3</v>
      </c>
      <c r="N566" s="7">
        <v>-2.0739229161565641E-2</v>
      </c>
      <c r="O566" s="7">
        <v>7.9015240430281408E-2</v>
      </c>
      <c r="P566" s="11">
        <f t="shared" si="34"/>
        <v>2.8824989347812995</v>
      </c>
    </row>
    <row r="567" spans="1:16" x14ac:dyDescent="0.25">
      <c r="A567" s="11">
        <v>5.55</v>
      </c>
      <c r="B567" s="7">
        <v>4.75</v>
      </c>
      <c r="C567" s="11">
        <v>2.714864453332381E-4</v>
      </c>
      <c r="D567" s="11">
        <v>-4.7335043520079041E-3</v>
      </c>
      <c r="E567" s="11">
        <v>2.7436787374047648E-2</v>
      </c>
      <c r="F567" s="11">
        <v>-2.5001577022774474E-2</v>
      </c>
      <c r="G567" s="3">
        <f t="shared" si="32"/>
        <v>2.7880484940159198E-2</v>
      </c>
      <c r="H567" s="11"/>
      <c r="I567" s="17">
        <f t="shared" si="35"/>
        <v>48872</v>
      </c>
      <c r="J567" s="18">
        <f t="shared" si="33"/>
        <v>7.5975359342915807</v>
      </c>
      <c r="K567" s="7">
        <v>6.75</v>
      </c>
      <c r="L567" s="7">
        <v>-1.0944565390944813E-4</v>
      </c>
      <c r="M567" s="7">
        <v>2.6920269702771296E-3</v>
      </c>
      <c r="N567" s="7">
        <v>-2.0739229161565641E-2</v>
      </c>
      <c r="O567" s="7">
        <v>7.9015240430281408E-2</v>
      </c>
      <c r="P567" s="11">
        <f t="shared" si="34"/>
        <v>2.8841568990400051</v>
      </c>
    </row>
    <row r="568" spans="1:16" x14ac:dyDescent="0.25">
      <c r="A568" s="11">
        <v>5.56</v>
      </c>
      <c r="B568" s="7">
        <v>4.75</v>
      </c>
      <c r="C568" s="11">
        <v>2.714864453332381E-4</v>
      </c>
      <c r="D568" s="11">
        <v>-4.7335043520079041E-3</v>
      </c>
      <c r="E568" s="11">
        <v>2.7436787374047648E-2</v>
      </c>
      <c r="F568" s="11">
        <v>-2.5001577022774474E-2</v>
      </c>
      <c r="G568" s="3">
        <f t="shared" si="32"/>
        <v>2.7880286613780836E-2</v>
      </c>
      <c r="H568" s="11"/>
      <c r="I568" s="17">
        <f t="shared" si="35"/>
        <v>48877</v>
      </c>
      <c r="J568" s="18">
        <f t="shared" si="33"/>
        <v>7.6112251882272419</v>
      </c>
      <c r="K568" s="7">
        <v>6.75</v>
      </c>
      <c r="L568" s="7">
        <v>-1.0944565390944813E-4</v>
      </c>
      <c r="M568" s="7">
        <v>2.6920269702771296E-3</v>
      </c>
      <c r="N568" s="7">
        <v>-2.0739229161565641E-2</v>
      </c>
      <c r="O568" s="7">
        <v>7.9015240430281408E-2</v>
      </c>
      <c r="P568" s="11">
        <f t="shared" si="34"/>
        <v>2.885822264494764</v>
      </c>
    </row>
    <row r="569" spans="1:16" x14ac:dyDescent="0.25">
      <c r="A569" s="11">
        <v>5.57</v>
      </c>
      <c r="B569" s="7">
        <v>4.75</v>
      </c>
      <c r="C569" s="11">
        <v>2.714864453332381E-4</v>
      </c>
      <c r="D569" s="11">
        <v>-4.7335043520079041E-3</v>
      </c>
      <c r="E569" s="11">
        <v>2.7436787374047648E-2</v>
      </c>
      <c r="F569" s="11">
        <v>-2.5001577022774474E-2</v>
      </c>
      <c r="G569" s="3">
        <f t="shared" si="32"/>
        <v>2.7880047265313734E-2</v>
      </c>
      <c r="H569" s="11"/>
      <c r="I569" s="17">
        <f t="shared" si="35"/>
        <v>48882</v>
      </c>
      <c r="J569" s="18">
        <f t="shared" si="33"/>
        <v>7.6249144421629023</v>
      </c>
      <c r="K569" s="7">
        <v>6.75</v>
      </c>
      <c r="L569" s="7">
        <v>-1.0944565390944813E-4</v>
      </c>
      <c r="M569" s="7">
        <v>2.6920269702771296E-3</v>
      </c>
      <c r="N569" s="7">
        <v>-2.0739229161565641E-2</v>
      </c>
      <c r="O569" s="7">
        <v>7.9015240430281408E-2</v>
      </c>
      <c r="P569" s="11">
        <f t="shared" si="34"/>
        <v>2.8874948626885582</v>
      </c>
    </row>
    <row r="570" spans="1:16" x14ac:dyDescent="0.25">
      <c r="A570" s="11">
        <v>5.58</v>
      </c>
      <c r="B570" s="7">
        <v>4.75</v>
      </c>
      <c r="C570" s="11">
        <v>2.714864453332381E-4</v>
      </c>
      <c r="D570" s="11">
        <v>-4.7335043520079041E-3</v>
      </c>
      <c r="E570" s="11">
        <v>2.7436787374047648E-2</v>
      </c>
      <c r="F570" s="11">
        <v>-2.5001577022774474E-2</v>
      </c>
      <c r="G570" s="3">
        <f t="shared" si="32"/>
        <v>2.787976852367649E-2</v>
      </c>
      <c r="H570" s="11"/>
      <c r="I570" s="17">
        <f t="shared" si="35"/>
        <v>48887</v>
      </c>
      <c r="J570" s="18">
        <f t="shared" si="33"/>
        <v>7.6386036960985626</v>
      </c>
      <c r="K570" s="7">
        <v>6.75</v>
      </c>
      <c r="L570" s="7">
        <v>-1.0944565390944813E-4</v>
      </c>
      <c r="M570" s="7">
        <v>2.6920269702771296E-3</v>
      </c>
      <c r="N570" s="7">
        <v>-2.0739229161565641E-2</v>
      </c>
      <c r="O570" s="7">
        <v>7.9015240430281408E-2</v>
      </c>
      <c r="P570" s="11">
        <f t="shared" si="34"/>
        <v>2.8891745251643677</v>
      </c>
    </row>
    <row r="571" spans="1:16" x14ac:dyDescent="0.25">
      <c r="A571" s="11">
        <v>5.59</v>
      </c>
      <c r="B571" s="7">
        <v>4.75</v>
      </c>
      <c r="C571" s="11">
        <v>2.714864453332381E-4</v>
      </c>
      <c r="D571" s="11">
        <v>-4.7335043520079041E-3</v>
      </c>
      <c r="E571" s="11">
        <v>2.7436787374047648E-2</v>
      </c>
      <c r="F571" s="11">
        <v>-2.5001577022774474E-2</v>
      </c>
      <c r="G571" s="3">
        <f t="shared" si="32"/>
        <v>2.7879452017787854E-2</v>
      </c>
      <c r="H571" s="11"/>
      <c r="I571" s="17">
        <f t="shared" si="35"/>
        <v>48892</v>
      </c>
      <c r="J571" s="18">
        <f t="shared" si="33"/>
        <v>7.6522929500342229</v>
      </c>
      <c r="K571" s="7">
        <v>6.75</v>
      </c>
      <c r="L571" s="7">
        <v>-1.0944565390944813E-4</v>
      </c>
      <c r="M571" s="7">
        <v>2.6920269702771296E-3</v>
      </c>
      <c r="N571" s="7">
        <v>-2.0739229161565641E-2</v>
      </c>
      <c r="O571" s="7">
        <v>7.9015240430281408E-2</v>
      </c>
      <c r="P571" s="11">
        <f t="shared" si="34"/>
        <v>2.8908610834651736</v>
      </c>
    </row>
    <row r="572" spans="1:16" x14ac:dyDescent="0.25">
      <c r="A572" s="11">
        <v>5.6</v>
      </c>
      <c r="B572" s="7">
        <v>4.75</v>
      </c>
      <c r="C572" s="11">
        <v>2.714864453332381E-4</v>
      </c>
      <c r="D572" s="11">
        <v>-4.7335043520079041E-3</v>
      </c>
      <c r="E572" s="11">
        <v>2.7436787374047648E-2</v>
      </c>
      <c r="F572" s="11">
        <v>-2.5001577022774474E-2</v>
      </c>
      <c r="G572" s="3">
        <f t="shared" si="32"/>
        <v>2.7879099376566421E-2</v>
      </c>
      <c r="H572" s="11"/>
      <c r="I572" s="17">
        <f t="shared" si="35"/>
        <v>48897</v>
      </c>
      <c r="J572" s="18">
        <f t="shared" si="33"/>
        <v>7.6659822039698833</v>
      </c>
      <c r="K572" s="7">
        <v>6.75</v>
      </c>
      <c r="L572" s="7">
        <v>-1.0944565390944813E-4</v>
      </c>
      <c r="M572" s="7">
        <v>2.6920269702771296E-3</v>
      </c>
      <c r="N572" s="7">
        <v>-2.0739229161565641E-2</v>
      </c>
      <c r="O572" s="7">
        <v>7.9015240430281408E-2</v>
      </c>
      <c r="P572" s="11">
        <f t="shared" si="34"/>
        <v>2.8925543691339595</v>
      </c>
    </row>
    <row r="573" spans="1:16" x14ac:dyDescent="0.25">
      <c r="A573" s="11">
        <v>5.61</v>
      </c>
      <c r="B573" s="7">
        <v>4.75</v>
      </c>
      <c r="C573" s="11">
        <v>2.714864453332381E-4</v>
      </c>
      <c r="D573" s="11">
        <v>-4.7335043520079041E-3</v>
      </c>
      <c r="E573" s="11">
        <v>2.7436787374047648E-2</v>
      </c>
      <c r="F573" s="11">
        <v>-2.5001577022774474E-2</v>
      </c>
      <c r="G573" s="3">
        <f t="shared" si="32"/>
        <v>2.787871222893093E-2</v>
      </c>
      <c r="H573" s="11"/>
      <c r="I573" s="17">
        <f t="shared" si="35"/>
        <v>48902</v>
      </c>
      <c r="J573" s="18">
        <f t="shared" si="33"/>
        <v>7.6796714579055445</v>
      </c>
      <c r="K573" s="7">
        <v>6.75</v>
      </c>
      <c r="L573" s="7">
        <v>-1.0944565390944813E-4</v>
      </c>
      <c r="M573" s="7">
        <v>2.6920269702771296E-3</v>
      </c>
      <c r="N573" s="7">
        <v>-2.0739229161565641E-2</v>
      </c>
      <c r="O573" s="7">
        <v>7.9015240430281408E-2</v>
      </c>
      <c r="P573" s="11">
        <f t="shared" si="34"/>
        <v>2.8942542137137011</v>
      </c>
    </row>
    <row r="574" spans="1:16" x14ac:dyDescent="0.25">
      <c r="A574" s="11">
        <v>5.62</v>
      </c>
      <c r="B574" s="7">
        <v>4.75</v>
      </c>
      <c r="C574" s="11">
        <v>2.714864453332381E-4</v>
      </c>
      <c r="D574" s="11">
        <v>-4.7335043520079041E-3</v>
      </c>
      <c r="E574" s="11">
        <v>2.7436787374047648E-2</v>
      </c>
      <c r="F574" s="11">
        <v>-2.5001577022774474E-2</v>
      </c>
      <c r="G574" s="3">
        <f t="shared" si="32"/>
        <v>2.7878292203800017E-2</v>
      </c>
      <c r="H574" s="11"/>
      <c r="I574" s="17">
        <f t="shared" si="35"/>
        <v>48907</v>
      </c>
      <c r="J574" s="18">
        <f t="shared" si="33"/>
        <v>7.6933607118412048</v>
      </c>
      <c r="K574" s="7">
        <v>6.75</v>
      </c>
      <c r="L574" s="7">
        <v>-1.0944565390944813E-4</v>
      </c>
      <c r="M574" s="7">
        <v>2.6920269702771296E-3</v>
      </c>
      <c r="N574" s="7">
        <v>-2.0739229161565641E-2</v>
      </c>
      <c r="O574" s="7">
        <v>7.9015240430281408E-2</v>
      </c>
      <c r="P574" s="11">
        <f t="shared" si="34"/>
        <v>2.8959604487473882</v>
      </c>
    </row>
    <row r="575" spans="1:16" x14ac:dyDescent="0.25">
      <c r="A575" s="11">
        <v>5.63</v>
      </c>
      <c r="B575" s="7">
        <v>4.75</v>
      </c>
      <c r="C575" s="11">
        <v>2.714864453332381E-4</v>
      </c>
      <c r="D575" s="11">
        <v>-4.7335043520079041E-3</v>
      </c>
      <c r="E575" s="11">
        <v>2.7436787374047648E-2</v>
      </c>
      <c r="F575" s="11">
        <v>-2.5001577022774474E-2</v>
      </c>
      <c r="G575" s="3">
        <f t="shared" si="32"/>
        <v>2.7877840930092379E-2</v>
      </c>
      <c r="H575" s="11"/>
      <c r="I575" s="17">
        <f t="shared" si="35"/>
        <v>48912</v>
      </c>
      <c r="J575" s="18">
        <f t="shared" si="33"/>
        <v>7.7070499657768652</v>
      </c>
      <c r="K575" s="7">
        <v>6.75</v>
      </c>
      <c r="L575" s="7">
        <v>-1.0944565390944813E-4</v>
      </c>
      <c r="M575" s="7">
        <v>2.6920269702771296E-3</v>
      </c>
      <c r="N575" s="7">
        <v>-2.0739229161565641E-2</v>
      </c>
      <c r="O575" s="7">
        <v>7.9015240430281408E-2</v>
      </c>
      <c r="P575" s="11">
        <f t="shared" si="34"/>
        <v>2.8976729057779953</v>
      </c>
    </row>
    <row r="576" spans="1:16" x14ac:dyDescent="0.25">
      <c r="A576" s="11">
        <v>5.64</v>
      </c>
      <c r="B576" s="7">
        <v>4.75</v>
      </c>
      <c r="C576" s="11">
        <v>2.714864453332381E-4</v>
      </c>
      <c r="D576" s="11">
        <v>-4.7335043520079041E-3</v>
      </c>
      <c r="E576" s="11">
        <v>2.7436787374047648E-2</v>
      </c>
      <c r="F576" s="11">
        <v>-2.5001577022774474E-2</v>
      </c>
      <c r="G576" s="3">
        <f t="shared" si="32"/>
        <v>2.7877360036726667E-2</v>
      </c>
      <c r="H576" s="11"/>
      <c r="I576" s="17">
        <f t="shared" si="35"/>
        <v>48917</v>
      </c>
      <c r="J576" s="18">
        <f t="shared" si="33"/>
        <v>7.7207392197125255</v>
      </c>
      <c r="K576" s="7">
        <v>6.75</v>
      </c>
      <c r="L576" s="7">
        <v>-1.0944565390944813E-4</v>
      </c>
      <c r="M576" s="7">
        <v>2.6920269702771296E-3</v>
      </c>
      <c r="N576" s="7">
        <v>-2.0739229161565641E-2</v>
      </c>
      <c r="O576" s="7">
        <v>7.9015240430281408E-2</v>
      </c>
      <c r="P576" s="11">
        <f t="shared" si="34"/>
        <v>2.8993914163485095</v>
      </c>
    </row>
    <row r="577" spans="1:16" x14ac:dyDescent="0.25">
      <c r="A577" s="11">
        <v>5.65</v>
      </c>
      <c r="B577" s="7">
        <v>4.75</v>
      </c>
      <c r="C577" s="11">
        <v>2.714864453332381E-4</v>
      </c>
      <c r="D577" s="11">
        <v>-4.7335043520079041E-3</v>
      </c>
      <c r="E577" s="11">
        <v>2.7436787374047648E-2</v>
      </c>
      <c r="F577" s="11">
        <v>-2.5001577022774474E-2</v>
      </c>
      <c r="G577" s="3">
        <f t="shared" si="32"/>
        <v>2.7876851152621562E-2</v>
      </c>
      <c r="H577" s="11"/>
      <c r="I577" s="17">
        <f t="shared" si="35"/>
        <v>48922</v>
      </c>
      <c r="J577" s="18">
        <f t="shared" si="33"/>
        <v>7.7344284736481859</v>
      </c>
      <c r="K577" s="7">
        <v>6.75</v>
      </c>
      <c r="L577" s="7">
        <v>-1.0944565390944813E-4</v>
      </c>
      <c r="M577" s="7">
        <v>2.6920269702771296E-3</v>
      </c>
      <c r="N577" s="7">
        <v>-2.0739229161565641E-2</v>
      </c>
      <c r="O577" s="7">
        <v>7.9015240430281408E-2</v>
      </c>
      <c r="P577" s="11">
        <f t="shared" si="34"/>
        <v>2.9011158120019074</v>
      </c>
    </row>
    <row r="578" spans="1:16" x14ac:dyDescent="0.25">
      <c r="A578" s="11">
        <v>5.66</v>
      </c>
      <c r="B578" s="7">
        <v>4.75</v>
      </c>
      <c r="C578" s="11">
        <v>2.714864453332381E-4</v>
      </c>
      <c r="D578" s="11">
        <v>-4.7335043520079041E-3</v>
      </c>
      <c r="E578" s="11">
        <v>2.7436787374047648E-2</v>
      </c>
      <c r="F578" s="11">
        <v>-2.5001577022774474E-2</v>
      </c>
      <c r="G578" s="3">
        <f t="shared" si="32"/>
        <v>2.7876315906695759E-2</v>
      </c>
      <c r="H578" s="11"/>
      <c r="I578" s="17">
        <f t="shared" si="35"/>
        <v>48927</v>
      </c>
      <c r="J578" s="18">
        <f t="shared" si="33"/>
        <v>7.7481177275838471</v>
      </c>
      <c r="K578" s="7">
        <v>6.75</v>
      </c>
      <c r="L578" s="7">
        <v>-1.0944565390944813E-4</v>
      </c>
      <c r="M578" s="7">
        <v>2.6920269702771296E-3</v>
      </c>
      <c r="N578" s="7">
        <v>-2.0739229161565641E-2</v>
      </c>
      <c r="O578" s="7">
        <v>7.9015240430281408E-2</v>
      </c>
      <c r="P578" s="11">
        <f t="shared" si="34"/>
        <v>2.9028459242811735</v>
      </c>
    </row>
    <row r="579" spans="1:16" x14ac:dyDescent="0.25">
      <c r="A579" s="11">
        <v>5.67</v>
      </c>
      <c r="B579" s="7">
        <v>4.75</v>
      </c>
      <c r="C579" s="11">
        <v>2.714864453332381E-4</v>
      </c>
      <c r="D579" s="11">
        <v>-4.7335043520079041E-3</v>
      </c>
      <c r="E579" s="11">
        <v>2.7436787374047648E-2</v>
      </c>
      <c r="F579" s="11">
        <v>-2.5001577022774474E-2</v>
      </c>
      <c r="G579" s="3">
        <f t="shared" si="32"/>
        <v>2.7875755927867896E-2</v>
      </c>
      <c r="H579" s="11"/>
      <c r="I579" s="17">
        <f t="shared" si="35"/>
        <v>48932</v>
      </c>
      <c r="J579" s="18">
        <f t="shared" si="33"/>
        <v>7.7618069815195074</v>
      </c>
      <c r="K579" s="7">
        <v>6.75</v>
      </c>
      <c r="L579" s="7">
        <v>-1.0944565390944813E-4</v>
      </c>
      <c r="M579" s="7">
        <v>2.6920269702771296E-3</v>
      </c>
      <c r="N579" s="7">
        <v>-2.0739229161565641E-2</v>
      </c>
      <c r="O579" s="7">
        <v>7.9015240430281408E-2</v>
      </c>
      <c r="P579" s="11">
        <f t="shared" si="34"/>
        <v>2.9045815847292906</v>
      </c>
    </row>
    <row r="580" spans="1:16" x14ac:dyDescent="0.25">
      <c r="A580" s="11">
        <v>5.68</v>
      </c>
      <c r="B580" s="7">
        <v>4.75</v>
      </c>
      <c r="C580" s="11">
        <v>2.714864453332381E-4</v>
      </c>
      <c r="D580" s="11">
        <v>-4.7335043520079041E-3</v>
      </c>
      <c r="E580" s="11">
        <v>2.7436787374047648E-2</v>
      </c>
      <c r="F580" s="11">
        <v>-2.5001577022774474E-2</v>
      </c>
      <c r="G580" s="3">
        <f t="shared" si="32"/>
        <v>2.7875172845056612E-2</v>
      </c>
      <c r="H580" s="11"/>
      <c r="I580" s="17">
        <f t="shared" si="35"/>
        <v>48937</v>
      </c>
      <c r="J580" s="18">
        <f t="shared" si="33"/>
        <v>7.7754962354551678</v>
      </c>
      <c r="K580" s="7">
        <v>6.75</v>
      </c>
      <c r="L580" s="7">
        <v>-1.0944565390944813E-4</v>
      </c>
      <c r="M580" s="7">
        <v>2.6920269702771296E-3</v>
      </c>
      <c r="N580" s="7">
        <v>-2.0739229161565641E-2</v>
      </c>
      <c r="O580" s="7">
        <v>7.9015240430281408E-2</v>
      </c>
      <c r="P580" s="11">
        <f t="shared" si="34"/>
        <v>2.9063226248892322</v>
      </c>
    </row>
    <row r="581" spans="1:16" x14ac:dyDescent="0.25">
      <c r="A581" s="11">
        <v>5.69</v>
      </c>
      <c r="B581" s="7">
        <v>4.75</v>
      </c>
      <c r="C581" s="11">
        <v>2.714864453332381E-4</v>
      </c>
      <c r="D581" s="11">
        <v>-4.7335043520079041E-3</v>
      </c>
      <c r="E581" s="11">
        <v>2.7436787374047648E-2</v>
      </c>
      <c r="F581" s="11">
        <v>-2.5001577022774474E-2</v>
      </c>
      <c r="G581" s="3">
        <f t="shared" si="32"/>
        <v>2.7874568287180684E-2</v>
      </c>
      <c r="H581" s="11"/>
      <c r="I581" s="17">
        <f t="shared" si="35"/>
        <v>48942</v>
      </c>
      <c r="J581" s="18">
        <f t="shared" si="33"/>
        <v>7.7891854893908281</v>
      </c>
      <c r="K581" s="7">
        <v>6.75</v>
      </c>
      <c r="L581" s="7">
        <v>-1.0944565390944813E-4</v>
      </c>
      <c r="M581" s="7">
        <v>2.6920269702771296E-3</v>
      </c>
      <c r="N581" s="7">
        <v>-2.0739229161565641E-2</v>
      </c>
      <c r="O581" s="7">
        <v>7.9015240430281408E-2</v>
      </c>
      <c r="P581" s="11">
        <f t="shared" si="34"/>
        <v>2.9080688763039904</v>
      </c>
    </row>
    <row r="582" spans="1:16" x14ac:dyDescent="0.25">
      <c r="A582" s="11">
        <v>5.7</v>
      </c>
      <c r="B582" s="7">
        <v>4.75</v>
      </c>
      <c r="C582" s="11">
        <v>2.714864453332381E-4</v>
      </c>
      <c r="D582" s="11">
        <v>-4.7335043520079041E-3</v>
      </c>
      <c r="E582" s="11">
        <v>2.7436787374047648E-2</v>
      </c>
      <c r="F582" s="11">
        <v>-2.5001577022774474E-2</v>
      </c>
      <c r="G582" s="3">
        <f t="shared" si="32"/>
        <v>2.7873943883158683E-2</v>
      </c>
      <c r="H582" s="11"/>
      <c r="I582" s="17">
        <f t="shared" si="35"/>
        <v>48947</v>
      </c>
      <c r="J582" s="18">
        <f t="shared" si="33"/>
        <v>7.8028747433264884</v>
      </c>
      <c r="K582" s="7">
        <v>6.75</v>
      </c>
      <c r="L582" s="7">
        <v>-1.0944565390944813E-4</v>
      </c>
      <c r="M582" s="7">
        <v>2.6920269702771296E-3</v>
      </c>
      <c r="N582" s="7">
        <v>-2.0739229161565641E-2</v>
      </c>
      <c r="O582" s="7">
        <v>7.9015240430281408E-2</v>
      </c>
      <c r="P582" s="11">
        <f t="shared" si="34"/>
        <v>2.9098201705165376</v>
      </c>
    </row>
    <row r="583" spans="1:16" x14ac:dyDescent="0.25">
      <c r="A583" s="11">
        <v>5.71</v>
      </c>
      <c r="B583" s="7">
        <v>4.75</v>
      </c>
      <c r="C583" s="11">
        <v>2.714864453332381E-4</v>
      </c>
      <c r="D583" s="11">
        <v>-4.7335043520079041E-3</v>
      </c>
      <c r="E583" s="11">
        <v>2.7436787374047648E-2</v>
      </c>
      <c r="F583" s="11">
        <v>-2.5001577022774474E-2</v>
      </c>
      <c r="G583" s="3">
        <f t="shared" si="32"/>
        <v>2.7873301261909317E-2</v>
      </c>
      <c r="H583" s="11"/>
      <c r="I583" s="17">
        <f t="shared" si="35"/>
        <v>48952</v>
      </c>
      <c r="J583" s="18">
        <f t="shared" si="33"/>
        <v>7.8165639972621488</v>
      </c>
      <c r="K583" s="7">
        <v>6.75</v>
      </c>
      <c r="L583" s="7">
        <v>-1.0944565390944813E-4</v>
      </c>
      <c r="M583" s="7">
        <v>2.6920269702771296E-3</v>
      </c>
      <c r="N583" s="7">
        <v>-2.0739229161565641E-2</v>
      </c>
      <c r="O583" s="7">
        <v>7.9015240430281408E-2</v>
      </c>
      <c r="P583" s="11">
        <f t="shared" si="34"/>
        <v>2.9115763390698643</v>
      </c>
    </row>
    <row r="584" spans="1:16" x14ac:dyDescent="0.25">
      <c r="A584" s="11">
        <v>5.72</v>
      </c>
      <c r="B584" s="7">
        <v>4.75</v>
      </c>
      <c r="C584" s="11">
        <v>2.714864453332381E-4</v>
      </c>
      <c r="D584" s="11">
        <v>-4.7335043520079041E-3</v>
      </c>
      <c r="E584" s="11">
        <v>2.7436787374047648E-2</v>
      </c>
      <c r="F584" s="11">
        <v>-2.5001577022774474E-2</v>
      </c>
      <c r="G584" s="3">
        <f t="shared" si="32"/>
        <v>2.7872642052351293E-2</v>
      </c>
      <c r="H584" s="11"/>
      <c r="I584" s="17">
        <f t="shared" si="35"/>
        <v>48957</v>
      </c>
      <c r="J584" s="18">
        <f t="shared" si="33"/>
        <v>7.83025325119781</v>
      </c>
      <c r="K584" s="7">
        <v>6.75</v>
      </c>
      <c r="L584" s="7">
        <v>-1.0944565390944813E-4</v>
      </c>
      <c r="M584" s="7">
        <v>2.6920269702771296E-3</v>
      </c>
      <c r="N584" s="7">
        <v>-2.0739229161565641E-2</v>
      </c>
      <c r="O584" s="7">
        <v>7.9015240430281408E-2</v>
      </c>
      <c r="P584" s="11">
        <f t="shared" si="34"/>
        <v>2.9133372135069449</v>
      </c>
    </row>
    <row r="585" spans="1:16" x14ac:dyDescent="0.25">
      <c r="A585" s="11">
        <v>5.73</v>
      </c>
      <c r="B585" s="7">
        <v>4.75</v>
      </c>
      <c r="C585" s="11">
        <v>2.714864453332381E-4</v>
      </c>
      <c r="D585" s="11">
        <v>-4.7335043520079041E-3</v>
      </c>
      <c r="E585" s="11">
        <v>2.7436787374047648E-2</v>
      </c>
      <c r="F585" s="11">
        <v>-2.5001577022774474E-2</v>
      </c>
      <c r="G585" s="3">
        <f t="shared" si="32"/>
        <v>2.7871967883403209E-2</v>
      </c>
      <c r="H585" s="11"/>
      <c r="I585" s="17">
        <f t="shared" si="35"/>
        <v>48962</v>
      </c>
      <c r="J585" s="18">
        <f t="shared" si="33"/>
        <v>7.8439425051334704</v>
      </c>
      <c r="K585" s="7">
        <v>6.75</v>
      </c>
      <c r="L585" s="7">
        <v>-1.0944565390944813E-4</v>
      </c>
      <c r="M585" s="7">
        <v>2.6920269702771296E-3</v>
      </c>
      <c r="N585" s="7">
        <v>-2.0739229161565641E-2</v>
      </c>
      <c r="O585" s="7">
        <v>7.9015240430281408E-2</v>
      </c>
      <c r="P585" s="11">
        <f t="shared" si="34"/>
        <v>2.9151026253707606</v>
      </c>
    </row>
    <row r="586" spans="1:16" x14ac:dyDescent="0.25">
      <c r="A586" s="11">
        <v>5.74</v>
      </c>
      <c r="B586" s="7">
        <v>4.75</v>
      </c>
      <c r="C586" s="11">
        <v>2.714864453332381E-4</v>
      </c>
      <c r="D586" s="11">
        <v>-4.7335043520079041E-3</v>
      </c>
      <c r="E586" s="11">
        <v>2.7436787374047648E-2</v>
      </c>
      <c r="F586" s="11">
        <v>-2.5001577022774474E-2</v>
      </c>
      <c r="G586" s="3">
        <f t="shared" si="32"/>
        <v>2.7871280383983843E-2</v>
      </c>
      <c r="H586" s="11"/>
      <c r="I586" s="17">
        <f t="shared" si="35"/>
        <v>48967</v>
      </c>
      <c r="J586" s="18">
        <f t="shared" si="33"/>
        <v>7.8576317590691307</v>
      </c>
      <c r="K586" s="7">
        <v>6.75</v>
      </c>
      <c r="L586" s="7">
        <v>-1.0944565390944813E-4</v>
      </c>
      <c r="M586" s="7">
        <v>2.6920269702771296E-3</v>
      </c>
      <c r="N586" s="7">
        <v>-2.0739229161565641E-2</v>
      </c>
      <c r="O586" s="7">
        <v>7.9015240430281408E-2</v>
      </c>
      <c r="P586" s="11">
        <f t="shared" si="34"/>
        <v>2.9168724062042988</v>
      </c>
    </row>
    <row r="587" spans="1:16" x14ac:dyDescent="0.25">
      <c r="A587" s="11">
        <v>5.75</v>
      </c>
      <c r="B587" s="7">
        <v>4.75</v>
      </c>
      <c r="C587" s="11">
        <v>2.714864453332381E-4</v>
      </c>
      <c r="D587" s="11">
        <v>-4.7335043520079041E-3</v>
      </c>
      <c r="E587" s="11">
        <v>2.7436787374047648E-2</v>
      </c>
      <c r="F587" s="11">
        <v>-2.5001577022774474E-2</v>
      </c>
      <c r="G587" s="3">
        <f t="shared" si="32"/>
        <v>2.787058118301175E-2</v>
      </c>
      <c r="H587" s="11"/>
      <c r="I587" s="17">
        <f t="shared" si="35"/>
        <v>48972</v>
      </c>
      <c r="J587" s="18">
        <f t="shared" si="33"/>
        <v>7.871321013004791</v>
      </c>
      <c r="K587" s="7">
        <v>6.75</v>
      </c>
      <c r="L587" s="7">
        <v>-1.0944565390944813E-4</v>
      </c>
      <c r="M587" s="7">
        <v>2.6920269702771296E-3</v>
      </c>
      <c r="N587" s="7">
        <v>-2.0739229161565641E-2</v>
      </c>
      <c r="O587" s="7">
        <v>7.9015240430281408E-2</v>
      </c>
      <c r="P587" s="11">
        <f t="shared" si="34"/>
        <v>2.9186463875505315</v>
      </c>
    </row>
    <row r="588" spans="1:16" x14ac:dyDescent="0.25">
      <c r="A588" s="11">
        <v>5.76</v>
      </c>
      <c r="B588" s="7">
        <v>4.75</v>
      </c>
      <c r="C588" s="11">
        <v>2.714864453332381E-4</v>
      </c>
      <c r="D588" s="11">
        <v>-4.7335043520079041E-3</v>
      </c>
      <c r="E588" s="11">
        <v>2.7436787374047648E-2</v>
      </c>
      <c r="F588" s="11">
        <v>-2.5001577022774474E-2</v>
      </c>
      <c r="G588" s="3">
        <f t="shared" si="32"/>
        <v>2.7869871909405652E-2</v>
      </c>
      <c r="H588" s="11"/>
      <c r="I588" s="17">
        <f t="shared" si="35"/>
        <v>48977</v>
      </c>
      <c r="J588" s="18">
        <f t="shared" si="33"/>
        <v>7.8850102669404514</v>
      </c>
      <c r="K588" s="7">
        <v>6.75</v>
      </c>
      <c r="L588" s="7">
        <v>-1.0944565390944813E-4</v>
      </c>
      <c r="M588" s="7">
        <v>2.6920269702771296E-3</v>
      </c>
      <c r="N588" s="7">
        <v>-2.0739229161565641E-2</v>
      </c>
      <c r="O588" s="7">
        <v>7.9015240430281408E-2</v>
      </c>
      <c r="P588" s="11">
        <f t="shared" si="34"/>
        <v>2.920424400952454</v>
      </c>
    </row>
    <row r="589" spans="1:16" x14ac:dyDescent="0.25">
      <c r="A589" s="11">
        <v>5.77</v>
      </c>
      <c r="B589" s="7">
        <v>4.75</v>
      </c>
      <c r="C589" s="11">
        <v>2.714864453332381E-4</v>
      </c>
      <c r="D589" s="11">
        <v>-4.7335043520079041E-3</v>
      </c>
      <c r="E589" s="11">
        <v>2.7436787374047648E-2</v>
      </c>
      <c r="F589" s="11">
        <v>-2.5001577022774474E-2</v>
      </c>
      <c r="G589" s="3">
        <f t="shared" ref="G589:G652" si="36">C589*A589^3 + D589*A589^2 + E589*A589 + F589</f>
        <v>2.7869154192084244E-2</v>
      </c>
      <c r="H589" s="11"/>
      <c r="I589" s="17">
        <f t="shared" si="35"/>
        <v>48982</v>
      </c>
      <c r="J589" s="18">
        <f t="shared" ref="J589:J652" si="37">(I589-$I$12)/365.25</f>
        <v>7.8986995208761126</v>
      </c>
      <c r="K589" s="7">
        <v>6.75</v>
      </c>
      <c r="L589" s="7">
        <v>-1.0944565390944813E-4</v>
      </c>
      <c r="M589" s="7">
        <v>2.6920269702771296E-3</v>
      </c>
      <c r="N589" s="7">
        <v>-2.0739229161565641E-2</v>
      </c>
      <c r="O589" s="7">
        <v>7.9015240430281408E-2</v>
      </c>
      <c r="P589" s="11">
        <f t="shared" ref="P589:P652" si="38">100*(L589*J589^3 + M589*J589^2 + N589*J589 + O589)</f>
        <v>2.9222062779530376</v>
      </c>
    </row>
    <row r="590" spans="1:16" x14ac:dyDescent="0.25">
      <c r="A590" s="11">
        <v>5.78</v>
      </c>
      <c r="B590" s="7">
        <v>4.75</v>
      </c>
      <c r="C590" s="11">
        <v>2.714864453332381E-4</v>
      </c>
      <c r="D590" s="11">
        <v>-4.7335043520079041E-3</v>
      </c>
      <c r="E590" s="11">
        <v>2.7436787374047648E-2</v>
      </c>
      <c r="F590" s="11">
        <v>-2.5001577022774474E-2</v>
      </c>
      <c r="G590" s="3">
        <f t="shared" si="36"/>
        <v>2.7868429659966193E-2</v>
      </c>
      <c r="H590" s="11"/>
      <c r="I590" s="17">
        <f t="shared" ref="I590:I653" si="39">I589+5</f>
        <v>48987</v>
      </c>
      <c r="J590" s="18">
        <f t="shared" si="37"/>
        <v>7.9123887748117729</v>
      </c>
      <c r="K590" s="7">
        <v>6.75</v>
      </c>
      <c r="L590" s="7">
        <v>-1.0944565390944813E-4</v>
      </c>
      <c r="M590" s="7">
        <v>2.6920269702771296E-3</v>
      </c>
      <c r="N590" s="7">
        <v>-2.0739229161565641E-2</v>
      </c>
      <c r="O590" s="7">
        <v>7.9015240430281408E-2</v>
      </c>
      <c r="P590" s="11">
        <f t="shared" si="38"/>
        <v>2.9239918500952644</v>
      </c>
    </row>
    <row r="591" spans="1:16" x14ac:dyDescent="0.25">
      <c r="A591" s="11">
        <v>5.79</v>
      </c>
      <c r="B591" s="7">
        <v>4.75</v>
      </c>
      <c r="C591" s="11">
        <v>2.714864453332381E-4</v>
      </c>
      <c r="D591" s="11">
        <v>-4.7335043520079041E-3</v>
      </c>
      <c r="E591" s="11">
        <v>2.7436787374047648E-2</v>
      </c>
      <c r="F591" s="11">
        <v>-2.5001577022774474E-2</v>
      </c>
      <c r="G591" s="3">
        <f t="shared" si="36"/>
        <v>2.7867699941970123E-2</v>
      </c>
      <c r="H591" s="11"/>
      <c r="I591" s="17">
        <f t="shared" si="39"/>
        <v>48992</v>
      </c>
      <c r="J591" s="18">
        <f t="shared" si="37"/>
        <v>7.9260780287474333</v>
      </c>
      <c r="K591" s="7">
        <v>6.75</v>
      </c>
      <c r="L591" s="7">
        <v>-1.0944565390944813E-4</v>
      </c>
      <c r="M591" s="7">
        <v>2.6920269702771296E-3</v>
      </c>
      <c r="N591" s="7">
        <v>-2.0739229161565641E-2</v>
      </c>
      <c r="O591" s="7">
        <v>7.9015240430281408E-2</v>
      </c>
      <c r="P591" s="11">
        <f t="shared" si="38"/>
        <v>2.9257809489221187</v>
      </c>
    </row>
    <row r="592" spans="1:16" x14ac:dyDescent="0.25">
      <c r="A592" s="11">
        <v>5.8</v>
      </c>
      <c r="B592" s="7">
        <v>4.75</v>
      </c>
      <c r="C592" s="11">
        <v>2.714864453332381E-4</v>
      </c>
      <c r="D592" s="11">
        <v>-4.7335043520079041E-3</v>
      </c>
      <c r="E592" s="11">
        <v>2.7436787374047648E-2</v>
      </c>
      <c r="F592" s="11">
        <v>-2.5001577022774474E-2</v>
      </c>
      <c r="G592" s="3">
        <f t="shared" si="36"/>
        <v>2.7866966667014714E-2</v>
      </c>
      <c r="H592" s="11"/>
      <c r="I592" s="17">
        <f t="shared" si="39"/>
        <v>48997</v>
      </c>
      <c r="J592" s="18">
        <f t="shared" si="37"/>
        <v>7.9397672826830936</v>
      </c>
      <c r="K592" s="7">
        <v>6.75</v>
      </c>
      <c r="L592" s="7">
        <v>-1.0944565390944813E-4</v>
      </c>
      <c r="M592" s="7">
        <v>2.6920269702771296E-3</v>
      </c>
      <c r="N592" s="7">
        <v>-2.0739229161565641E-2</v>
      </c>
      <c r="O592" s="7">
        <v>7.9015240430281408E-2</v>
      </c>
      <c r="P592" s="11">
        <f t="shared" si="38"/>
        <v>2.9275734059765774</v>
      </c>
    </row>
    <row r="593" spans="1:16" x14ac:dyDescent="0.25">
      <c r="A593" s="11">
        <v>5.81</v>
      </c>
      <c r="B593" s="7">
        <v>4.75</v>
      </c>
      <c r="C593" s="11">
        <v>2.714864453332381E-4</v>
      </c>
      <c r="D593" s="11">
        <v>-4.7335043520079041E-3</v>
      </c>
      <c r="E593" s="11">
        <v>2.7436787374047648E-2</v>
      </c>
      <c r="F593" s="11">
        <v>-2.5001577022774474E-2</v>
      </c>
      <c r="G593" s="3">
        <f t="shared" si="36"/>
        <v>2.7866231464018745E-2</v>
      </c>
      <c r="H593" s="11"/>
      <c r="I593" s="17">
        <f t="shared" si="39"/>
        <v>49002</v>
      </c>
      <c r="J593" s="18">
        <f t="shared" si="37"/>
        <v>7.953456536618754</v>
      </c>
      <c r="K593" s="7">
        <v>6.75</v>
      </c>
      <c r="L593" s="7">
        <v>-1.0944565390944813E-4</v>
      </c>
      <c r="M593" s="7">
        <v>2.6920269702771296E-3</v>
      </c>
      <c r="N593" s="7">
        <v>-2.0739229161565641E-2</v>
      </c>
      <c r="O593" s="7">
        <v>7.9015240430281408E-2</v>
      </c>
      <c r="P593" s="11">
        <f t="shared" si="38"/>
        <v>2.929369052801631</v>
      </c>
    </row>
    <row r="594" spans="1:16" x14ac:dyDescent="0.25">
      <c r="A594" s="11">
        <v>5.82</v>
      </c>
      <c r="B594" s="7">
        <v>4.75</v>
      </c>
      <c r="C594" s="11">
        <v>2.714864453332381E-4</v>
      </c>
      <c r="D594" s="11">
        <v>-4.7335043520079041E-3</v>
      </c>
      <c r="E594" s="11">
        <v>2.7436787374047648E-2</v>
      </c>
      <c r="F594" s="11">
        <v>-2.5001577022774474E-2</v>
      </c>
      <c r="G594" s="3">
        <f t="shared" si="36"/>
        <v>2.7865495961900758E-2</v>
      </c>
      <c r="H594" s="11"/>
      <c r="I594" s="17">
        <f t="shared" si="39"/>
        <v>49007</v>
      </c>
      <c r="J594" s="18">
        <f t="shared" si="37"/>
        <v>7.9671457905544152</v>
      </c>
      <c r="K594" s="7">
        <v>6.75</v>
      </c>
      <c r="L594" s="7">
        <v>-1.0944565390944813E-4</v>
      </c>
      <c r="M594" s="7">
        <v>2.6920269702771296E-3</v>
      </c>
      <c r="N594" s="7">
        <v>-2.0739229161565641E-2</v>
      </c>
      <c r="O594" s="7">
        <v>7.9015240430281408E-2</v>
      </c>
      <c r="P594" s="11">
        <f t="shared" si="38"/>
        <v>2.9311677209402518</v>
      </c>
    </row>
    <row r="595" spans="1:16" x14ac:dyDescent="0.25">
      <c r="A595" s="11">
        <v>5.83</v>
      </c>
      <c r="B595" s="7">
        <v>4.75</v>
      </c>
      <c r="C595" s="11">
        <v>2.714864453332381E-4</v>
      </c>
      <c r="D595" s="11">
        <v>-4.7335043520079041E-3</v>
      </c>
      <c r="E595" s="11">
        <v>2.7436787374047648E-2</v>
      </c>
      <c r="F595" s="11">
        <v>-2.5001577022774474E-2</v>
      </c>
      <c r="G595" s="3">
        <f t="shared" si="36"/>
        <v>2.7864761789579473E-2</v>
      </c>
      <c r="H595" s="11"/>
      <c r="I595" s="17">
        <f t="shared" si="39"/>
        <v>49012</v>
      </c>
      <c r="J595" s="18">
        <f t="shared" si="37"/>
        <v>7.9808350444900755</v>
      </c>
      <c r="K595" s="7">
        <v>6.75</v>
      </c>
      <c r="L595" s="7">
        <v>-1.0944565390944813E-4</v>
      </c>
      <c r="M595" s="7">
        <v>2.6920269702771296E-3</v>
      </c>
      <c r="N595" s="7">
        <v>-2.0739229161565641E-2</v>
      </c>
      <c r="O595" s="7">
        <v>7.9015240430281408E-2</v>
      </c>
      <c r="P595" s="11">
        <f t="shared" si="38"/>
        <v>2.9329692419354236</v>
      </c>
    </row>
    <row r="596" spans="1:16" x14ac:dyDescent="0.25">
      <c r="A596" s="11">
        <v>5.84</v>
      </c>
      <c r="B596" s="7">
        <v>4.75</v>
      </c>
      <c r="C596" s="11">
        <v>2.714864453332381E-4</v>
      </c>
      <c r="D596" s="11">
        <v>-4.7335043520079041E-3</v>
      </c>
      <c r="E596" s="11">
        <v>2.7436787374047648E-2</v>
      </c>
      <c r="F596" s="11">
        <v>-2.5001577022774474E-2</v>
      </c>
      <c r="G596" s="3">
        <f t="shared" si="36"/>
        <v>2.7864030575973572E-2</v>
      </c>
      <c r="H596" s="11"/>
      <c r="I596" s="17">
        <f t="shared" si="39"/>
        <v>49017</v>
      </c>
      <c r="J596" s="18">
        <f t="shared" si="37"/>
        <v>7.9945242984257359</v>
      </c>
      <c r="K596" s="7">
        <v>6.75</v>
      </c>
      <c r="L596" s="7">
        <v>-1.0944565390944813E-4</v>
      </c>
      <c r="M596" s="7">
        <v>2.6920269702771296E-3</v>
      </c>
      <c r="N596" s="7">
        <v>-2.0739229161565641E-2</v>
      </c>
      <c r="O596" s="7">
        <v>7.9015240430281408E-2</v>
      </c>
      <c r="P596" s="11">
        <f t="shared" si="38"/>
        <v>2.9347734473301341</v>
      </c>
    </row>
    <row r="597" spans="1:16" x14ac:dyDescent="0.25">
      <c r="A597" s="11">
        <v>5.85</v>
      </c>
      <c r="B597" s="7">
        <v>4.75</v>
      </c>
      <c r="C597" s="11">
        <v>2.714864453332381E-4</v>
      </c>
      <c r="D597" s="11">
        <v>-4.7335043520079041E-3</v>
      </c>
      <c r="E597" s="11">
        <v>2.7436787374047648E-2</v>
      </c>
      <c r="F597" s="11">
        <v>-2.5001577022774474E-2</v>
      </c>
      <c r="G597" s="3">
        <f t="shared" si="36"/>
        <v>2.7863303950001694E-2</v>
      </c>
      <c r="H597" s="11"/>
      <c r="I597" s="17">
        <f t="shared" si="39"/>
        <v>49022</v>
      </c>
      <c r="J597" s="18">
        <f t="shared" si="37"/>
        <v>8.0082135523613971</v>
      </c>
      <c r="K597" s="7">
        <v>6.75</v>
      </c>
      <c r="L597" s="7">
        <v>-1.0944565390944813E-4</v>
      </c>
      <c r="M597" s="7">
        <v>2.6920269702771296E-3</v>
      </c>
      <c r="N597" s="7">
        <v>-2.0739229161565641E-2</v>
      </c>
      <c r="O597" s="7">
        <v>7.9015240430281408E-2</v>
      </c>
      <c r="P597" s="11">
        <f t="shared" si="38"/>
        <v>2.9365801686673576</v>
      </c>
    </row>
    <row r="598" spans="1:16" x14ac:dyDescent="0.25">
      <c r="A598" s="11">
        <v>5.86</v>
      </c>
      <c r="B598" s="7">
        <v>4.75</v>
      </c>
      <c r="C598" s="11">
        <v>2.714864453332381E-4</v>
      </c>
      <c r="D598" s="11">
        <v>-4.7335043520079041E-3</v>
      </c>
      <c r="E598" s="11">
        <v>2.7436787374047648E-2</v>
      </c>
      <c r="F598" s="11">
        <v>-2.5001577022774474E-2</v>
      </c>
      <c r="G598" s="3">
        <f t="shared" si="36"/>
        <v>2.7862583540582575E-2</v>
      </c>
      <c r="H598" s="11"/>
      <c r="I598" s="17">
        <f t="shared" si="39"/>
        <v>49027</v>
      </c>
      <c r="J598" s="18">
        <f t="shared" si="37"/>
        <v>8.0219028062970565</v>
      </c>
      <c r="K598" s="7">
        <v>6.75</v>
      </c>
      <c r="L598" s="7">
        <v>-1.0944565390944813E-4</v>
      </c>
      <c r="M598" s="7">
        <v>2.6920269702771296E-3</v>
      </c>
      <c r="N598" s="7">
        <v>-2.0739229161565641E-2</v>
      </c>
      <c r="O598" s="7">
        <v>7.9015240430281408E-2</v>
      </c>
      <c r="P598" s="11">
        <f t="shared" si="38"/>
        <v>2.9383892374900746</v>
      </c>
    </row>
    <row r="599" spans="1:16" x14ac:dyDescent="0.25">
      <c r="A599" s="11">
        <v>5.87</v>
      </c>
      <c r="B599" s="7">
        <v>4.75</v>
      </c>
      <c r="C599" s="11">
        <v>2.714864453332381E-4</v>
      </c>
      <c r="D599" s="11">
        <v>-4.7335043520079041E-3</v>
      </c>
      <c r="E599" s="11">
        <v>2.7436787374047648E-2</v>
      </c>
      <c r="F599" s="11">
        <v>-2.5001577022774474E-2</v>
      </c>
      <c r="G599" s="3">
        <f t="shared" si="36"/>
        <v>2.7861870976634784E-2</v>
      </c>
      <c r="H599" s="11"/>
      <c r="I599" s="17">
        <f t="shared" si="39"/>
        <v>49032</v>
      </c>
      <c r="J599" s="18">
        <f t="shared" si="37"/>
        <v>8.0355920602327178</v>
      </c>
      <c r="K599" s="7">
        <v>6.75</v>
      </c>
      <c r="L599" s="7">
        <v>-1.0944565390944813E-4</v>
      </c>
      <c r="M599" s="7">
        <v>2.6920269702771296E-3</v>
      </c>
      <c r="N599" s="7">
        <v>-2.0739229161565641E-2</v>
      </c>
      <c r="O599" s="7">
        <v>7.9015240430281408E-2</v>
      </c>
      <c r="P599" s="11">
        <f t="shared" si="38"/>
        <v>2.9402004853412738</v>
      </c>
    </row>
    <row r="600" spans="1:16" x14ac:dyDescent="0.25">
      <c r="A600" s="11">
        <v>5.88</v>
      </c>
      <c r="B600" s="7">
        <v>4.75</v>
      </c>
      <c r="C600" s="11">
        <v>2.714864453332381E-4</v>
      </c>
      <c r="D600" s="11">
        <v>-4.7335043520079041E-3</v>
      </c>
      <c r="E600" s="11">
        <v>2.7436787374047648E-2</v>
      </c>
      <c r="F600" s="11">
        <v>-2.5001577022774474E-2</v>
      </c>
      <c r="G600" s="3">
        <f t="shared" si="36"/>
        <v>2.7861167887077126E-2</v>
      </c>
      <c r="H600" s="11"/>
      <c r="I600" s="17">
        <f t="shared" si="39"/>
        <v>49037</v>
      </c>
      <c r="J600" s="18">
        <f t="shared" si="37"/>
        <v>8.0492813141683772</v>
      </c>
      <c r="K600" s="7">
        <v>6.75</v>
      </c>
      <c r="L600" s="7">
        <v>-1.0944565390944813E-4</v>
      </c>
      <c r="M600" s="7">
        <v>2.6920269702771296E-3</v>
      </c>
      <c r="N600" s="7">
        <v>-2.0739229161565641E-2</v>
      </c>
      <c r="O600" s="7">
        <v>7.9015240430281408E-2</v>
      </c>
      <c r="P600" s="11">
        <f t="shared" si="38"/>
        <v>2.9420137437639311</v>
      </c>
    </row>
    <row r="601" spans="1:16" x14ac:dyDescent="0.25">
      <c r="A601" s="11">
        <v>5.89</v>
      </c>
      <c r="B601" s="7">
        <v>4.75</v>
      </c>
      <c r="C601" s="11">
        <v>2.714864453332381E-4</v>
      </c>
      <c r="D601" s="11">
        <v>-4.7335043520079041E-3</v>
      </c>
      <c r="E601" s="11">
        <v>2.7436787374047648E-2</v>
      </c>
      <c r="F601" s="11">
        <v>-2.5001577022774474E-2</v>
      </c>
      <c r="G601" s="3">
        <f t="shared" si="36"/>
        <v>2.7860475900828158E-2</v>
      </c>
      <c r="H601" s="11"/>
      <c r="I601" s="17">
        <f t="shared" si="39"/>
        <v>49042</v>
      </c>
      <c r="J601" s="18">
        <f t="shared" si="37"/>
        <v>8.0629705681040384</v>
      </c>
      <c r="K601" s="7">
        <v>6.75</v>
      </c>
      <c r="L601" s="7">
        <v>-1.0944565390944813E-4</v>
      </c>
      <c r="M601" s="7">
        <v>2.6920269702771296E-3</v>
      </c>
      <c r="N601" s="7">
        <v>-2.0739229161565641E-2</v>
      </c>
      <c r="O601" s="7">
        <v>7.9015240430281408E-2</v>
      </c>
      <c r="P601" s="11">
        <f t="shared" si="38"/>
        <v>2.9438288443010303</v>
      </c>
    </row>
    <row r="602" spans="1:16" x14ac:dyDescent="0.25">
      <c r="A602" s="11">
        <v>5.9</v>
      </c>
      <c r="B602" s="7">
        <v>4.75</v>
      </c>
      <c r="C602" s="11">
        <v>2.714864453332381E-4</v>
      </c>
      <c r="D602" s="11">
        <v>-4.7335043520079041E-3</v>
      </c>
      <c r="E602" s="11">
        <v>2.7436787374047648E-2</v>
      </c>
      <c r="F602" s="11">
        <v>-2.5001577022774474E-2</v>
      </c>
      <c r="G602" s="3">
        <f t="shared" si="36"/>
        <v>2.7859796646806601E-2</v>
      </c>
      <c r="H602" s="11"/>
      <c r="I602" s="17">
        <f t="shared" si="39"/>
        <v>49047</v>
      </c>
      <c r="J602" s="18">
        <f t="shared" si="37"/>
        <v>8.0766598220396997</v>
      </c>
      <c r="K602" s="7">
        <v>6.75</v>
      </c>
      <c r="L602" s="7">
        <v>-1.0944565390944813E-4</v>
      </c>
      <c r="M602" s="7">
        <v>2.6920269702771296E-3</v>
      </c>
      <c r="N602" s="7">
        <v>-2.0739229161565641E-2</v>
      </c>
      <c r="O602" s="7">
        <v>7.9015240430281408E-2</v>
      </c>
      <c r="P602" s="11">
        <f t="shared" si="38"/>
        <v>2.9456456184955502</v>
      </c>
    </row>
    <row r="603" spans="1:16" x14ac:dyDescent="0.25">
      <c r="A603" s="11">
        <v>5.91</v>
      </c>
      <c r="B603" s="7">
        <v>4.75</v>
      </c>
      <c r="C603" s="11">
        <v>2.714864453332381E-4</v>
      </c>
      <c r="D603" s="11">
        <v>-4.7335043520079041E-3</v>
      </c>
      <c r="E603" s="11">
        <v>2.7436787374047648E-2</v>
      </c>
      <c r="F603" s="11">
        <v>-2.5001577022774474E-2</v>
      </c>
      <c r="G603" s="3">
        <f t="shared" si="36"/>
        <v>2.7859131753931149E-2</v>
      </c>
      <c r="H603" s="11"/>
      <c r="I603" s="17">
        <f t="shared" si="39"/>
        <v>49052</v>
      </c>
      <c r="J603" s="18">
        <f t="shared" si="37"/>
        <v>8.0903490759753591</v>
      </c>
      <c r="K603" s="7">
        <v>6.75</v>
      </c>
      <c r="L603" s="7">
        <v>-1.0944565390944813E-4</v>
      </c>
      <c r="M603" s="7">
        <v>2.6920269702771296E-3</v>
      </c>
      <c r="N603" s="7">
        <v>-2.0739229161565641E-2</v>
      </c>
      <c r="O603" s="7">
        <v>7.9015240430281408E-2</v>
      </c>
      <c r="P603" s="11">
        <f t="shared" si="38"/>
        <v>2.9474638978904761</v>
      </c>
    </row>
    <row r="604" spans="1:16" x14ac:dyDescent="0.25">
      <c r="A604" s="11">
        <v>5.92</v>
      </c>
      <c r="B604" s="7">
        <v>4.75</v>
      </c>
      <c r="C604" s="11">
        <v>2.714864453332381E-4</v>
      </c>
      <c r="D604" s="11">
        <v>-4.7335043520079041E-3</v>
      </c>
      <c r="E604" s="11">
        <v>2.7436787374047648E-2</v>
      </c>
      <c r="F604" s="11">
        <v>-2.5001577022774474E-2</v>
      </c>
      <c r="G604" s="3">
        <f t="shared" si="36"/>
        <v>2.7858482851120414E-2</v>
      </c>
      <c r="H604" s="11"/>
      <c r="I604" s="17">
        <f t="shared" si="39"/>
        <v>49057</v>
      </c>
      <c r="J604" s="18">
        <f t="shared" si="37"/>
        <v>8.1040383299110204</v>
      </c>
      <c r="K604" s="7">
        <v>6.75</v>
      </c>
      <c r="L604" s="7">
        <v>-1.0944565390944813E-4</v>
      </c>
      <c r="M604" s="7">
        <v>2.6920269702771296E-3</v>
      </c>
      <c r="N604" s="7">
        <v>-2.0739229161565641E-2</v>
      </c>
      <c r="O604" s="7">
        <v>7.9015240430281408E-2</v>
      </c>
      <c r="P604" s="11">
        <f t="shared" si="38"/>
        <v>2.9492835140287834</v>
      </c>
    </row>
    <row r="605" spans="1:16" x14ac:dyDescent="0.25">
      <c r="A605" s="11">
        <v>5.93</v>
      </c>
      <c r="B605" s="7">
        <v>4.75</v>
      </c>
      <c r="C605" s="11">
        <v>2.714864453332381E-4</v>
      </c>
      <c r="D605" s="11">
        <v>-4.7335043520079041E-3</v>
      </c>
      <c r="E605" s="11">
        <v>2.7436787374047648E-2</v>
      </c>
      <c r="F605" s="11">
        <v>-2.5001577022774474E-2</v>
      </c>
      <c r="G605" s="3">
        <f t="shared" si="36"/>
        <v>2.7857851567293118E-2</v>
      </c>
      <c r="H605" s="11"/>
      <c r="I605" s="17">
        <f t="shared" si="39"/>
        <v>49062</v>
      </c>
      <c r="J605" s="18">
        <f t="shared" si="37"/>
        <v>8.1177275838466798</v>
      </c>
      <c r="K605" s="7">
        <v>6.75</v>
      </c>
      <c r="L605" s="7">
        <v>-1.0944565390944813E-4</v>
      </c>
      <c r="M605" s="7">
        <v>2.6920269702771296E-3</v>
      </c>
      <c r="N605" s="7">
        <v>-2.0739229161565641E-2</v>
      </c>
      <c r="O605" s="7">
        <v>7.9015240430281408E-2</v>
      </c>
      <c r="P605" s="11">
        <f t="shared" si="38"/>
        <v>2.9511042984534623</v>
      </c>
    </row>
    <row r="606" spans="1:16" x14ac:dyDescent="0.25">
      <c r="A606" s="11">
        <v>5.94</v>
      </c>
      <c r="B606" s="7">
        <v>4.75</v>
      </c>
      <c r="C606" s="11">
        <v>2.714864453332381E-4</v>
      </c>
      <c r="D606" s="11">
        <v>-4.7335043520079041E-3</v>
      </c>
      <c r="E606" s="11">
        <v>2.7436787374047648E-2</v>
      </c>
      <c r="F606" s="11">
        <v>-2.5001577022774474E-2</v>
      </c>
      <c r="G606" s="3">
        <f t="shared" si="36"/>
        <v>2.7857239531367914E-2</v>
      </c>
      <c r="H606" s="11"/>
      <c r="I606" s="17">
        <f t="shared" si="39"/>
        <v>49067</v>
      </c>
      <c r="J606" s="18">
        <f t="shared" si="37"/>
        <v>8.131416837782341</v>
      </c>
      <c r="K606" s="7">
        <v>6.75</v>
      </c>
      <c r="L606" s="7">
        <v>-1.0944565390944813E-4</v>
      </c>
      <c r="M606" s="7">
        <v>2.6920269702771296E-3</v>
      </c>
      <c r="N606" s="7">
        <v>-2.0739229161565641E-2</v>
      </c>
      <c r="O606" s="7">
        <v>7.9015240430281408E-2</v>
      </c>
      <c r="P606" s="11">
        <f t="shared" si="38"/>
        <v>2.9529260827074912</v>
      </c>
    </row>
    <row r="607" spans="1:16" x14ac:dyDescent="0.25">
      <c r="A607" s="11">
        <v>5.95</v>
      </c>
      <c r="B607" s="7">
        <v>4.75</v>
      </c>
      <c r="C607" s="11">
        <v>2.714864453332381E-4</v>
      </c>
      <c r="D607" s="11">
        <v>-4.7335043520079041E-3</v>
      </c>
      <c r="E607" s="11">
        <v>2.7436787374047648E-2</v>
      </c>
      <c r="F607" s="11">
        <v>-2.5001577022774474E-2</v>
      </c>
      <c r="G607" s="3">
        <f t="shared" si="36"/>
        <v>2.7856648372263468E-2</v>
      </c>
      <c r="H607" s="11"/>
      <c r="I607" s="17">
        <f t="shared" si="39"/>
        <v>49072</v>
      </c>
      <c r="J607" s="18">
        <f t="shared" si="37"/>
        <v>8.1451060917180005</v>
      </c>
      <c r="K607" s="7">
        <v>6.75</v>
      </c>
      <c r="L607" s="7">
        <v>-1.0944565390944813E-4</v>
      </c>
      <c r="M607" s="7">
        <v>2.6920269702771296E-3</v>
      </c>
      <c r="N607" s="7">
        <v>-2.0739229161565641E-2</v>
      </c>
      <c r="O607" s="7">
        <v>7.9015240430281408E-2</v>
      </c>
      <c r="P607" s="11">
        <f t="shared" si="38"/>
        <v>2.9547486983338449</v>
      </c>
    </row>
    <row r="608" spans="1:16" x14ac:dyDescent="0.25">
      <c r="A608" s="11">
        <v>5.96</v>
      </c>
      <c r="B608" s="7">
        <v>4.75</v>
      </c>
      <c r="C608" s="11">
        <v>2.714864453332381E-4</v>
      </c>
      <c r="D608" s="11">
        <v>-4.7335043520079041E-3</v>
      </c>
      <c r="E608" s="11">
        <v>2.7436787374047648E-2</v>
      </c>
      <c r="F608" s="11">
        <v>-2.5001577022774474E-2</v>
      </c>
      <c r="G608" s="3">
        <f t="shared" si="36"/>
        <v>2.7856079718898474E-2</v>
      </c>
      <c r="H608" s="11"/>
      <c r="I608" s="17">
        <f t="shared" si="39"/>
        <v>49077</v>
      </c>
      <c r="J608" s="18">
        <f t="shared" si="37"/>
        <v>8.1587953456536617</v>
      </c>
      <c r="K608" s="7">
        <v>6.75</v>
      </c>
      <c r="L608" s="7">
        <v>-1.0944565390944813E-4</v>
      </c>
      <c r="M608" s="7">
        <v>2.6920269702771296E-3</v>
      </c>
      <c r="N608" s="7">
        <v>-2.0739229161565641E-2</v>
      </c>
      <c r="O608" s="7">
        <v>7.9015240430281408E-2</v>
      </c>
      <c r="P608" s="11">
        <f t="shared" si="38"/>
        <v>2.9565719768755105</v>
      </c>
    </row>
    <row r="609" spans="1:16" x14ac:dyDescent="0.25">
      <c r="A609" s="11">
        <v>5.97</v>
      </c>
      <c r="B609" s="7">
        <v>4.75</v>
      </c>
      <c r="C609" s="11">
        <v>2.714864453332381E-4</v>
      </c>
      <c r="D609" s="11">
        <v>-4.7335043520079041E-3</v>
      </c>
      <c r="E609" s="11">
        <v>2.7436787374047648E-2</v>
      </c>
      <c r="F609" s="11">
        <v>-2.5001577022774474E-2</v>
      </c>
      <c r="G609" s="3">
        <f t="shared" si="36"/>
        <v>2.7855535200191572E-2</v>
      </c>
      <c r="H609" s="11"/>
      <c r="I609" s="17">
        <f t="shared" si="39"/>
        <v>49082</v>
      </c>
      <c r="J609" s="18">
        <f t="shared" si="37"/>
        <v>8.1724845995893229</v>
      </c>
      <c r="K609" s="7">
        <v>6.75</v>
      </c>
      <c r="L609" s="7">
        <v>-1.0944565390944813E-4</v>
      </c>
      <c r="M609" s="7">
        <v>2.6920269702771296E-3</v>
      </c>
      <c r="N609" s="7">
        <v>-2.0739229161565641E-2</v>
      </c>
      <c r="O609" s="7">
        <v>7.9015240430281408E-2</v>
      </c>
      <c r="P609" s="11">
        <f t="shared" si="38"/>
        <v>2.9583957498754727</v>
      </c>
    </row>
    <row r="610" spans="1:16" x14ac:dyDescent="0.25">
      <c r="A610" s="11">
        <v>5.98</v>
      </c>
      <c r="B610" s="7">
        <v>4.75</v>
      </c>
      <c r="C610" s="11">
        <v>2.714864453332381E-4</v>
      </c>
      <c r="D610" s="11">
        <v>-4.7335043520079041E-3</v>
      </c>
      <c r="E610" s="11">
        <v>2.7436787374047648E-2</v>
      </c>
      <c r="F610" s="11">
        <v>-2.5001577022774474E-2</v>
      </c>
      <c r="G610" s="3">
        <f t="shared" si="36"/>
        <v>2.7855016445061456E-2</v>
      </c>
      <c r="H610" s="11"/>
      <c r="I610" s="17">
        <f t="shared" si="39"/>
        <v>49087</v>
      </c>
      <c r="J610" s="18">
        <f t="shared" si="37"/>
        <v>8.1861738535249824</v>
      </c>
      <c r="K610" s="7">
        <v>6.75</v>
      </c>
      <c r="L610" s="7">
        <v>-1.0944565390944813E-4</v>
      </c>
      <c r="M610" s="7">
        <v>2.6920269702771296E-3</v>
      </c>
      <c r="N610" s="7">
        <v>-2.0739229161565641E-2</v>
      </c>
      <c r="O610" s="7">
        <v>7.9015240430281408E-2</v>
      </c>
      <c r="P610" s="11">
        <f t="shared" si="38"/>
        <v>2.9602198488767053</v>
      </c>
    </row>
    <row r="611" spans="1:16" x14ac:dyDescent="0.25">
      <c r="A611" s="11">
        <v>5.99</v>
      </c>
      <c r="B611" s="7">
        <v>4.75</v>
      </c>
      <c r="C611" s="11">
        <v>2.714864453332381E-4</v>
      </c>
      <c r="D611" s="11">
        <v>-4.7335043520079041E-3</v>
      </c>
      <c r="E611" s="11">
        <v>2.7436787374047648E-2</v>
      </c>
      <c r="F611" s="11">
        <v>-2.5001577022774474E-2</v>
      </c>
      <c r="G611" s="3">
        <f t="shared" si="36"/>
        <v>2.7854525082426834E-2</v>
      </c>
      <c r="H611" s="11"/>
      <c r="I611" s="17">
        <f t="shared" si="39"/>
        <v>49092</v>
      </c>
      <c r="J611" s="18">
        <f t="shared" si="37"/>
        <v>8.1998631074606436</v>
      </c>
      <c r="K611" s="7">
        <v>6.75</v>
      </c>
      <c r="L611" s="7">
        <v>-1.0944565390944813E-4</v>
      </c>
      <c r="M611" s="7">
        <v>2.6920269702771296E-3</v>
      </c>
      <c r="N611" s="7">
        <v>-2.0739229161565641E-2</v>
      </c>
      <c r="O611" s="7">
        <v>7.9015240430281408E-2</v>
      </c>
      <c r="P611" s="11">
        <f t="shared" si="38"/>
        <v>2.9620441054221973</v>
      </c>
    </row>
    <row r="612" spans="1:16" x14ac:dyDescent="0.25">
      <c r="A612" s="11">
        <v>6</v>
      </c>
      <c r="B612" s="7">
        <v>4.75</v>
      </c>
      <c r="C612" s="11">
        <v>2.714864453332381E-4</v>
      </c>
      <c r="D612" s="11">
        <v>-4.7335043520079041E-3</v>
      </c>
      <c r="E612" s="11">
        <v>2.7436787374047648E-2</v>
      </c>
      <c r="F612" s="11">
        <v>-2.5001577022774474E-2</v>
      </c>
      <c r="G612" s="3">
        <f t="shared" si="36"/>
        <v>2.7854062741206304E-2</v>
      </c>
      <c r="H612" s="11"/>
      <c r="I612" s="17">
        <f t="shared" si="39"/>
        <v>49097</v>
      </c>
      <c r="J612" s="18">
        <f t="shared" si="37"/>
        <v>8.2135523613963031</v>
      </c>
      <c r="K612" s="7">
        <v>6.75</v>
      </c>
      <c r="L612" s="7">
        <v>-1.0944565390944813E-4</v>
      </c>
      <c r="M612" s="7">
        <v>2.6920269702771296E-3</v>
      </c>
      <c r="N612" s="7">
        <v>-2.0739229161565641E-2</v>
      </c>
      <c r="O612" s="7">
        <v>7.9015240430281408E-2</v>
      </c>
      <c r="P612" s="11">
        <f t="shared" si="38"/>
        <v>2.963868351054924</v>
      </c>
    </row>
    <row r="613" spans="1:16" x14ac:dyDescent="0.25">
      <c r="A613" s="11">
        <v>6.01</v>
      </c>
      <c r="B613" s="7">
        <v>4.75</v>
      </c>
      <c r="C613" s="11">
        <v>2.714864453332381E-4</v>
      </c>
      <c r="D613" s="11">
        <v>-4.7335043520079041E-3</v>
      </c>
      <c r="E613" s="11">
        <v>2.7436787374047648E-2</v>
      </c>
      <c r="F613" s="11">
        <v>-2.5001577022774474E-2</v>
      </c>
      <c r="G613" s="3">
        <f t="shared" si="36"/>
        <v>2.7853631050318559E-2</v>
      </c>
      <c r="H613" s="11"/>
      <c r="I613" s="17">
        <f t="shared" si="39"/>
        <v>49102</v>
      </c>
      <c r="J613" s="18">
        <f t="shared" si="37"/>
        <v>8.2272416153319643</v>
      </c>
      <c r="K613" s="7">
        <v>6.75</v>
      </c>
      <c r="L613" s="7">
        <v>-1.0944565390944813E-4</v>
      </c>
      <c r="M613" s="7">
        <v>2.6920269702771296E-3</v>
      </c>
      <c r="N613" s="7">
        <v>-2.0739229161565641E-2</v>
      </c>
      <c r="O613" s="7">
        <v>7.9015240430281408E-2</v>
      </c>
      <c r="P613" s="11">
        <f t="shared" si="38"/>
        <v>2.9656924173178694</v>
      </c>
    </row>
    <row r="614" spans="1:16" x14ac:dyDescent="0.25">
      <c r="A614" s="11">
        <v>6.02</v>
      </c>
      <c r="B614" s="7">
        <v>4.75</v>
      </c>
      <c r="C614" s="11">
        <v>2.714864453332381E-4</v>
      </c>
      <c r="D614" s="11">
        <v>-4.7335043520079041E-3</v>
      </c>
      <c r="E614" s="11">
        <v>2.7436787374047648E-2</v>
      </c>
      <c r="F614" s="11">
        <v>-2.5001577022774474E-2</v>
      </c>
      <c r="G614" s="3">
        <f t="shared" si="36"/>
        <v>2.7853231638682308E-2</v>
      </c>
      <c r="H614" s="11"/>
      <c r="I614" s="17">
        <f t="shared" si="39"/>
        <v>49107</v>
      </c>
      <c r="J614" s="18">
        <f t="shared" si="37"/>
        <v>8.2409308692676255</v>
      </c>
      <c r="K614" s="7">
        <v>6.75</v>
      </c>
      <c r="L614" s="7">
        <v>-1.0944565390944813E-4</v>
      </c>
      <c r="M614" s="7">
        <v>2.6920269702771296E-3</v>
      </c>
      <c r="N614" s="7">
        <v>-2.0739229161565641E-2</v>
      </c>
      <c r="O614" s="7">
        <v>7.9015240430281408E-2</v>
      </c>
      <c r="P614" s="11">
        <f t="shared" si="38"/>
        <v>2.9675161357540154</v>
      </c>
    </row>
    <row r="615" spans="1:16" x14ac:dyDescent="0.25">
      <c r="A615" s="11">
        <v>6.03</v>
      </c>
      <c r="B615" s="7">
        <v>4.75</v>
      </c>
      <c r="C615" s="11">
        <v>2.714864453332381E-4</v>
      </c>
      <c r="D615" s="11">
        <v>-4.7335043520079041E-3</v>
      </c>
      <c r="E615" s="11">
        <v>2.7436787374047648E-2</v>
      </c>
      <c r="F615" s="11">
        <v>-2.5001577022774474E-2</v>
      </c>
      <c r="G615" s="3">
        <f t="shared" si="36"/>
        <v>2.7852866135216189E-2</v>
      </c>
      <c r="H615" s="11"/>
      <c r="I615" s="17">
        <f t="shared" si="39"/>
        <v>49112</v>
      </c>
      <c r="J615" s="18">
        <f t="shared" si="37"/>
        <v>8.254620123203285</v>
      </c>
      <c r="K615" s="7">
        <v>6.75</v>
      </c>
      <c r="L615" s="7">
        <v>-1.0944565390944813E-4</v>
      </c>
      <c r="M615" s="7">
        <v>2.6920269702771296E-3</v>
      </c>
      <c r="N615" s="7">
        <v>-2.0739229161565641E-2</v>
      </c>
      <c r="O615" s="7">
        <v>7.9015240430281408E-2</v>
      </c>
      <c r="P615" s="11">
        <f t="shared" si="38"/>
        <v>2.9693393379063475</v>
      </c>
    </row>
    <row r="616" spans="1:16" x14ac:dyDescent="0.25">
      <c r="A616" s="11">
        <v>6.04</v>
      </c>
      <c r="B616" s="7">
        <v>4.75</v>
      </c>
      <c r="C616" s="11">
        <v>2.714864453332381E-4</v>
      </c>
      <c r="D616" s="11">
        <v>-4.7335043520079041E-3</v>
      </c>
      <c r="E616" s="11">
        <v>2.7436787374047648E-2</v>
      </c>
      <c r="F616" s="11">
        <v>-2.5001577022774474E-2</v>
      </c>
      <c r="G616" s="3">
        <f t="shared" si="36"/>
        <v>2.7852536168838857E-2</v>
      </c>
      <c r="H616" s="11"/>
      <c r="I616" s="17">
        <f t="shared" si="39"/>
        <v>49117</v>
      </c>
      <c r="J616" s="18">
        <f t="shared" si="37"/>
        <v>8.2683093771389462</v>
      </c>
      <c r="K616" s="7">
        <v>6.75</v>
      </c>
      <c r="L616" s="7">
        <v>-1.0944565390944813E-4</v>
      </c>
      <c r="M616" s="7">
        <v>2.6920269702771296E-3</v>
      </c>
      <c r="N616" s="7">
        <v>-2.0739229161565641E-2</v>
      </c>
      <c r="O616" s="7">
        <v>7.9015240430281408E-2</v>
      </c>
      <c r="P616" s="11">
        <f t="shared" si="38"/>
        <v>2.9711618553178361</v>
      </c>
    </row>
    <row r="617" spans="1:16" x14ac:dyDescent="0.25">
      <c r="A617" s="11">
        <v>6.05</v>
      </c>
      <c r="B617" s="7">
        <v>4.75</v>
      </c>
      <c r="C617" s="11">
        <v>2.714864453332381E-4</v>
      </c>
      <c r="D617" s="11">
        <v>-4.7335043520079041E-3</v>
      </c>
      <c r="E617" s="11">
        <v>2.7436787374047648E-2</v>
      </c>
      <c r="F617" s="11">
        <v>-2.5001577022774474E-2</v>
      </c>
      <c r="G617" s="3">
        <f t="shared" si="36"/>
        <v>2.7852243368469032E-2</v>
      </c>
      <c r="H617" s="11"/>
      <c r="I617" s="17">
        <f t="shared" si="39"/>
        <v>49122</v>
      </c>
      <c r="J617" s="18">
        <f t="shared" si="37"/>
        <v>8.2819986310746057</v>
      </c>
      <c r="K617" s="7">
        <v>6.75</v>
      </c>
      <c r="L617" s="7">
        <v>-1.0944565390944813E-4</v>
      </c>
      <c r="M617" s="7">
        <v>2.6920269702771296E-3</v>
      </c>
      <c r="N617" s="7">
        <v>-2.0739229161565641E-2</v>
      </c>
      <c r="O617" s="7">
        <v>7.9015240430281408E-2</v>
      </c>
      <c r="P617" s="11">
        <f t="shared" si="38"/>
        <v>2.9729835195314718</v>
      </c>
    </row>
    <row r="618" spans="1:16" x14ac:dyDescent="0.25">
      <c r="A618" s="11">
        <v>6.06</v>
      </c>
      <c r="B618" s="7">
        <v>4.75</v>
      </c>
      <c r="C618" s="11">
        <v>2.714864453332381E-4</v>
      </c>
      <c r="D618" s="11">
        <v>-4.7335043520079041E-3</v>
      </c>
      <c r="E618" s="11">
        <v>2.7436787374047648E-2</v>
      </c>
      <c r="F618" s="11">
        <v>-2.5001577022774474E-2</v>
      </c>
      <c r="G618" s="3">
        <f t="shared" si="36"/>
        <v>2.7851989363025409E-2</v>
      </c>
      <c r="H618" s="11"/>
      <c r="I618" s="17">
        <f t="shared" si="39"/>
        <v>49127</v>
      </c>
      <c r="J618" s="18">
        <f t="shared" si="37"/>
        <v>8.2956878850102669</v>
      </c>
      <c r="K618" s="7">
        <v>6.75</v>
      </c>
      <c r="L618" s="7">
        <v>-1.0944565390944813E-4</v>
      </c>
      <c r="M618" s="7">
        <v>2.6920269702771296E-3</v>
      </c>
      <c r="N618" s="7">
        <v>-2.0739229161565641E-2</v>
      </c>
      <c r="O618" s="7">
        <v>7.9015240430281408E-2</v>
      </c>
      <c r="P618" s="11">
        <f t="shared" si="38"/>
        <v>2.9748041620902348</v>
      </c>
    </row>
    <row r="619" spans="1:16" x14ac:dyDescent="0.25">
      <c r="A619" s="11">
        <v>6.07</v>
      </c>
      <c r="B619" s="7">
        <v>4.75</v>
      </c>
      <c r="C619" s="11">
        <v>2.714864453332381E-4</v>
      </c>
      <c r="D619" s="11">
        <v>-4.7335043520079041E-3</v>
      </c>
      <c r="E619" s="11">
        <v>2.7436787374047648E-2</v>
      </c>
      <c r="F619" s="11">
        <v>-2.5001577022774474E-2</v>
      </c>
      <c r="G619" s="3">
        <f t="shared" si="36"/>
        <v>2.7851775781426585E-2</v>
      </c>
      <c r="H619" s="11"/>
      <c r="I619" s="17">
        <f t="shared" si="39"/>
        <v>49132</v>
      </c>
      <c r="J619" s="18">
        <f t="shared" si="37"/>
        <v>8.3093771389459281</v>
      </c>
      <c r="K619" s="7">
        <v>6.75</v>
      </c>
      <c r="L619" s="7">
        <v>-1.0944565390944813E-4</v>
      </c>
      <c r="M619" s="7">
        <v>2.6920269702771296E-3</v>
      </c>
      <c r="N619" s="7">
        <v>-2.0739229161565641E-2</v>
      </c>
      <c r="O619" s="7">
        <v>7.9015240430281408E-2</v>
      </c>
      <c r="P619" s="11">
        <f t="shared" si="38"/>
        <v>2.9766236145371048</v>
      </c>
    </row>
    <row r="620" spans="1:16" x14ac:dyDescent="0.25">
      <c r="A620" s="11">
        <v>6.08</v>
      </c>
      <c r="B620" s="7">
        <v>4.75</v>
      </c>
      <c r="C620" s="11">
        <v>2.714864453332381E-4</v>
      </c>
      <c r="D620" s="11">
        <v>-4.7335043520079041E-3</v>
      </c>
      <c r="E620" s="11">
        <v>2.7436787374047648E-2</v>
      </c>
      <c r="F620" s="11">
        <v>-2.5001577022774474E-2</v>
      </c>
      <c r="G620" s="3">
        <f t="shared" si="36"/>
        <v>2.7851604252591255E-2</v>
      </c>
      <c r="H620" s="11"/>
      <c r="I620" s="17">
        <f t="shared" si="39"/>
        <v>49137</v>
      </c>
      <c r="J620" s="18">
        <f t="shared" si="37"/>
        <v>8.3230663928815876</v>
      </c>
      <c r="K620" s="7">
        <v>6.75</v>
      </c>
      <c r="L620" s="7">
        <v>-1.0944565390944813E-4</v>
      </c>
      <c r="M620" s="7">
        <v>2.6920269702771296E-3</v>
      </c>
      <c r="N620" s="7">
        <v>-2.0739229161565641E-2</v>
      </c>
      <c r="O620" s="7">
        <v>7.9015240430281408E-2</v>
      </c>
      <c r="P620" s="11">
        <f t="shared" si="38"/>
        <v>2.9784417084150623</v>
      </c>
    </row>
    <row r="621" spans="1:16" x14ac:dyDescent="0.25">
      <c r="A621" s="11">
        <v>6.09</v>
      </c>
      <c r="B621" s="7">
        <v>4.75</v>
      </c>
      <c r="C621" s="11">
        <v>2.714864453332381E-4</v>
      </c>
      <c r="D621" s="11">
        <v>-4.7335043520079041E-3</v>
      </c>
      <c r="E621" s="11">
        <v>2.7436787374047648E-2</v>
      </c>
      <c r="F621" s="11">
        <v>-2.5001577022774474E-2</v>
      </c>
      <c r="G621" s="3">
        <f t="shared" si="36"/>
        <v>2.78514764054381E-2</v>
      </c>
      <c r="H621" s="11"/>
      <c r="I621" s="17">
        <f t="shared" si="39"/>
        <v>49142</v>
      </c>
      <c r="J621" s="18">
        <f t="shared" si="37"/>
        <v>8.3367556468172488</v>
      </c>
      <c r="K621" s="7">
        <v>6.75</v>
      </c>
      <c r="L621" s="7">
        <v>-1.0944565390944813E-4</v>
      </c>
      <c r="M621" s="7">
        <v>2.6920269702771296E-3</v>
      </c>
      <c r="N621" s="7">
        <v>-2.0739229161565641E-2</v>
      </c>
      <c r="O621" s="7">
        <v>7.9015240430281408E-2</v>
      </c>
      <c r="P621" s="11">
        <f t="shared" si="38"/>
        <v>2.9802582752670919</v>
      </c>
    </row>
    <row r="622" spans="1:16" x14ac:dyDescent="0.25">
      <c r="A622" s="11">
        <v>6.1</v>
      </c>
      <c r="B622" s="7">
        <v>4.75</v>
      </c>
      <c r="C622" s="11">
        <v>2.714864453332381E-4</v>
      </c>
      <c r="D622" s="11">
        <v>-4.7335043520079041E-3</v>
      </c>
      <c r="E622" s="11">
        <v>2.7436787374047648E-2</v>
      </c>
      <c r="F622" s="11">
        <v>-2.5001577022774474E-2</v>
      </c>
      <c r="G622" s="3">
        <f t="shared" si="36"/>
        <v>2.7851393868885799E-2</v>
      </c>
      <c r="H622" s="11"/>
      <c r="I622" s="17">
        <f t="shared" si="39"/>
        <v>49147</v>
      </c>
      <c r="J622" s="18">
        <f t="shared" si="37"/>
        <v>8.3504449007529082</v>
      </c>
      <c r="K622" s="7">
        <v>6.75</v>
      </c>
      <c r="L622" s="7">
        <v>-1.0944565390944813E-4</v>
      </c>
      <c r="M622" s="7">
        <v>2.6920269702771296E-3</v>
      </c>
      <c r="N622" s="7">
        <v>-2.0739229161565641E-2</v>
      </c>
      <c r="O622" s="7">
        <v>7.9015240430281408E-2</v>
      </c>
      <c r="P622" s="11">
        <f t="shared" si="38"/>
        <v>2.9820731466361745</v>
      </c>
    </row>
    <row r="623" spans="1:16" x14ac:dyDescent="0.25">
      <c r="A623" s="11">
        <v>6.11</v>
      </c>
      <c r="B623" s="7">
        <v>4.75</v>
      </c>
      <c r="C623" s="11">
        <v>2.714864453332381E-4</v>
      </c>
      <c r="D623" s="11">
        <v>-4.7335043520079041E-3</v>
      </c>
      <c r="E623" s="11">
        <v>2.7436787374047648E-2</v>
      </c>
      <c r="F623" s="11">
        <v>-2.5001577022774474E-2</v>
      </c>
      <c r="G623" s="3">
        <f t="shared" si="36"/>
        <v>2.7851358271852977E-2</v>
      </c>
      <c r="H623" s="11"/>
      <c r="I623" s="17">
        <f t="shared" si="39"/>
        <v>49152</v>
      </c>
      <c r="J623" s="18">
        <f t="shared" si="37"/>
        <v>8.3641341546885695</v>
      </c>
      <c r="K623" s="7">
        <v>6.75</v>
      </c>
      <c r="L623" s="7">
        <v>-1.0944565390944813E-4</v>
      </c>
      <c r="M623" s="7">
        <v>2.6920269702771296E-3</v>
      </c>
      <c r="N623" s="7">
        <v>-2.0739229161565641E-2</v>
      </c>
      <c r="O623" s="7">
        <v>7.9015240430281408E-2</v>
      </c>
      <c r="P623" s="11">
        <f t="shared" si="38"/>
        <v>2.983886154065289</v>
      </c>
    </row>
    <row r="624" spans="1:16" x14ac:dyDescent="0.25">
      <c r="A624" s="11">
        <v>6.12</v>
      </c>
      <c r="B624" s="7">
        <v>4.75</v>
      </c>
      <c r="C624" s="11">
        <v>2.714864453332381E-4</v>
      </c>
      <c r="D624" s="11">
        <v>-4.7335043520079041E-3</v>
      </c>
      <c r="E624" s="11">
        <v>2.7436787374047648E-2</v>
      </c>
      <c r="F624" s="11">
        <v>-2.5001577022774474E-2</v>
      </c>
      <c r="G624" s="3">
        <f t="shared" si="36"/>
        <v>2.7851371243258399E-2</v>
      </c>
      <c r="H624" s="11"/>
      <c r="I624" s="17">
        <f t="shared" si="39"/>
        <v>49157</v>
      </c>
      <c r="J624" s="18">
        <f t="shared" si="37"/>
        <v>8.3778234086242307</v>
      </c>
      <c r="K624" s="7">
        <v>6.75</v>
      </c>
      <c r="L624" s="7">
        <v>-1.0944565390944813E-4</v>
      </c>
      <c r="M624" s="7">
        <v>2.6920269702771296E-3</v>
      </c>
      <c r="N624" s="7">
        <v>-2.0739229161565641E-2</v>
      </c>
      <c r="O624" s="7">
        <v>7.9015240430281408E-2</v>
      </c>
      <c r="P624" s="11">
        <f t="shared" si="38"/>
        <v>2.9856971290974186</v>
      </c>
    </row>
    <row r="625" spans="1:16" x14ac:dyDescent="0.25">
      <c r="A625" s="11">
        <v>6.13</v>
      </c>
      <c r="B625" s="7">
        <v>4.75</v>
      </c>
      <c r="C625" s="11">
        <v>2.714864453332381E-4</v>
      </c>
      <c r="D625" s="11">
        <v>-4.7335043520079041E-3</v>
      </c>
      <c r="E625" s="11">
        <v>2.7436787374047648E-2</v>
      </c>
      <c r="F625" s="11">
        <v>-2.5001577022774474E-2</v>
      </c>
      <c r="G625" s="3">
        <f t="shared" si="36"/>
        <v>2.7851434412020648E-2</v>
      </c>
      <c r="H625" s="11"/>
      <c r="I625" s="17">
        <f t="shared" si="39"/>
        <v>49162</v>
      </c>
      <c r="J625" s="18">
        <f t="shared" si="37"/>
        <v>8.3915126625598901</v>
      </c>
      <c r="K625" s="7">
        <v>6.75</v>
      </c>
      <c r="L625" s="7">
        <v>-1.0944565390944813E-4</v>
      </c>
      <c r="M625" s="7">
        <v>2.6920269702771296E-3</v>
      </c>
      <c r="N625" s="7">
        <v>-2.0739229161565641E-2</v>
      </c>
      <c r="O625" s="7">
        <v>7.9015240430281408E-2</v>
      </c>
      <c r="P625" s="11">
        <f t="shared" si="38"/>
        <v>2.9875059032755447</v>
      </c>
    </row>
    <row r="626" spans="1:16" x14ac:dyDescent="0.25">
      <c r="A626" s="11">
        <v>6.14</v>
      </c>
      <c r="B626" s="7">
        <v>4.75</v>
      </c>
      <c r="C626" s="11">
        <v>2.714864453332381E-4</v>
      </c>
      <c r="D626" s="11">
        <v>-4.7335043520079041E-3</v>
      </c>
      <c r="E626" s="11">
        <v>2.7436787374047648E-2</v>
      </c>
      <c r="F626" s="11">
        <v>-2.5001577022774474E-2</v>
      </c>
      <c r="G626" s="3">
        <f t="shared" si="36"/>
        <v>2.7851549407058432E-2</v>
      </c>
      <c r="H626" s="11"/>
      <c r="I626" s="17">
        <f t="shared" si="39"/>
        <v>49167</v>
      </c>
      <c r="J626" s="18">
        <f t="shared" si="37"/>
        <v>8.4052019164955514</v>
      </c>
      <c r="K626" s="7">
        <v>6.75</v>
      </c>
      <c r="L626" s="7">
        <v>-1.0944565390944813E-4</v>
      </c>
      <c r="M626" s="7">
        <v>2.6920269702771296E-3</v>
      </c>
      <c r="N626" s="7">
        <v>-2.0739229161565641E-2</v>
      </c>
      <c r="O626" s="7">
        <v>7.9015240430281408E-2</v>
      </c>
      <c r="P626" s="11">
        <f t="shared" si="38"/>
        <v>2.98931230814265</v>
      </c>
    </row>
    <row r="627" spans="1:16" x14ac:dyDescent="0.25">
      <c r="A627" s="11">
        <v>6.15</v>
      </c>
      <c r="B627" s="7">
        <v>4.75</v>
      </c>
      <c r="C627" s="11">
        <v>2.714864453332381E-4</v>
      </c>
      <c r="D627" s="11">
        <v>-4.7335043520079041E-3</v>
      </c>
      <c r="E627" s="11">
        <v>2.7436787374047648E-2</v>
      </c>
      <c r="F627" s="11">
        <v>-2.5001577022774474E-2</v>
      </c>
      <c r="G627" s="3">
        <f t="shared" si="36"/>
        <v>2.7851717857290459E-2</v>
      </c>
      <c r="H627" s="11"/>
      <c r="I627" s="17">
        <f t="shared" si="39"/>
        <v>49172</v>
      </c>
      <c r="J627" s="18">
        <f t="shared" si="37"/>
        <v>8.4188911704312108</v>
      </c>
      <c r="K627" s="7">
        <v>6.75</v>
      </c>
      <c r="L627" s="7">
        <v>-1.0944565390944813E-4</v>
      </c>
      <c r="M627" s="7">
        <v>2.6920269702771296E-3</v>
      </c>
      <c r="N627" s="7">
        <v>-2.0739229161565641E-2</v>
      </c>
      <c r="O627" s="7">
        <v>7.9015240430281408E-2</v>
      </c>
      <c r="P627" s="11">
        <f t="shared" si="38"/>
        <v>2.9911161752417121</v>
      </c>
    </row>
    <row r="628" spans="1:16" x14ac:dyDescent="0.25">
      <c r="A628" s="11">
        <v>6.16</v>
      </c>
      <c r="B628" s="7">
        <v>4.75</v>
      </c>
      <c r="C628" s="11">
        <v>2.714864453332381E-4</v>
      </c>
      <c r="D628" s="11">
        <v>-4.7335043520079041E-3</v>
      </c>
      <c r="E628" s="11">
        <v>2.7436787374047648E-2</v>
      </c>
      <c r="F628" s="11">
        <v>-2.5001577022774474E-2</v>
      </c>
      <c r="G628" s="3">
        <f t="shared" si="36"/>
        <v>2.7851941391635354E-2</v>
      </c>
      <c r="H628" s="11"/>
      <c r="I628" s="17">
        <f t="shared" si="39"/>
        <v>49177</v>
      </c>
      <c r="J628" s="18">
        <f t="shared" si="37"/>
        <v>8.4325804243668721</v>
      </c>
      <c r="K628" s="7">
        <v>6.75</v>
      </c>
      <c r="L628" s="7">
        <v>-1.0944565390944813E-4</v>
      </c>
      <c r="M628" s="7">
        <v>2.6920269702771296E-3</v>
      </c>
      <c r="N628" s="7">
        <v>-2.0739229161565641E-2</v>
      </c>
      <c r="O628" s="7">
        <v>7.9015240430281408E-2</v>
      </c>
      <c r="P628" s="11">
        <f t="shared" si="38"/>
        <v>2.9929173361157164</v>
      </c>
    </row>
    <row r="629" spans="1:16" x14ac:dyDescent="0.25">
      <c r="A629" s="11">
        <v>6.17</v>
      </c>
      <c r="B629" s="7">
        <v>4.75</v>
      </c>
      <c r="C629" s="11">
        <v>2.714864453332381E-4</v>
      </c>
      <c r="D629" s="11">
        <v>-4.7335043520079041E-3</v>
      </c>
      <c r="E629" s="11">
        <v>2.7436787374047648E-2</v>
      </c>
      <c r="F629" s="11">
        <v>-2.5001577022774474E-2</v>
      </c>
      <c r="G629" s="3">
        <f t="shared" si="36"/>
        <v>2.7852221639011757E-2</v>
      </c>
      <c r="H629" s="11"/>
      <c r="I629" s="17">
        <f t="shared" si="39"/>
        <v>49182</v>
      </c>
      <c r="J629" s="18">
        <f t="shared" si="37"/>
        <v>8.4462696783025333</v>
      </c>
      <c r="K629" s="7">
        <v>6.75</v>
      </c>
      <c r="L629" s="7">
        <v>-1.0944565390944813E-4</v>
      </c>
      <c r="M629" s="7">
        <v>2.6920269702771296E-3</v>
      </c>
      <c r="N629" s="7">
        <v>-2.0739229161565641E-2</v>
      </c>
      <c r="O629" s="7">
        <v>7.9015240430281408E-2</v>
      </c>
      <c r="P629" s="11">
        <f t="shared" si="38"/>
        <v>2.9947156223076421</v>
      </c>
    </row>
    <row r="630" spans="1:16" x14ac:dyDescent="0.25">
      <c r="A630" s="11">
        <v>6.18</v>
      </c>
      <c r="B630" s="7">
        <v>4.75</v>
      </c>
      <c r="C630" s="11">
        <v>2.714864453332381E-4</v>
      </c>
      <c r="D630" s="11">
        <v>-4.7335043520079041E-3</v>
      </c>
      <c r="E630" s="11">
        <v>2.7436787374047648E-2</v>
      </c>
      <c r="F630" s="11">
        <v>-2.5001577022774474E-2</v>
      </c>
      <c r="G630" s="3">
        <f t="shared" si="36"/>
        <v>2.7852560228338402E-2</v>
      </c>
      <c r="H630" s="11"/>
      <c r="I630" s="17">
        <f t="shared" si="39"/>
        <v>49187</v>
      </c>
      <c r="J630" s="18">
        <f t="shared" si="37"/>
        <v>8.4599589322381927</v>
      </c>
      <c r="K630" s="7">
        <v>6.75</v>
      </c>
      <c r="L630" s="7">
        <v>-1.0944565390944813E-4</v>
      </c>
      <c r="M630" s="7">
        <v>2.6920269702771296E-3</v>
      </c>
      <c r="N630" s="7">
        <v>-2.0739229161565641E-2</v>
      </c>
      <c r="O630" s="7">
        <v>7.9015240430281408E-2</v>
      </c>
      <c r="P630" s="11">
        <f t="shared" si="38"/>
        <v>2.9965108653604688</v>
      </c>
    </row>
    <row r="631" spans="1:16" x14ac:dyDescent="0.25">
      <c r="A631" s="11">
        <v>6.19</v>
      </c>
      <c r="B631" s="7">
        <v>4.75</v>
      </c>
      <c r="C631" s="11">
        <v>2.714864453332381E-4</v>
      </c>
      <c r="D631" s="11">
        <v>-4.7335043520079041E-3</v>
      </c>
      <c r="E631" s="11">
        <v>2.7436787374047648E-2</v>
      </c>
      <c r="F631" s="11">
        <v>-2.5001577022774474E-2</v>
      </c>
      <c r="G631" s="3">
        <f t="shared" si="36"/>
        <v>2.7852958788533971E-2</v>
      </c>
      <c r="H631" s="11"/>
      <c r="I631" s="17">
        <f t="shared" si="39"/>
        <v>49192</v>
      </c>
      <c r="J631" s="18">
        <f t="shared" si="37"/>
        <v>8.473648186173854</v>
      </c>
      <c r="K631" s="7">
        <v>6.75</v>
      </c>
      <c r="L631" s="7">
        <v>-1.0944565390944813E-4</v>
      </c>
      <c r="M631" s="7">
        <v>2.6920269702771296E-3</v>
      </c>
      <c r="N631" s="7">
        <v>-2.0739229161565641E-2</v>
      </c>
      <c r="O631" s="7">
        <v>7.9015240430281408E-2</v>
      </c>
      <c r="P631" s="11">
        <f t="shared" si="38"/>
        <v>2.9983028968171928</v>
      </c>
    </row>
    <row r="632" spans="1:16" x14ac:dyDescent="0.25">
      <c r="A632" s="11">
        <v>6.2</v>
      </c>
      <c r="B632" s="7">
        <v>4.75</v>
      </c>
      <c r="C632" s="11">
        <v>2.714864453332381E-4</v>
      </c>
      <c r="D632" s="11">
        <v>-4.7335043520079041E-3</v>
      </c>
      <c r="E632" s="11">
        <v>2.7436787374047648E-2</v>
      </c>
      <c r="F632" s="11">
        <v>-2.5001577022774474E-2</v>
      </c>
      <c r="G632" s="3">
        <f t="shared" si="36"/>
        <v>2.7853418948517061E-2</v>
      </c>
      <c r="H632" s="11"/>
      <c r="I632" s="17">
        <f t="shared" si="39"/>
        <v>49197</v>
      </c>
      <c r="J632" s="18">
        <f t="shared" si="37"/>
        <v>8.4873374401095134</v>
      </c>
      <c r="K632" s="7">
        <v>6.75</v>
      </c>
      <c r="L632" s="7">
        <v>-1.0944565390944813E-4</v>
      </c>
      <c r="M632" s="7">
        <v>2.6920269702771296E-3</v>
      </c>
      <c r="N632" s="7">
        <v>-2.0739229161565641E-2</v>
      </c>
      <c r="O632" s="7">
        <v>7.9015240430281408E-2</v>
      </c>
      <c r="P632" s="11">
        <f t="shared" si="38"/>
        <v>3.0000915482207708</v>
      </c>
    </row>
    <row r="633" spans="1:16" x14ac:dyDescent="0.25">
      <c r="A633" s="11">
        <v>6.21</v>
      </c>
      <c r="B633" s="7">
        <v>4.75</v>
      </c>
      <c r="C633" s="11">
        <v>2.714864453332381E-4</v>
      </c>
      <c r="D633" s="11">
        <v>-4.7335043520079041E-3</v>
      </c>
      <c r="E633" s="11">
        <v>2.7436787374047648E-2</v>
      </c>
      <c r="F633" s="11">
        <v>-2.5001577022774474E-2</v>
      </c>
      <c r="G633" s="3">
        <f t="shared" si="36"/>
        <v>2.7853942337206422E-2</v>
      </c>
      <c r="H633" s="11"/>
      <c r="I633" s="17">
        <f t="shared" si="39"/>
        <v>49202</v>
      </c>
      <c r="J633" s="18">
        <f t="shared" si="37"/>
        <v>8.5010266940451746</v>
      </c>
      <c r="K633" s="7">
        <v>6.75</v>
      </c>
      <c r="L633" s="7">
        <v>-1.0944565390944813E-4</v>
      </c>
      <c r="M633" s="7">
        <v>2.6920269702771296E-3</v>
      </c>
      <c r="N633" s="7">
        <v>-2.0739229161565641E-2</v>
      </c>
      <c r="O633" s="7">
        <v>7.9015240430281408E-2</v>
      </c>
      <c r="P633" s="11">
        <f t="shared" si="38"/>
        <v>3.0018766511141992</v>
      </c>
    </row>
    <row r="634" spans="1:16" x14ac:dyDescent="0.25">
      <c r="A634" s="11">
        <v>6.22</v>
      </c>
      <c r="B634" s="7">
        <v>4.75</v>
      </c>
      <c r="C634" s="11">
        <v>2.714864453332381E-4</v>
      </c>
      <c r="D634" s="11">
        <v>-4.7335043520079041E-3</v>
      </c>
      <c r="E634" s="11">
        <v>2.7436787374047648E-2</v>
      </c>
      <c r="F634" s="11">
        <v>-2.5001577022774474E-2</v>
      </c>
      <c r="G634" s="3">
        <f t="shared" si="36"/>
        <v>2.7854530583520692E-2</v>
      </c>
      <c r="H634" s="11"/>
      <c r="I634" s="17">
        <f t="shared" si="39"/>
        <v>49207</v>
      </c>
      <c r="J634" s="18">
        <f t="shared" si="37"/>
        <v>8.5147159479808359</v>
      </c>
      <c r="K634" s="7">
        <v>6.75</v>
      </c>
      <c r="L634" s="7">
        <v>-1.0944565390944813E-4</v>
      </c>
      <c r="M634" s="7">
        <v>2.6920269702771296E-3</v>
      </c>
      <c r="N634" s="7">
        <v>-2.0739229161565641E-2</v>
      </c>
      <c r="O634" s="7">
        <v>7.9015240430281408E-2</v>
      </c>
      <c r="P634" s="11">
        <f t="shared" si="38"/>
        <v>3.0036580370404602</v>
      </c>
    </row>
    <row r="635" spans="1:16" x14ac:dyDescent="0.25">
      <c r="A635" s="11">
        <v>6.23</v>
      </c>
      <c r="B635" s="7">
        <v>4.75</v>
      </c>
      <c r="C635" s="11">
        <v>2.714864453332381E-4</v>
      </c>
      <c r="D635" s="11">
        <v>-4.7335043520079041E-3</v>
      </c>
      <c r="E635" s="11">
        <v>2.7436787374047648E-2</v>
      </c>
      <c r="F635" s="11">
        <v>-2.5001577022774474E-2</v>
      </c>
      <c r="G635" s="3">
        <f t="shared" si="36"/>
        <v>2.7855185316378511E-2</v>
      </c>
      <c r="H635" s="11"/>
      <c r="I635" s="17">
        <f t="shared" si="39"/>
        <v>49212</v>
      </c>
      <c r="J635" s="18">
        <f t="shared" si="37"/>
        <v>8.5284052019164953</v>
      </c>
      <c r="K635" s="7">
        <v>6.75</v>
      </c>
      <c r="L635" s="7">
        <v>-1.0944565390944813E-4</v>
      </c>
      <c r="M635" s="7">
        <v>2.6920269702771296E-3</v>
      </c>
      <c r="N635" s="7">
        <v>-2.0739229161565641E-2</v>
      </c>
      <c r="O635" s="7">
        <v>7.9015240430281408E-2</v>
      </c>
      <c r="P635" s="11">
        <f t="shared" si="38"/>
        <v>3.0054355375425308</v>
      </c>
    </row>
    <row r="636" spans="1:16" x14ac:dyDescent="0.25">
      <c r="A636" s="11">
        <v>6.24</v>
      </c>
      <c r="B636" s="7">
        <v>4.75</v>
      </c>
      <c r="C636" s="11">
        <v>2.714864453332381E-4</v>
      </c>
      <c r="D636" s="11">
        <v>-4.7335043520079041E-3</v>
      </c>
      <c r="E636" s="11">
        <v>2.7436787374047648E-2</v>
      </c>
      <c r="F636" s="11">
        <v>-2.5001577022774474E-2</v>
      </c>
      <c r="G636" s="3">
        <f t="shared" si="36"/>
        <v>2.7855908164698628E-2</v>
      </c>
      <c r="H636" s="11"/>
      <c r="I636" s="17">
        <f t="shared" si="39"/>
        <v>49217</v>
      </c>
      <c r="J636" s="18">
        <f t="shared" si="37"/>
        <v>8.5420944558521565</v>
      </c>
      <c r="K636" s="7">
        <v>6.75</v>
      </c>
      <c r="L636" s="7">
        <v>-1.0944565390944813E-4</v>
      </c>
      <c r="M636" s="7">
        <v>2.6920269702771296E-3</v>
      </c>
      <c r="N636" s="7">
        <v>-2.0739229161565641E-2</v>
      </c>
      <c r="O636" s="7">
        <v>7.9015240430281408E-2</v>
      </c>
      <c r="P636" s="11">
        <f t="shared" si="38"/>
        <v>3.0072089841633982</v>
      </c>
    </row>
    <row r="637" spans="1:16" x14ac:dyDescent="0.25">
      <c r="A637" s="11">
        <v>6.25</v>
      </c>
      <c r="B637" s="7">
        <v>4.75</v>
      </c>
      <c r="C637" s="11">
        <v>2.714864453332381E-4</v>
      </c>
      <c r="D637" s="11">
        <v>-4.7335043520079041E-3</v>
      </c>
      <c r="E637" s="11">
        <v>2.7436787374047648E-2</v>
      </c>
      <c r="F637" s="11">
        <v>-2.5001577022774474E-2</v>
      </c>
      <c r="G637" s="3">
        <f t="shared" si="36"/>
        <v>2.7856700757399669E-2</v>
      </c>
      <c r="H637" s="11"/>
      <c r="I637" s="17">
        <f t="shared" si="39"/>
        <v>49222</v>
      </c>
      <c r="J637" s="18">
        <f t="shared" si="37"/>
        <v>8.555783709787816</v>
      </c>
      <c r="K637" s="7">
        <v>6.75</v>
      </c>
      <c r="L637" s="7">
        <v>-1.0944565390944813E-4</v>
      </c>
      <c r="M637" s="7">
        <v>2.6920269702771296E-3</v>
      </c>
      <c r="N637" s="7">
        <v>-2.0739229161565641E-2</v>
      </c>
      <c r="O637" s="7">
        <v>7.9015240430281408E-2</v>
      </c>
      <c r="P637" s="11">
        <f t="shared" si="38"/>
        <v>3.0089782084460364</v>
      </c>
    </row>
    <row r="638" spans="1:16" x14ac:dyDescent="0.25">
      <c r="A638" s="11">
        <v>6.26</v>
      </c>
      <c r="B638" s="7">
        <v>4.75</v>
      </c>
      <c r="C638" s="11">
        <v>2.714864453332381E-4</v>
      </c>
      <c r="D638" s="11">
        <v>-4.7335043520079041E-3</v>
      </c>
      <c r="E638" s="11">
        <v>2.7436787374047648E-2</v>
      </c>
      <c r="F638" s="11">
        <v>-2.5001577022774474E-2</v>
      </c>
      <c r="G638" s="3">
        <f t="shared" si="36"/>
        <v>2.7857564723400272E-2</v>
      </c>
      <c r="H638" s="11"/>
      <c r="I638" s="17">
        <f t="shared" si="39"/>
        <v>49227</v>
      </c>
      <c r="J638" s="18">
        <f t="shared" si="37"/>
        <v>8.5694729637234772</v>
      </c>
      <c r="K638" s="7">
        <v>6.75</v>
      </c>
      <c r="L638" s="7">
        <v>-1.0944565390944813E-4</v>
      </c>
      <c r="M638" s="7">
        <v>2.6920269702771296E-3</v>
      </c>
      <c r="N638" s="7">
        <v>-2.0739229161565641E-2</v>
      </c>
      <c r="O638" s="7">
        <v>7.9015240430281408E-2</v>
      </c>
      <c r="P638" s="11">
        <f t="shared" si="38"/>
        <v>3.0107430419334307</v>
      </c>
    </row>
    <row r="639" spans="1:16" x14ac:dyDescent="0.25">
      <c r="A639" s="11">
        <v>6.27</v>
      </c>
      <c r="B639" s="7">
        <v>4.75</v>
      </c>
      <c r="C639" s="11">
        <v>2.714864453332381E-4</v>
      </c>
      <c r="D639" s="11">
        <v>-4.7335043520079041E-3</v>
      </c>
      <c r="E639" s="11">
        <v>2.7436787374047648E-2</v>
      </c>
      <c r="F639" s="11">
        <v>-2.5001577022774474E-2</v>
      </c>
      <c r="G639" s="3">
        <f t="shared" si="36"/>
        <v>2.7858501691619186E-2</v>
      </c>
      <c r="H639" s="11"/>
      <c r="I639" s="17">
        <f t="shared" si="39"/>
        <v>49232</v>
      </c>
      <c r="J639" s="18">
        <f t="shared" si="37"/>
        <v>8.5831622176591384</v>
      </c>
      <c r="K639" s="7">
        <v>6.75</v>
      </c>
      <c r="L639" s="7">
        <v>-1.0944565390944813E-4</v>
      </c>
      <c r="M639" s="7">
        <v>2.6920269702771296E-3</v>
      </c>
      <c r="N639" s="7">
        <v>-2.0739229161565641E-2</v>
      </c>
      <c r="O639" s="7">
        <v>7.9015240430281408E-2</v>
      </c>
      <c r="P639" s="11">
        <f t="shared" si="38"/>
        <v>3.0125033161685577</v>
      </c>
    </row>
    <row r="640" spans="1:16" x14ac:dyDescent="0.25">
      <c r="A640" s="11">
        <v>6.28</v>
      </c>
      <c r="B640" s="7">
        <v>4.75</v>
      </c>
      <c r="C640" s="11">
        <v>2.714864453332381E-4</v>
      </c>
      <c r="D640" s="11">
        <v>-4.7335043520079041E-3</v>
      </c>
      <c r="E640" s="11">
        <v>2.7436787374047648E-2</v>
      </c>
      <c r="F640" s="11">
        <v>-2.5001577022774474E-2</v>
      </c>
      <c r="G640" s="3">
        <f t="shared" si="36"/>
        <v>2.7859513290974997E-2</v>
      </c>
      <c r="H640" s="11"/>
      <c r="I640" s="17">
        <f t="shared" si="39"/>
        <v>49237</v>
      </c>
      <c r="J640" s="18">
        <f t="shared" si="37"/>
        <v>8.5968514715947979</v>
      </c>
      <c r="K640" s="7">
        <v>6.75</v>
      </c>
      <c r="L640" s="7">
        <v>-1.0944565390944813E-4</v>
      </c>
      <c r="M640" s="7">
        <v>2.6920269702771296E-3</v>
      </c>
      <c r="N640" s="7">
        <v>-2.0739229161565641E-2</v>
      </c>
      <c r="O640" s="7">
        <v>7.9015240430281408E-2</v>
      </c>
      <c r="P640" s="11">
        <f t="shared" si="38"/>
        <v>3.0142588626944078</v>
      </c>
    </row>
    <row r="641" spans="1:16" x14ac:dyDescent="0.25">
      <c r="A641" s="11">
        <v>6.29</v>
      </c>
      <c r="B641" s="7">
        <v>4.75</v>
      </c>
      <c r="C641" s="11">
        <v>2.714864453332381E-4</v>
      </c>
      <c r="D641" s="11">
        <v>-4.7335043520079041E-3</v>
      </c>
      <c r="E641" s="11">
        <v>2.7436787374047648E-2</v>
      </c>
      <c r="F641" s="11">
        <v>-2.5001577022774474E-2</v>
      </c>
      <c r="G641" s="3">
        <f t="shared" si="36"/>
        <v>2.7860601150386438E-2</v>
      </c>
      <c r="H641" s="11"/>
      <c r="I641" s="17">
        <f t="shared" si="39"/>
        <v>49242</v>
      </c>
      <c r="J641" s="18">
        <f t="shared" si="37"/>
        <v>8.6105407255304591</v>
      </c>
      <c r="K641" s="7">
        <v>6.75</v>
      </c>
      <c r="L641" s="7">
        <v>-1.0944565390944813E-4</v>
      </c>
      <c r="M641" s="7">
        <v>2.6920269702771296E-3</v>
      </c>
      <c r="N641" s="7">
        <v>-2.0739229161565641E-2</v>
      </c>
      <c r="O641" s="7">
        <v>7.9015240430281408E-2</v>
      </c>
      <c r="P641" s="11">
        <f t="shared" si="38"/>
        <v>3.0160095130539579</v>
      </c>
    </row>
    <row r="642" spans="1:16" x14ac:dyDescent="0.25">
      <c r="A642" s="11">
        <v>6.3</v>
      </c>
      <c r="B642" s="7">
        <v>4.75</v>
      </c>
      <c r="C642" s="11">
        <v>2.714864453332381E-4</v>
      </c>
      <c r="D642" s="11">
        <v>-4.7335043520079041E-3</v>
      </c>
      <c r="E642" s="11">
        <v>2.7436787374047648E-2</v>
      </c>
      <c r="F642" s="11">
        <v>-2.5001577022774474E-2</v>
      </c>
      <c r="G642" s="3">
        <f t="shared" si="36"/>
        <v>2.7861766898772164E-2</v>
      </c>
      <c r="H642" s="11"/>
      <c r="I642" s="17">
        <f t="shared" si="39"/>
        <v>49247</v>
      </c>
      <c r="J642" s="18">
        <f t="shared" si="37"/>
        <v>8.6242299794661186</v>
      </c>
      <c r="K642" s="7">
        <v>6.75</v>
      </c>
      <c r="L642" s="7">
        <v>-1.0944565390944813E-4</v>
      </c>
      <c r="M642" s="7">
        <v>2.6920269702771296E-3</v>
      </c>
      <c r="N642" s="7">
        <v>-2.0739229161565641E-2</v>
      </c>
      <c r="O642" s="7">
        <v>7.9015240430281408E-2</v>
      </c>
      <c r="P642" s="11">
        <f t="shared" si="38"/>
        <v>3.0177550987901842</v>
      </c>
    </row>
    <row r="643" spans="1:16" x14ac:dyDescent="0.25">
      <c r="A643" s="11">
        <v>6.31</v>
      </c>
      <c r="B643" s="7">
        <v>4.75</v>
      </c>
      <c r="C643" s="11">
        <v>2.714864453332381E-4</v>
      </c>
      <c r="D643" s="11">
        <v>-4.7335043520079041E-3</v>
      </c>
      <c r="E643" s="11">
        <v>2.7436787374047648E-2</v>
      </c>
      <c r="F643" s="11">
        <v>-2.5001577022774474E-2</v>
      </c>
      <c r="G643" s="3">
        <f t="shared" si="36"/>
        <v>2.7863012165050896E-2</v>
      </c>
      <c r="H643" s="11"/>
      <c r="I643" s="17">
        <f t="shared" si="39"/>
        <v>49252</v>
      </c>
      <c r="J643" s="18">
        <f t="shared" si="37"/>
        <v>8.6379192334017798</v>
      </c>
      <c r="K643" s="7">
        <v>6.75</v>
      </c>
      <c r="L643" s="7">
        <v>-1.0944565390944813E-4</v>
      </c>
      <c r="M643" s="7">
        <v>2.6920269702771296E-3</v>
      </c>
      <c r="N643" s="7">
        <v>-2.0739229161565641E-2</v>
      </c>
      <c r="O643" s="7">
        <v>7.9015240430281408E-2</v>
      </c>
      <c r="P643" s="11">
        <f t="shared" si="38"/>
        <v>3.0194954514460806</v>
      </c>
    </row>
    <row r="644" spans="1:16" x14ac:dyDescent="0.25">
      <c r="A644" s="11">
        <v>6.32</v>
      </c>
      <c r="B644" s="7">
        <v>4.75</v>
      </c>
      <c r="C644" s="11">
        <v>2.714864453332381E-4</v>
      </c>
      <c r="D644" s="11">
        <v>-4.7335043520079041E-3</v>
      </c>
      <c r="E644" s="11">
        <v>2.7436787374047648E-2</v>
      </c>
      <c r="F644" s="11">
        <v>-2.5001577022774474E-2</v>
      </c>
      <c r="G644" s="3">
        <f t="shared" si="36"/>
        <v>2.786433857814119E-2</v>
      </c>
      <c r="H644" s="11"/>
      <c r="I644" s="17">
        <f t="shared" si="39"/>
        <v>49257</v>
      </c>
      <c r="J644" s="18">
        <f t="shared" si="37"/>
        <v>8.6516084873374393</v>
      </c>
      <c r="K644" s="7">
        <v>6.75</v>
      </c>
      <c r="L644" s="7">
        <v>-1.0944565390944813E-4</v>
      </c>
      <c r="M644" s="7">
        <v>2.6920269702771296E-3</v>
      </c>
      <c r="N644" s="7">
        <v>-2.0739229161565641E-2</v>
      </c>
      <c r="O644" s="7">
        <v>7.9015240430281408E-2</v>
      </c>
      <c r="P644" s="11">
        <f t="shared" si="38"/>
        <v>3.0212304025646173</v>
      </c>
    </row>
    <row r="645" spans="1:16" x14ac:dyDescent="0.25">
      <c r="A645" s="11">
        <v>6.33</v>
      </c>
      <c r="B645" s="7">
        <v>4.75</v>
      </c>
      <c r="C645" s="11">
        <v>2.714864453332381E-4</v>
      </c>
      <c r="D645" s="11">
        <v>-4.7335043520079041E-3</v>
      </c>
      <c r="E645" s="11">
        <v>2.7436787374047648E-2</v>
      </c>
      <c r="F645" s="11">
        <v>-2.5001577022774474E-2</v>
      </c>
      <c r="G645" s="3">
        <f t="shared" si="36"/>
        <v>2.7865747766961838E-2</v>
      </c>
      <c r="H645" s="11"/>
      <c r="I645" s="17">
        <f t="shared" si="39"/>
        <v>49262</v>
      </c>
      <c r="J645" s="18">
        <f t="shared" si="37"/>
        <v>8.6652977412731005</v>
      </c>
      <c r="K645" s="7">
        <v>6.75</v>
      </c>
      <c r="L645" s="7">
        <v>-1.0944565390944813E-4</v>
      </c>
      <c r="M645" s="7">
        <v>2.6920269702771296E-3</v>
      </c>
      <c r="N645" s="7">
        <v>-2.0739229161565641E-2</v>
      </c>
      <c r="O645" s="7">
        <v>7.9015240430281408E-2</v>
      </c>
      <c r="P645" s="11">
        <f t="shared" si="38"/>
        <v>3.022959783688786</v>
      </c>
    </row>
    <row r="646" spans="1:16" x14ac:dyDescent="0.25">
      <c r="A646" s="11">
        <v>6.34</v>
      </c>
      <c r="B646" s="7">
        <v>4.75</v>
      </c>
      <c r="C646" s="11">
        <v>2.714864453332381E-4</v>
      </c>
      <c r="D646" s="11">
        <v>-4.7335043520079041E-3</v>
      </c>
      <c r="E646" s="11">
        <v>2.7436787374047648E-2</v>
      </c>
      <c r="F646" s="11">
        <v>-2.5001577022774474E-2</v>
      </c>
      <c r="G646" s="3">
        <f t="shared" si="36"/>
        <v>2.7867241360431422E-2</v>
      </c>
      <c r="H646" s="11"/>
      <c r="I646" s="17">
        <f t="shared" si="39"/>
        <v>49267</v>
      </c>
      <c r="J646" s="18">
        <f t="shared" si="37"/>
        <v>8.6789869952087617</v>
      </c>
      <c r="K646" s="7">
        <v>6.75</v>
      </c>
      <c r="L646" s="7">
        <v>-1.0944565390944813E-4</v>
      </c>
      <c r="M646" s="7">
        <v>2.6920269702771296E-3</v>
      </c>
      <c r="N646" s="7">
        <v>-2.0739229161565641E-2</v>
      </c>
      <c r="O646" s="7">
        <v>7.9015240430281408E-2</v>
      </c>
      <c r="P646" s="11">
        <f t="shared" si="38"/>
        <v>3.0246834263615545</v>
      </c>
    </row>
    <row r="647" spans="1:16" x14ac:dyDescent="0.25">
      <c r="A647" s="11">
        <v>6.35</v>
      </c>
      <c r="B647" s="7">
        <v>4.75</v>
      </c>
      <c r="C647" s="11">
        <v>2.714864453332381E-4</v>
      </c>
      <c r="D647" s="11">
        <v>-4.7335043520079041E-3</v>
      </c>
      <c r="E647" s="11">
        <v>2.7436787374047648E-2</v>
      </c>
      <c r="F647" s="11">
        <v>-2.5001577022774474E-2</v>
      </c>
      <c r="G647" s="3">
        <f t="shared" si="36"/>
        <v>2.7868820987468637E-2</v>
      </c>
      <c r="H647" s="11"/>
      <c r="I647" s="17">
        <f t="shared" si="39"/>
        <v>49272</v>
      </c>
      <c r="J647" s="18">
        <f t="shared" si="37"/>
        <v>8.6926762491444212</v>
      </c>
      <c r="K647" s="7">
        <v>6.75</v>
      </c>
      <c r="L647" s="7">
        <v>-1.0944565390944813E-4</v>
      </c>
      <c r="M647" s="7">
        <v>2.6920269702771296E-3</v>
      </c>
      <c r="N647" s="7">
        <v>-2.0739229161565641E-2</v>
      </c>
      <c r="O647" s="7">
        <v>7.9015240430281408E-2</v>
      </c>
      <c r="P647" s="11">
        <f t="shared" si="38"/>
        <v>3.0264011621259135</v>
      </c>
    </row>
    <row r="648" spans="1:16" x14ac:dyDescent="0.25">
      <c r="A648" s="11">
        <v>6.36</v>
      </c>
      <c r="B648" s="7">
        <v>4.75</v>
      </c>
      <c r="C648" s="11">
        <v>2.714864453332381E-4</v>
      </c>
      <c r="D648" s="11">
        <v>-4.7335043520079041E-3</v>
      </c>
      <c r="E648" s="11">
        <v>2.7436787374047648E-2</v>
      </c>
      <c r="F648" s="11">
        <v>-2.5001577022774474E-2</v>
      </c>
      <c r="G648" s="3">
        <f t="shared" si="36"/>
        <v>2.7870488276992206E-2</v>
      </c>
      <c r="H648" s="11"/>
      <c r="I648" s="17">
        <f t="shared" si="39"/>
        <v>49277</v>
      </c>
      <c r="J648" s="18">
        <f t="shared" si="37"/>
        <v>8.7063655030800824</v>
      </c>
      <c r="K648" s="7">
        <v>6.75</v>
      </c>
      <c r="L648" s="7">
        <v>-1.0944565390944813E-4</v>
      </c>
      <c r="M648" s="7">
        <v>2.6920269702771296E-3</v>
      </c>
      <c r="N648" s="7">
        <v>-2.0739229161565641E-2</v>
      </c>
      <c r="O648" s="7">
        <v>7.9015240430281408E-2</v>
      </c>
      <c r="P648" s="11">
        <f t="shared" si="38"/>
        <v>3.0281128225248448</v>
      </c>
    </row>
    <row r="649" spans="1:16" x14ac:dyDescent="0.25">
      <c r="A649" s="11">
        <v>6.37</v>
      </c>
      <c r="B649" s="7">
        <v>4.75</v>
      </c>
      <c r="C649" s="11">
        <v>2.714864453332381E-4</v>
      </c>
      <c r="D649" s="11">
        <v>-4.7335043520079041E-3</v>
      </c>
      <c r="E649" s="11">
        <v>2.7436787374047648E-2</v>
      </c>
      <c r="F649" s="11">
        <v>-2.5001577022774474E-2</v>
      </c>
      <c r="G649" s="3">
        <f t="shared" si="36"/>
        <v>2.7872244857920767E-2</v>
      </c>
      <c r="H649" s="11"/>
      <c r="I649" s="17">
        <f t="shared" si="39"/>
        <v>49282</v>
      </c>
      <c r="J649" s="18">
        <f t="shared" si="37"/>
        <v>8.7200547570157418</v>
      </c>
      <c r="K649" s="7">
        <v>6.75</v>
      </c>
      <c r="L649" s="7">
        <v>-1.0944565390944813E-4</v>
      </c>
      <c r="M649" s="7">
        <v>2.6920269702771296E-3</v>
      </c>
      <c r="N649" s="7">
        <v>-2.0739229161565641E-2</v>
      </c>
      <c r="O649" s="7">
        <v>7.9015240430281408E-2</v>
      </c>
      <c r="P649" s="11">
        <f t="shared" si="38"/>
        <v>3.0298182391013255</v>
      </c>
    </row>
    <row r="650" spans="1:16" x14ac:dyDescent="0.25">
      <c r="A650" s="11">
        <v>6.38</v>
      </c>
      <c r="B650" s="7">
        <v>4.75</v>
      </c>
      <c r="C650" s="11">
        <v>2.714864453332381E-4</v>
      </c>
      <c r="D650" s="11">
        <v>-4.7335043520079041E-3</v>
      </c>
      <c r="E650" s="11">
        <v>2.7436787374047648E-2</v>
      </c>
      <c r="F650" s="11">
        <v>-2.5001577022774474E-2</v>
      </c>
      <c r="G650" s="3">
        <f t="shared" si="36"/>
        <v>2.7874092359172972E-2</v>
      </c>
      <c r="H650" s="11"/>
      <c r="I650" s="17">
        <f t="shared" si="39"/>
        <v>49287</v>
      </c>
      <c r="J650" s="18">
        <f t="shared" si="37"/>
        <v>8.7337440109514031</v>
      </c>
      <c r="K650" s="7">
        <v>6.75</v>
      </c>
      <c r="L650" s="7">
        <v>-1.0944565390944813E-4</v>
      </c>
      <c r="M650" s="7">
        <v>2.6920269702771296E-3</v>
      </c>
      <c r="N650" s="7">
        <v>-2.0739229161565641E-2</v>
      </c>
      <c r="O650" s="7">
        <v>7.9015240430281408E-2</v>
      </c>
      <c r="P650" s="11">
        <f t="shared" si="38"/>
        <v>3.0315172433983406</v>
      </c>
    </row>
    <row r="651" spans="1:16" x14ac:dyDescent="0.25">
      <c r="A651" s="11">
        <v>6.39</v>
      </c>
      <c r="B651" s="7">
        <v>4.75</v>
      </c>
      <c r="C651" s="11">
        <v>2.714864453332381E-4</v>
      </c>
      <c r="D651" s="11">
        <v>-4.7335043520079041E-3</v>
      </c>
      <c r="E651" s="11">
        <v>2.7436787374047648E-2</v>
      </c>
      <c r="F651" s="11">
        <v>-2.5001577022774474E-2</v>
      </c>
      <c r="G651" s="3">
        <f t="shared" si="36"/>
        <v>2.7876032409667545E-2</v>
      </c>
      <c r="H651" s="11"/>
      <c r="I651" s="17">
        <f t="shared" si="39"/>
        <v>49292</v>
      </c>
      <c r="J651" s="18">
        <f t="shared" si="37"/>
        <v>8.7474332648870643</v>
      </c>
      <c r="K651" s="7">
        <v>6.75</v>
      </c>
      <c r="L651" s="7">
        <v>-1.0944565390944813E-4</v>
      </c>
      <c r="M651" s="7">
        <v>2.6920269702771296E-3</v>
      </c>
      <c r="N651" s="7">
        <v>-2.0739229161565641E-2</v>
      </c>
      <c r="O651" s="7">
        <v>7.9015240430281408E-2</v>
      </c>
      <c r="P651" s="11">
        <f t="shared" si="38"/>
        <v>3.033209666958872</v>
      </c>
    </row>
    <row r="652" spans="1:16" x14ac:dyDescent="0.25">
      <c r="A652" s="11">
        <v>6.4</v>
      </c>
      <c r="B652" s="7">
        <v>4.75</v>
      </c>
      <c r="C652" s="11">
        <v>2.714864453332381E-4</v>
      </c>
      <c r="D652" s="11">
        <v>-4.7335043520079041E-3</v>
      </c>
      <c r="E652" s="11">
        <v>2.7436787374047648E-2</v>
      </c>
      <c r="F652" s="11">
        <v>-2.5001577022774474E-2</v>
      </c>
      <c r="G652" s="3">
        <f t="shared" si="36"/>
        <v>2.7878066638323096E-2</v>
      </c>
      <c r="H652" s="11"/>
      <c r="I652" s="17">
        <f t="shared" si="39"/>
        <v>49297</v>
      </c>
      <c r="J652" s="18">
        <f t="shared" si="37"/>
        <v>8.7611225188227237</v>
      </c>
      <c r="K652" s="7">
        <v>6.75</v>
      </c>
      <c r="L652" s="7">
        <v>-1.0944565390944813E-4</v>
      </c>
      <c r="M652" s="7">
        <v>2.6920269702771296E-3</v>
      </c>
      <c r="N652" s="7">
        <v>-2.0739229161565641E-2</v>
      </c>
      <c r="O652" s="7">
        <v>7.9015240430281408E-2</v>
      </c>
      <c r="P652" s="11">
        <f t="shared" si="38"/>
        <v>3.0348953413258966</v>
      </c>
    </row>
    <row r="653" spans="1:16" x14ac:dyDescent="0.25">
      <c r="A653" s="11">
        <v>6.41</v>
      </c>
      <c r="B653" s="7">
        <v>4.75</v>
      </c>
      <c r="C653" s="11">
        <v>2.714864453332381E-4</v>
      </c>
      <c r="D653" s="11">
        <v>-4.7335043520079041E-3</v>
      </c>
      <c r="E653" s="11">
        <v>2.7436787374047648E-2</v>
      </c>
      <c r="F653" s="11">
        <v>-2.5001577022774474E-2</v>
      </c>
      <c r="G653" s="3">
        <f t="shared" ref="G653:G716" si="40">C653*A653^3 + D653*A653^2 + E653*A653 + F653</f>
        <v>2.7880196674058305E-2</v>
      </c>
      <c r="H653" s="11"/>
      <c r="I653" s="17">
        <f t="shared" si="39"/>
        <v>49302</v>
      </c>
      <c r="J653" s="18">
        <f t="shared" ref="J653:J716" si="41">(I653-$I$12)/365.25</f>
        <v>8.774811772758385</v>
      </c>
      <c r="K653" s="7">
        <v>6.75</v>
      </c>
      <c r="L653" s="7">
        <v>-1.0944565390944813E-4</v>
      </c>
      <c r="M653" s="7">
        <v>2.6920269702771296E-3</v>
      </c>
      <c r="N653" s="7">
        <v>-2.0739229161565641E-2</v>
      </c>
      <c r="O653" s="7">
        <v>7.9015240430281408E-2</v>
      </c>
      <c r="P653" s="11">
        <f t="shared" ref="P653:P716" si="42">100*(L653*J653^3 + M653*J653^2 + N653*J653 + O653)</f>
        <v>3.0365740980423994</v>
      </c>
    </row>
    <row r="654" spans="1:16" x14ac:dyDescent="0.25">
      <c r="A654" s="11">
        <v>6.42</v>
      </c>
      <c r="B654" s="7">
        <v>4.75</v>
      </c>
      <c r="C654" s="11">
        <v>2.714864453332381E-4</v>
      </c>
      <c r="D654" s="11">
        <v>-4.7335043520079041E-3</v>
      </c>
      <c r="E654" s="11">
        <v>2.7436787374047648E-2</v>
      </c>
      <c r="F654" s="11">
        <v>-2.5001577022774474E-2</v>
      </c>
      <c r="G654" s="3">
        <f t="shared" si="40"/>
        <v>2.7882424145791895E-2</v>
      </c>
      <c r="H654" s="11"/>
      <c r="I654" s="17">
        <f t="shared" ref="I654:I717" si="43">I653+5</f>
        <v>49307</v>
      </c>
      <c r="J654" s="18">
        <f t="shared" si="41"/>
        <v>8.7885010266940444</v>
      </c>
      <c r="K654" s="7">
        <v>6.75</v>
      </c>
      <c r="L654" s="7">
        <v>-1.0944565390944813E-4</v>
      </c>
      <c r="M654" s="7">
        <v>2.6920269702771296E-3</v>
      </c>
      <c r="N654" s="7">
        <v>-2.0739229161565641E-2</v>
      </c>
      <c r="O654" s="7">
        <v>7.9015240430281408E-2</v>
      </c>
      <c r="P654" s="11">
        <f t="shared" si="42"/>
        <v>3.0382457686513655</v>
      </c>
    </row>
    <row r="655" spans="1:16" x14ac:dyDescent="0.25">
      <c r="A655" s="11">
        <v>6.43</v>
      </c>
      <c r="B655" s="7">
        <v>4.75</v>
      </c>
      <c r="C655" s="11">
        <v>2.714864453332381E-4</v>
      </c>
      <c r="D655" s="11">
        <v>-4.7335043520079041E-3</v>
      </c>
      <c r="E655" s="11">
        <v>2.7436787374047648E-2</v>
      </c>
      <c r="F655" s="11">
        <v>-2.5001577022774474E-2</v>
      </c>
      <c r="G655" s="3">
        <f t="shared" si="40"/>
        <v>2.7884750682442491E-2</v>
      </c>
      <c r="H655" s="11"/>
      <c r="I655" s="17">
        <f t="shared" si="43"/>
        <v>49312</v>
      </c>
      <c r="J655" s="18">
        <f t="shared" si="41"/>
        <v>8.8021902806297057</v>
      </c>
      <c r="K655" s="7">
        <v>6.75</v>
      </c>
      <c r="L655" s="7">
        <v>-1.0944565390944813E-4</v>
      </c>
      <c r="M655" s="7">
        <v>2.6920269702771296E-3</v>
      </c>
      <c r="N655" s="7">
        <v>-2.0739229161565641E-2</v>
      </c>
      <c r="O655" s="7">
        <v>7.9015240430281408E-2</v>
      </c>
      <c r="P655" s="11">
        <f t="shared" si="42"/>
        <v>3.0399101846957683</v>
      </c>
    </row>
    <row r="656" spans="1:16" x14ac:dyDescent="0.25">
      <c r="A656" s="11">
        <v>6.44</v>
      </c>
      <c r="B656" s="7">
        <v>4.75</v>
      </c>
      <c r="C656" s="11">
        <v>2.714864453332381E-4</v>
      </c>
      <c r="D656" s="11">
        <v>-4.7335043520079041E-3</v>
      </c>
      <c r="E656" s="11">
        <v>2.7436787374047648E-2</v>
      </c>
      <c r="F656" s="11">
        <v>-2.5001577022774474E-2</v>
      </c>
      <c r="G656" s="3">
        <f t="shared" si="40"/>
        <v>2.7887177912928815E-2</v>
      </c>
      <c r="H656" s="11"/>
      <c r="I656" s="17">
        <f t="shared" si="43"/>
        <v>49317</v>
      </c>
      <c r="J656" s="18">
        <f t="shared" si="41"/>
        <v>8.8158795345653669</v>
      </c>
      <c r="K656" s="7">
        <v>6.75</v>
      </c>
      <c r="L656" s="7">
        <v>-1.0944565390944813E-4</v>
      </c>
      <c r="M656" s="7">
        <v>2.6920269702771296E-3</v>
      </c>
      <c r="N656" s="7">
        <v>-2.0739229161565641E-2</v>
      </c>
      <c r="O656" s="7">
        <v>7.9015240430281408E-2</v>
      </c>
      <c r="P656" s="11">
        <f t="shared" si="42"/>
        <v>3.041567177718596</v>
      </c>
    </row>
    <row r="657" spans="1:16" x14ac:dyDescent="0.25">
      <c r="A657" s="11">
        <v>6.45</v>
      </c>
      <c r="B657" s="7">
        <v>4.75</v>
      </c>
      <c r="C657" s="11">
        <v>2.714864453332381E-4</v>
      </c>
      <c r="D657" s="11">
        <v>-4.7335043520079041E-3</v>
      </c>
      <c r="E657" s="11">
        <v>2.7436787374047648E-2</v>
      </c>
      <c r="F657" s="11">
        <v>-2.5001577022774474E-2</v>
      </c>
      <c r="G657" s="3">
        <f t="shared" si="40"/>
        <v>2.7889707466169478E-2</v>
      </c>
      <c r="H657" s="11"/>
      <c r="I657" s="17">
        <f t="shared" si="43"/>
        <v>49322</v>
      </c>
      <c r="J657" s="18">
        <f t="shared" si="41"/>
        <v>8.8295687885010263</v>
      </c>
      <c r="K657" s="7">
        <v>6.75</v>
      </c>
      <c r="L657" s="7">
        <v>-1.0944565390944813E-4</v>
      </c>
      <c r="M657" s="7">
        <v>2.6920269702771296E-3</v>
      </c>
      <c r="N657" s="7">
        <v>-2.0739229161565641E-2</v>
      </c>
      <c r="O657" s="7">
        <v>7.9015240430281408E-2</v>
      </c>
      <c r="P657" s="11">
        <f t="shared" si="42"/>
        <v>3.0432165792628196</v>
      </c>
    </row>
    <row r="658" spans="1:16" x14ac:dyDescent="0.25">
      <c r="A658" s="11">
        <v>6.46</v>
      </c>
      <c r="B658" s="7">
        <v>4.75</v>
      </c>
      <c r="C658" s="11">
        <v>2.714864453332381E-4</v>
      </c>
      <c r="D658" s="11">
        <v>-4.7335043520079041E-3</v>
      </c>
      <c r="E658" s="11">
        <v>2.7436787374047648E-2</v>
      </c>
      <c r="F658" s="11">
        <v>-2.5001577022774474E-2</v>
      </c>
      <c r="G658" s="3">
        <f t="shared" si="40"/>
        <v>2.789234097108316E-2</v>
      </c>
      <c r="H658" s="11"/>
      <c r="I658" s="17">
        <f t="shared" si="43"/>
        <v>49327</v>
      </c>
      <c r="J658" s="18">
        <f t="shared" si="41"/>
        <v>8.8432580424366876</v>
      </c>
      <c r="K658" s="7">
        <v>6.75</v>
      </c>
      <c r="L658" s="7">
        <v>-1.0944565390944813E-4</v>
      </c>
      <c r="M658" s="7">
        <v>2.6920269702771296E-3</v>
      </c>
      <c r="N658" s="7">
        <v>-2.0739229161565641E-2</v>
      </c>
      <c r="O658" s="7">
        <v>7.9015240430281408E-2</v>
      </c>
      <c r="P658" s="11">
        <f t="shared" si="42"/>
        <v>3.0448582208714354</v>
      </c>
    </row>
    <row r="659" spans="1:16" x14ac:dyDescent="0.25">
      <c r="A659" s="11">
        <v>6.47</v>
      </c>
      <c r="B659" s="7">
        <v>4.75</v>
      </c>
      <c r="C659" s="11">
        <v>2.714864453332381E-4</v>
      </c>
      <c r="D659" s="11">
        <v>-4.7335043520079041E-3</v>
      </c>
      <c r="E659" s="11">
        <v>2.7436787374047648E-2</v>
      </c>
      <c r="F659" s="11">
        <v>-2.5001577022774474E-2</v>
      </c>
      <c r="G659" s="3">
        <f t="shared" si="40"/>
        <v>2.7895080056588584E-2</v>
      </c>
      <c r="H659" s="11"/>
      <c r="I659" s="17">
        <f t="shared" si="43"/>
        <v>49332</v>
      </c>
      <c r="J659" s="18">
        <f t="shared" si="41"/>
        <v>8.856947296372347</v>
      </c>
      <c r="K659" s="7">
        <v>6.75</v>
      </c>
      <c r="L659" s="7">
        <v>-1.0944565390944813E-4</v>
      </c>
      <c r="M659" s="7">
        <v>2.6920269702771296E-3</v>
      </c>
      <c r="N659" s="7">
        <v>-2.0739229161565641E-2</v>
      </c>
      <c r="O659" s="7">
        <v>7.9015240430281408E-2</v>
      </c>
      <c r="P659" s="11">
        <f t="shared" si="42"/>
        <v>3.0464919340874168</v>
      </c>
    </row>
    <row r="660" spans="1:16" x14ac:dyDescent="0.25">
      <c r="A660" s="11">
        <v>6.48</v>
      </c>
      <c r="B660" s="7">
        <v>4.75</v>
      </c>
      <c r="C660" s="11">
        <v>2.714864453332381E-4</v>
      </c>
      <c r="D660" s="11">
        <v>-4.7335043520079041E-3</v>
      </c>
      <c r="E660" s="11">
        <v>2.7436787374047648E-2</v>
      </c>
      <c r="F660" s="11">
        <v>-2.5001577022774474E-2</v>
      </c>
      <c r="G660" s="3">
        <f t="shared" si="40"/>
        <v>2.7897926351604388E-2</v>
      </c>
      <c r="H660" s="11"/>
      <c r="I660" s="17">
        <f t="shared" si="43"/>
        <v>49337</v>
      </c>
      <c r="J660" s="18">
        <f t="shared" si="41"/>
        <v>8.8706365503080082</v>
      </c>
      <c r="K660" s="7">
        <v>6.75</v>
      </c>
      <c r="L660" s="7">
        <v>-1.0944565390944813E-4</v>
      </c>
      <c r="M660" s="7">
        <v>2.6920269702771296E-3</v>
      </c>
      <c r="N660" s="7">
        <v>-2.0739229161565641E-2</v>
      </c>
      <c r="O660" s="7">
        <v>7.9015240430281408E-2</v>
      </c>
      <c r="P660" s="11">
        <f t="shared" si="42"/>
        <v>3.0481175504537439</v>
      </c>
    </row>
    <row r="661" spans="1:16" x14ac:dyDescent="0.25">
      <c r="A661" s="11">
        <v>6.49</v>
      </c>
      <c r="B661" s="7">
        <v>4.75</v>
      </c>
      <c r="C661" s="11">
        <v>2.714864453332381E-4</v>
      </c>
      <c r="D661" s="11">
        <v>-4.7335043520079041E-3</v>
      </c>
      <c r="E661" s="11">
        <v>2.7436787374047648E-2</v>
      </c>
      <c r="F661" s="11">
        <v>-2.5001577022774474E-2</v>
      </c>
      <c r="G661" s="3">
        <f t="shared" si="40"/>
        <v>2.7900881485049267E-2</v>
      </c>
      <c r="H661" s="11"/>
      <c r="I661" s="17">
        <f t="shared" si="43"/>
        <v>49342</v>
      </c>
      <c r="J661" s="18">
        <f t="shared" si="41"/>
        <v>8.8843258042436695</v>
      </c>
      <c r="K661" s="7">
        <v>6.75</v>
      </c>
      <c r="L661" s="7">
        <v>-1.0944565390944813E-4</v>
      </c>
      <c r="M661" s="7">
        <v>2.6920269702771296E-3</v>
      </c>
      <c r="N661" s="7">
        <v>-2.0739229161565641E-2</v>
      </c>
      <c r="O661" s="7">
        <v>7.9015240430281408E-2</v>
      </c>
      <c r="P661" s="11">
        <f t="shared" si="42"/>
        <v>3.0497349015134012</v>
      </c>
    </row>
    <row r="662" spans="1:16" x14ac:dyDescent="0.25">
      <c r="A662" s="11">
        <v>6.5</v>
      </c>
      <c r="B662" s="7">
        <v>4.75</v>
      </c>
      <c r="C662" s="11">
        <v>2.714864453332381E-4</v>
      </c>
      <c r="D662" s="11">
        <v>-4.7335043520079041E-3</v>
      </c>
      <c r="E662" s="11">
        <v>2.7436787374047648E-2</v>
      </c>
      <c r="F662" s="11">
        <v>-2.5001577022774474E-2</v>
      </c>
      <c r="G662" s="3">
        <f t="shared" si="40"/>
        <v>2.7903947085841818E-2</v>
      </c>
      <c r="H662" s="11"/>
      <c r="I662" s="17">
        <f t="shared" si="43"/>
        <v>49347</v>
      </c>
      <c r="J662" s="18">
        <f t="shared" si="41"/>
        <v>8.8980150581793289</v>
      </c>
      <c r="K662" s="7">
        <v>6.75</v>
      </c>
      <c r="L662" s="7">
        <v>-1.0944565390944813E-4</v>
      </c>
      <c r="M662" s="7">
        <v>2.6920269702771296E-3</v>
      </c>
      <c r="N662" s="7">
        <v>-2.0739229161565641E-2</v>
      </c>
      <c r="O662" s="7">
        <v>7.9015240430281408E-2</v>
      </c>
      <c r="P662" s="11">
        <f t="shared" si="42"/>
        <v>3.0513438188093684</v>
      </c>
    </row>
    <row r="663" spans="1:16" x14ac:dyDescent="0.25">
      <c r="A663" s="11">
        <v>6.51</v>
      </c>
      <c r="B663" s="7">
        <v>4.75</v>
      </c>
      <c r="C663" s="11">
        <v>2.714864453332381E-4</v>
      </c>
      <c r="D663" s="11">
        <v>-4.7335043520079041E-3</v>
      </c>
      <c r="E663" s="11">
        <v>2.7436787374047648E-2</v>
      </c>
      <c r="F663" s="11">
        <v>-2.5001577022774474E-2</v>
      </c>
      <c r="G663" s="3">
        <f t="shared" si="40"/>
        <v>2.790712478290075E-2</v>
      </c>
      <c r="H663" s="11"/>
      <c r="I663" s="17">
        <f t="shared" si="43"/>
        <v>49352</v>
      </c>
      <c r="J663" s="18">
        <f t="shared" si="41"/>
        <v>8.9117043121149901</v>
      </c>
      <c r="K663" s="7">
        <v>6.75</v>
      </c>
      <c r="L663" s="7">
        <v>-1.0944565390944813E-4</v>
      </c>
      <c r="M663" s="7">
        <v>2.6920269702771296E-3</v>
      </c>
      <c r="N663" s="7">
        <v>-2.0739229161565641E-2</v>
      </c>
      <c r="O663" s="7">
        <v>7.9015240430281408E-2</v>
      </c>
      <c r="P663" s="11">
        <f t="shared" si="42"/>
        <v>3.0529441338846302</v>
      </c>
    </row>
    <row r="664" spans="1:16" x14ac:dyDescent="0.25">
      <c r="A664" s="11">
        <v>6.52</v>
      </c>
      <c r="B664" s="7">
        <v>4.75</v>
      </c>
      <c r="C664" s="11">
        <v>2.714864453332381E-4</v>
      </c>
      <c r="D664" s="11">
        <v>-4.7335043520079041E-3</v>
      </c>
      <c r="E664" s="11">
        <v>2.7436787374047648E-2</v>
      </c>
      <c r="F664" s="11">
        <v>-2.5001577022774474E-2</v>
      </c>
      <c r="G664" s="3">
        <f t="shared" si="40"/>
        <v>2.7910416205144811E-2</v>
      </c>
      <c r="H664" s="11"/>
      <c r="I664" s="17">
        <f t="shared" si="43"/>
        <v>49357</v>
      </c>
      <c r="J664" s="18">
        <f t="shared" si="41"/>
        <v>8.9253935660506496</v>
      </c>
      <c r="K664" s="7">
        <v>6.75</v>
      </c>
      <c r="L664" s="7">
        <v>-1.0944565390944813E-4</v>
      </c>
      <c r="M664" s="7">
        <v>2.6920269702771296E-3</v>
      </c>
      <c r="N664" s="7">
        <v>-2.0739229161565641E-2</v>
      </c>
      <c r="O664" s="7">
        <v>7.9015240430281408E-2</v>
      </c>
      <c r="P664" s="11">
        <f t="shared" si="42"/>
        <v>3.0545356782821664</v>
      </c>
    </row>
    <row r="665" spans="1:16" x14ac:dyDescent="0.25">
      <c r="A665" s="11">
        <v>6.53</v>
      </c>
      <c r="B665" s="7">
        <v>4.75</v>
      </c>
      <c r="C665" s="11">
        <v>2.714864453332381E-4</v>
      </c>
      <c r="D665" s="11">
        <v>-4.7335043520079041E-3</v>
      </c>
      <c r="E665" s="11">
        <v>2.7436787374047648E-2</v>
      </c>
      <c r="F665" s="11">
        <v>-2.5001577022774474E-2</v>
      </c>
      <c r="G665" s="3">
        <f t="shared" si="40"/>
        <v>2.7913822981492614E-2</v>
      </c>
      <c r="H665" s="11"/>
      <c r="I665" s="17">
        <f t="shared" si="43"/>
        <v>49362</v>
      </c>
      <c r="J665" s="18">
        <f t="shared" si="41"/>
        <v>8.9390828199863108</v>
      </c>
      <c r="K665" s="7">
        <v>6.75</v>
      </c>
      <c r="L665" s="7">
        <v>-1.0944565390944813E-4</v>
      </c>
      <c r="M665" s="7">
        <v>2.6920269702771296E-3</v>
      </c>
      <c r="N665" s="7">
        <v>-2.0739229161565641E-2</v>
      </c>
      <c r="O665" s="7">
        <v>7.9015240430281408E-2</v>
      </c>
      <c r="P665" s="11">
        <f t="shared" si="42"/>
        <v>3.0561182835449561</v>
      </c>
    </row>
    <row r="666" spans="1:16" x14ac:dyDescent="0.25">
      <c r="A666" s="11">
        <v>6.54</v>
      </c>
      <c r="B666" s="7">
        <v>4.75</v>
      </c>
      <c r="C666" s="11">
        <v>2.714864453332381E-4</v>
      </c>
      <c r="D666" s="11">
        <v>-4.7335043520079041E-3</v>
      </c>
      <c r="E666" s="11">
        <v>2.7436787374047648E-2</v>
      </c>
      <c r="F666" s="11">
        <v>-2.5001577022774474E-2</v>
      </c>
      <c r="G666" s="3">
        <f t="shared" si="40"/>
        <v>2.7917346740862797E-2</v>
      </c>
      <c r="H666" s="11"/>
      <c r="I666" s="17">
        <f t="shared" si="43"/>
        <v>49367</v>
      </c>
      <c r="J666" s="18">
        <f t="shared" si="41"/>
        <v>8.9527720739219721</v>
      </c>
      <c r="K666" s="7">
        <v>6.75</v>
      </c>
      <c r="L666" s="7">
        <v>-1.0944565390944813E-4</v>
      </c>
      <c r="M666" s="7">
        <v>2.6920269702771296E-3</v>
      </c>
      <c r="N666" s="7">
        <v>-2.0739229161565641E-2</v>
      </c>
      <c r="O666" s="7">
        <v>7.9015240430281408E-2</v>
      </c>
      <c r="P666" s="11">
        <f t="shared" si="42"/>
        <v>3.0576917812159818</v>
      </c>
    </row>
    <row r="667" spans="1:16" x14ac:dyDescent="0.25">
      <c r="A667" s="11">
        <v>6.55</v>
      </c>
      <c r="B667" s="7">
        <v>4.75</v>
      </c>
      <c r="C667" s="11">
        <v>2.714864453332381E-4</v>
      </c>
      <c r="D667" s="11">
        <v>-4.7335043520079041E-3</v>
      </c>
      <c r="E667" s="11">
        <v>2.7436787374047648E-2</v>
      </c>
      <c r="F667" s="11">
        <v>-2.5001577022774474E-2</v>
      </c>
      <c r="G667" s="3">
        <f t="shared" si="40"/>
        <v>2.7920989112174083E-2</v>
      </c>
      <c r="H667" s="11"/>
      <c r="I667" s="17">
        <f t="shared" si="43"/>
        <v>49372</v>
      </c>
      <c r="J667" s="18">
        <f t="shared" si="41"/>
        <v>8.9664613278576315</v>
      </c>
      <c r="K667" s="7">
        <v>6.75</v>
      </c>
      <c r="L667" s="7">
        <v>-1.0944565390944813E-4</v>
      </c>
      <c r="M667" s="7">
        <v>2.6920269702771296E-3</v>
      </c>
      <c r="N667" s="7">
        <v>-2.0739229161565641E-2</v>
      </c>
      <c r="O667" s="7">
        <v>7.9015240430281408E-2</v>
      </c>
      <c r="P667" s="11">
        <f t="shared" si="42"/>
        <v>3.0592560028382287</v>
      </c>
    </row>
    <row r="668" spans="1:16" x14ac:dyDescent="0.25">
      <c r="A668" s="11">
        <v>6.56</v>
      </c>
      <c r="B668" s="7">
        <v>4.75</v>
      </c>
      <c r="C668" s="11">
        <v>2.714864453332381E-4</v>
      </c>
      <c r="D668" s="11">
        <v>-4.7335043520079041E-3</v>
      </c>
      <c r="E668" s="11">
        <v>2.7436787374047648E-2</v>
      </c>
      <c r="F668" s="11">
        <v>-2.5001577022774474E-2</v>
      </c>
      <c r="G668" s="3">
        <f t="shared" si="40"/>
        <v>2.7924751724345109E-2</v>
      </c>
      <c r="H668" s="11"/>
      <c r="I668" s="17">
        <f t="shared" si="43"/>
        <v>49377</v>
      </c>
      <c r="J668" s="18">
        <f t="shared" si="41"/>
        <v>8.9801505817932927</v>
      </c>
      <c r="K668" s="7">
        <v>6.75</v>
      </c>
      <c r="L668" s="7">
        <v>-1.0944565390944813E-4</v>
      </c>
      <c r="M668" s="7">
        <v>2.6920269702771296E-3</v>
      </c>
      <c r="N668" s="7">
        <v>-2.0739229161565641E-2</v>
      </c>
      <c r="O668" s="7">
        <v>7.9015240430281408E-2</v>
      </c>
      <c r="P668" s="11">
        <f t="shared" si="42"/>
        <v>3.060810779954676</v>
      </c>
    </row>
    <row r="669" spans="1:16" x14ac:dyDescent="0.25">
      <c r="A669" s="11">
        <v>6.57</v>
      </c>
      <c r="B669" s="7">
        <v>4.75</v>
      </c>
      <c r="C669" s="11">
        <v>2.714864453332381E-4</v>
      </c>
      <c r="D669" s="11">
        <v>-4.7335043520079041E-3</v>
      </c>
      <c r="E669" s="11">
        <v>2.7436787374047648E-2</v>
      </c>
      <c r="F669" s="11">
        <v>-2.5001577022774474E-2</v>
      </c>
      <c r="G669" s="3">
        <f t="shared" si="40"/>
        <v>2.7928636206294627E-2</v>
      </c>
      <c r="H669" s="11"/>
      <c r="I669" s="17">
        <f t="shared" si="43"/>
        <v>49382</v>
      </c>
      <c r="J669" s="18">
        <f t="shared" si="41"/>
        <v>8.9938398357289522</v>
      </c>
      <c r="K669" s="7">
        <v>6.75</v>
      </c>
      <c r="L669" s="7">
        <v>-1.0944565390944813E-4</v>
      </c>
      <c r="M669" s="7">
        <v>2.6920269702771296E-3</v>
      </c>
      <c r="N669" s="7">
        <v>-2.0739229161565641E-2</v>
      </c>
      <c r="O669" s="7">
        <v>7.9015240430281408E-2</v>
      </c>
      <c r="P669" s="11">
        <f t="shared" si="42"/>
        <v>3.0623559441082997</v>
      </c>
    </row>
    <row r="670" spans="1:16" x14ac:dyDescent="0.25">
      <c r="A670" s="11">
        <v>6.58</v>
      </c>
      <c r="B670" s="7">
        <v>4.75</v>
      </c>
      <c r="C670" s="11">
        <v>2.714864453332381E-4</v>
      </c>
      <c r="D670" s="11">
        <v>-4.7335043520079041E-3</v>
      </c>
      <c r="E670" s="11">
        <v>2.7436787374047648E-2</v>
      </c>
      <c r="F670" s="11">
        <v>-2.5001577022774474E-2</v>
      </c>
      <c r="G670" s="3">
        <f t="shared" si="40"/>
        <v>2.7932644186941219E-2</v>
      </c>
      <c r="H670" s="11"/>
      <c r="I670" s="17">
        <f t="shared" si="43"/>
        <v>49387</v>
      </c>
      <c r="J670" s="18">
        <f t="shared" si="41"/>
        <v>9.0075290896646134</v>
      </c>
      <c r="K670" s="7">
        <v>6.75</v>
      </c>
      <c r="L670" s="7">
        <v>-1.0944565390944813E-4</v>
      </c>
      <c r="M670" s="7">
        <v>2.6920269702771296E-3</v>
      </c>
      <c r="N670" s="7">
        <v>-2.0739229161565641E-2</v>
      </c>
      <c r="O670" s="7">
        <v>7.9015240430281408E-2</v>
      </c>
      <c r="P670" s="11">
        <f t="shared" si="42"/>
        <v>3.0638913268420884</v>
      </c>
    </row>
    <row r="671" spans="1:16" x14ac:dyDescent="0.25">
      <c r="A671" s="11">
        <v>6.59</v>
      </c>
      <c r="B671" s="7">
        <v>4.75</v>
      </c>
      <c r="C671" s="11">
        <v>2.714864453332381E-4</v>
      </c>
      <c r="D671" s="11">
        <v>-4.7335043520079041E-3</v>
      </c>
      <c r="E671" s="11">
        <v>2.7436787374047648E-2</v>
      </c>
      <c r="F671" s="11">
        <v>-2.5001577022774474E-2</v>
      </c>
      <c r="G671" s="3">
        <f t="shared" si="40"/>
        <v>2.7936777295203524E-2</v>
      </c>
      <c r="H671" s="11"/>
      <c r="I671" s="17">
        <f t="shared" si="43"/>
        <v>49392</v>
      </c>
      <c r="J671" s="18">
        <f t="shared" si="41"/>
        <v>9.0212183436002746</v>
      </c>
      <c r="K671" s="7">
        <v>6.75</v>
      </c>
      <c r="L671" s="7">
        <v>-1.0944565390944813E-4</v>
      </c>
      <c r="M671" s="7">
        <v>2.6920269702771296E-3</v>
      </c>
      <c r="N671" s="7">
        <v>-2.0739229161565641E-2</v>
      </c>
      <c r="O671" s="7">
        <v>7.9015240430281408E-2</v>
      </c>
      <c r="P671" s="11">
        <f t="shared" si="42"/>
        <v>3.0654167596990192</v>
      </c>
    </row>
    <row r="672" spans="1:16" x14ac:dyDescent="0.25">
      <c r="A672" s="11">
        <v>6.6</v>
      </c>
      <c r="B672" s="7">
        <v>4.75</v>
      </c>
      <c r="C672" s="11">
        <v>2.714864453332381E-4</v>
      </c>
      <c r="D672" s="11">
        <v>-4.7335043520079041E-3</v>
      </c>
      <c r="E672" s="11">
        <v>2.7436787374047648E-2</v>
      </c>
      <c r="F672" s="11">
        <v>-2.5001577022774474E-2</v>
      </c>
      <c r="G672" s="3">
        <f t="shared" si="40"/>
        <v>2.794103716000032E-2</v>
      </c>
      <c r="H672" s="11"/>
      <c r="I672" s="17">
        <f t="shared" si="43"/>
        <v>49397</v>
      </c>
      <c r="J672" s="18">
        <f t="shared" si="41"/>
        <v>9.0349075975359341</v>
      </c>
      <c r="K672" s="7">
        <v>6.75</v>
      </c>
      <c r="L672" s="7">
        <v>-1.0944565390944813E-4</v>
      </c>
      <c r="M672" s="7">
        <v>2.6920269702771296E-3</v>
      </c>
      <c r="N672" s="7">
        <v>-2.0739229161565641E-2</v>
      </c>
      <c r="O672" s="7">
        <v>7.9015240430281408E-2</v>
      </c>
      <c r="P672" s="11">
        <f t="shared" si="42"/>
        <v>3.0669320742220814</v>
      </c>
    </row>
    <row r="673" spans="1:16" x14ac:dyDescent="0.25">
      <c r="A673" s="11">
        <v>6.61</v>
      </c>
      <c r="B673" s="7">
        <v>4.75</v>
      </c>
      <c r="C673" s="11">
        <v>2.714864453332381E-4</v>
      </c>
      <c r="D673" s="11">
        <v>-4.7335043520079041E-3</v>
      </c>
      <c r="E673" s="11">
        <v>2.7436787374047648E-2</v>
      </c>
      <c r="F673" s="11">
        <v>-2.5001577022774474E-2</v>
      </c>
      <c r="G673" s="3">
        <f t="shared" si="40"/>
        <v>2.7945425410250246E-2</v>
      </c>
      <c r="H673" s="11"/>
      <c r="I673" s="17">
        <f t="shared" si="43"/>
        <v>49402</v>
      </c>
      <c r="J673" s="18">
        <f t="shared" si="41"/>
        <v>9.0485968514715953</v>
      </c>
      <c r="K673" s="7">
        <v>6.75</v>
      </c>
      <c r="L673" s="7">
        <v>-1.0944565390944813E-4</v>
      </c>
      <c r="M673" s="7">
        <v>2.6920269702771296E-3</v>
      </c>
      <c r="N673" s="7">
        <v>-2.0739229161565641E-2</v>
      </c>
      <c r="O673" s="7">
        <v>7.9015240430281408E-2</v>
      </c>
      <c r="P673" s="11">
        <f t="shared" si="42"/>
        <v>3.0684371019542467</v>
      </c>
    </row>
    <row r="674" spans="1:16" x14ac:dyDescent="0.25">
      <c r="A674" s="11">
        <v>6.62</v>
      </c>
      <c r="B674" s="7">
        <v>4.75</v>
      </c>
      <c r="C674" s="11">
        <v>2.714864453332381E-4</v>
      </c>
      <c r="D674" s="11">
        <v>-4.7335043520079041E-3</v>
      </c>
      <c r="E674" s="11">
        <v>2.7436787374047648E-2</v>
      </c>
      <c r="F674" s="11">
        <v>-2.5001577022774474E-2</v>
      </c>
      <c r="G674" s="3">
        <f t="shared" si="40"/>
        <v>2.7949943674871913E-2</v>
      </c>
      <c r="H674" s="11"/>
      <c r="I674" s="17">
        <f t="shared" si="43"/>
        <v>49407</v>
      </c>
      <c r="J674" s="18">
        <f t="shared" si="41"/>
        <v>9.0622861054072548</v>
      </c>
      <c r="K674" s="7">
        <v>6.75</v>
      </c>
      <c r="L674" s="7">
        <v>-1.0944565390944813E-4</v>
      </c>
      <c r="M674" s="7">
        <v>2.6920269702771296E-3</v>
      </c>
      <c r="N674" s="7">
        <v>-2.0739229161565641E-2</v>
      </c>
      <c r="O674" s="7">
        <v>7.9015240430281408E-2</v>
      </c>
      <c r="P674" s="11">
        <f t="shared" si="42"/>
        <v>3.0699316744385028</v>
      </c>
    </row>
    <row r="675" spans="1:16" x14ac:dyDescent="0.25">
      <c r="A675" s="11">
        <v>6.63</v>
      </c>
      <c r="B675" s="7">
        <v>4.75</v>
      </c>
      <c r="C675" s="11">
        <v>2.714864453332381E-4</v>
      </c>
      <c r="D675" s="11">
        <v>-4.7335043520079041E-3</v>
      </c>
      <c r="E675" s="11">
        <v>2.7436787374047648E-2</v>
      </c>
      <c r="F675" s="11">
        <v>-2.5001577022774474E-2</v>
      </c>
      <c r="G675" s="3">
        <f t="shared" si="40"/>
        <v>2.7954593582784099E-2</v>
      </c>
      <c r="H675" s="11"/>
      <c r="I675" s="17">
        <f t="shared" si="43"/>
        <v>49412</v>
      </c>
      <c r="J675" s="18">
        <f t="shared" si="41"/>
        <v>9.075975359342916</v>
      </c>
      <c r="K675" s="7">
        <v>6.75</v>
      </c>
      <c r="L675" s="7">
        <v>-1.0944565390944813E-4</v>
      </c>
      <c r="M675" s="7">
        <v>2.6920269702771296E-3</v>
      </c>
      <c r="N675" s="7">
        <v>-2.0739229161565641E-2</v>
      </c>
      <c r="O675" s="7">
        <v>7.9015240430281408E-2</v>
      </c>
      <c r="P675" s="11">
        <f t="shared" si="42"/>
        <v>3.071415623217824</v>
      </c>
    </row>
    <row r="676" spans="1:16" x14ac:dyDescent="0.25">
      <c r="A676" s="11">
        <v>6.64</v>
      </c>
      <c r="B676" s="7">
        <v>4.75</v>
      </c>
      <c r="C676" s="11">
        <v>2.714864453332381E-4</v>
      </c>
      <c r="D676" s="11">
        <v>-4.7335043520079041E-3</v>
      </c>
      <c r="E676" s="11">
        <v>2.7436787374047648E-2</v>
      </c>
      <c r="F676" s="11">
        <v>-2.5001577022774474E-2</v>
      </c>
      <c r="G676" s="3">
        <f t="shared" si="40"/>
        <v>2.7959376762905414E-2</v>
      </c>
      <c r="H676" s="11"/>
      <c r="I676" s="17">
        <f t="shared" si="43"/>
        <v>49417</v>
      </c>
      <c r="J676" s="18">
        <f t="shared" si="41"/>
        <v>9.0896646132785754</v>
      </c>
      <c r="K676" s="7">
        <v>6.75</v>
      </c>
      <c r="L676" s="7">
        <v>-1.0944565390944813E-4</v>
      </c>
      <c r="M676" s="7">
        <v>2.6920269702771296E-3</v>
      </c>
      <c r="N676" s="7">
        <v>-2.0739229161565641E-2</v>
      </c>
      <c r="O676" s="7">
        <v>7.9015240430281408E-2</v>
      </c>
      <c r="P676" s="11">
        <f t="shared" si="42"/>
        <v>3.0728887798352007</v>
      </c>
    </row>
    <row r="677" spans="1:16" x14ac:dyDescent="0.25">
      <c r="A677" s="11">
        <v>6.65</v>
      </c>
      <c r="B677" s="7">
        <v>4.75</v>
      </c>
      <c r="C677" s="11">
        <v>2.714864453332381E-4</v>
      </c>
      <c r="D677" s="11">
        <v>-4.7335043520079041E-3</v>
      </c>
      <c r="E677" s="11">
        <v>2.7436787374047648E-2</v>
      </c>
      <c r="F677" s="11">
        <v>-2.5001577022774474E-2</v>
      </c>
      <c r="G677" s="3">
        <f t="shared" si="40"/>
        <v>2.7964294844154497E-2</v>
      </c>
      <c r="H677" s="11"/>
      <c r="I677" s="17">
        <f t="shared" si="43"/>
        <v>49422</v>
      </c>
      <c r="J677" s="18">
        <f t="shared" si="41"/>
        <v>9.1033538672142367</v>
      </c>
      <c r="K677" s="7">
        <v>6.75</v>
      </c>
      <c r="L677" s="7">
        <v>-1.0944565390944813E-4</v>
      </c>
      <c r="M677" s="7">
        <v>2.6920269702771296E-3</v>
      </c>
      <c r="N677" s="7">
        <v>-2.0739229161565641E-2</v>
      </c>
      <c r="O677" s="7">
        <v>7.9015240430281408E-2</v>
      </c>
      <c r="P677" s="11">
        <f t="shared" si="42"/>
        <v>3.0743509758336121</v>
      </c>
    </row>
    <row r="678" spans="1:16" x14ac:dyDescent="0.25">
      <c r="A678" s="11">
        <v>6.66</v>
      </c>
      <c r="B678" s="7">
        <v>4.75</v>
      </c>
      <c r="C678" s="11">
        <v>2.714864453332381E-4</v>
      </c>
      <c r="D678" s="11">
        <v>-4.7335043520079041E-3</v>
      </c>
      <c r="E678" s="11">
        <v>2.7436787374047648E-2</v>
      </c>
      <c r="F678" s="11">
        <v>-2.5001577022774474E-2</v>
      </c>
      <c r="G678" s="3">
        <f t="shared" si="40"/>
        <v>2.7969349455450099E-2</v>
      </c>
      <c r="H678" s="11"/>
      <c r="I678" s="17">
        <f t="shared" si="43"/>
        <v>49427</v>
      </c>
      <c r="J678" s="18">
        <f t="shared" si="41"/>
        <v>9.1170431211498979</v>
      </c>
      <c r="K678" s="7">
        <v>6.75</v>
      </c>
      <c r="L678" s="7">
        <v>-1.0944565390944813E-4</v>
      </c>
      <c r="M678" s="7">
        <v>2.6920269702771296E-3</v>
      </c>
      <c r="N678" s="7">
        <v>-2.0739229161565641E-2</v>
      </c>
      <c r="O678" s="7">
        <v>7.9015240430281408E-2</v>
      </c>
      <c r="P678" s="11">
        <f t="shared" si="42"/>
        <v>3.0758020427560346</v>
      </c>
    </row>
    <row r="679" spans="1:16" x14ac:dyDescent="0.25">
      <c r="A679" s="11">
        <v>6.67</v>
      </c>
      <c r="B679" s="7">
        <v>4.75</v>
      </c>
      <c r="C679" s="11">
        <v>2.714864453332381E-4</v>
      </c>
      <c r="D679" s="11">
        <v>-4.7335043520079041E-3</v>
      </c>
      <c r="E679" s="11">
        <v>2.7436787374047648E-2</v>
      </c>
      <c r="F679" s="11">
        <v>-2.5001577022774474E-2</v>
      </c>
      <c r="G679" s="3">
        <f t="shared" si="40"/>
        <v>2.797454222571083E-2</v>
      </c>
      <c r="H679" s="11"/>
      <c r="I679" s="17">
        <f t="shared" si="43"/>
        <v>49432</v>
      </c>
      <c r="J679" s="18">
        <f t="shared" si="41"/>
        <v>9.1307323750855574</v>
      </c>
      <c r="K679" s="7">
        <v>6.75</v>
      </c>
      <c r="L679" s="7">
        <v>-1.0944565390944813E-4</v>
      </c>
      <c r="M679" s="7">
        <v>2.6920269702771296E-3</v>
      </c>
      <c r="N679" s="7">
        <v>-2.0739229161565641E-2</v>
      </c>
      <c r="O679" s="7">
        <v>7.9015240430281408E-2</v>
      </c>
      <c r="P679" s="11">
        <f t="shared" si="42"/>
        <v>3.0772418121454508</v>
      </c>
    </row>
    <row r="680" spans="1:16" x14ac:dyDescent="0.25">
      <c r="A680" s="11">
        <v>6.68</v>
      </c>
      <c r="B680" s="7">
        <v>4.75</v>
      </c>
      <c r="C680" s="11">
        <v>2.714864453332381E-4</v>
      </c>
      <c r="D680" s="11">
        <v>-4.7335043520079041E-3</v>
      </c>
      <c r="E680" s="11">
        <v>2.7436787374047648E-2</v>
      </c>
      <c r="F680" s="11">
        <v>-2.5001577022774474E-2</v>
      </c>
      <c r="G680" s="3">
        <f t="shared" si="40"/>
        <v>2.7979874783855385E-2</v>
      </c>
      <c r="H680" s="11"/>
      <c r="I680" s="17">
        <f t="shared" si="43"/>
        <v>49437</v>
      </c>
      <c r="J680" s="18">
        <f t="shared" si="41"/>
        <v>9.1444216290212186</v>
      </c>
      <c r="K680" s="7">
        <v>6.75</v>
      </c>
      <c r="L680" s="7">
        <v>-1.0944565390944813E-4</v>
      </c>
      <c r="M680" s="7">
        <v>2.6920269702771296E-3</v>
      </c>
      <c r="N680" s="7">
        <v>-2.0739229161565641E-2</v>
      </c>
      <c r="O680" s="7">
        <v>7.9015240430281408E-2</v>
      </c>
      <c r="P680" s="11">
        <f t="shared" si="42"/>
        <v>3.0786701155448459</v>
      </c>
    </row>
    <row r="681" spans="1:16" x14ac:dyDescent="0.25">
      <c r="A681" s="11">
        <v>6.69</v>
      </c>
      <c r="B681" s="7">
        <v>4.75</v>
      </c>
      <c r="C681" s="11">
        <v>2.714864453332381E-4</v>
      </c>
      <c r="D681" s="11">
        <v>-4.7335043520079041E-3</v>
      </c>
      <c r="E681" s="11">
        <v>2.7436787374047648E-2</v>
      </c>
      <c r="F681" s="11">
        <v>-2.5001577022774474E-2</v>
      </c>
      <c r="G681" s="3">
        <f t="shared" si="40"/>
        <v>2.7985348758802431E-2</v>
      </c>
      <c r="H681" s="11"/>
      <c r="I681" s="17">
        <f t="shared" si="43"/>
        <v>49442</v>
      </c>
      <c r="J681" s="18">
        <f t="shared" si="41"/>
        <v>9.158110882956878</v>
      </c>
      <c r="K681" s="7">
        <v>6.75</v>
      </c>
      <c r="L681" s="7">
        <v>-1.0944565390944813E-4</v>
      </c>
      <c r="M681" s="7">
        <v>2.6920269702771296E-3</v>
      </c>
      <c r="N681" s="7">
        <v>-2.0739229161565641E-2</v>
      </c>
      <c r="O681" s="7">
        <v>7.9015240430281408E-2</v>
      </c>
      <c r="P681" s="11">
        <f t="shared" si="42"/>
        <v>3.0800867844972046</v>
      </c>
    </row>
    <row r="682" spans="1:16" x14ac:dyDescent="0.25">
      <c r="A682" s="11">
        <v>6.7</v>
      </c>
      <c r="B682" s="7">
        <v>4.75</v>
      </c>
      <c r="C682" s="11">
        <v>2.714864453332381E-4</v>
      </c>
      <c r="D682" s="11">
        <v>-4.7335043520079041E-3</v>
      </c>
      <c r="E682" s="11">
        <v>2.7436787374047648E-2</v>
      </c>
      <c r="F682" s="11">
        <v>-2.5001577022774474E-2</v>
      </c>
      <c r="G682" s="3">
        <f t="shared" si="40"/>
        <v>2.7990965779470661E-2</v>
      </c>
      <c r="H682" s="11"/>
      <c r="I682" s="17">
        <f t="shared" si="43"/>
        <v>49447</v>
      </c>
      <c r="J682" s="18">
        <f t="shared" si="41"/>
        <v>9.1718001368925393</v>
      </c>
      <c r="K682" s="7">
        <v>6.75</v>
      </c>
      <c r="L682" s="7">
        <v>-1.0944565390944813E-4</v>
      </c>
      <c r="M682" s="7">
        <v>2.6920269702771296E-3</v>
      </c>
      <c r="N682" s="7">
        <v>-2.0739229161565641E-2</v>
      </c>
      <c r="O682" s="7">
        <v>7.9015240430281408E-2</v>
      </c>
      <c r="P682" s="11">
        <f t="shared" si="42"/>
        <v>3.0814916505455008</v>
      </c>
    </row>
    <row r="683" spans="1:16" x14ac:dyDescent="0.25">
      <c r="A683" s="11">
        <v>6.71</v>
      </c>
      <c r="B683" s="7">
        <v>4.75</v>
      </c>
      <c r="C683" s="11">
        <v>2.714864453332381E-4</v>
      </c>
      <c r="D683" s="11">
        <v>-4.7335043520079041E-3</v>
      </c>
      <c r="E683" s="11">
        <v>2.7436787374047648E-2</v>
      </c>
      <c r="F683" s="11">
        <v>-2.5001577022774474E-2</v>
      </c>
      <c r="G683" s="3">
        <f t="shared" si="40"/>
        <v>2.7996727474778688E-2</v>
      </c>
      <c r="H683" s="11"/>
      <c r="I683" s="17">
        <f t="shared" si="43"/>
        <v>49452</v>
      </c>
      <c r="J683" s="18">
        <f t="shared" si="41"/>
        <v>9.1854893908282005</v>
      </c>
      <c r="K683" s="7">
        <v>6.75</v>
      </c>
      <c r="L683" s="7">
        <v>-1.0944565390944813E-4</v>
      </c>
      <c r="M683" s="7">
        <v>2.6920269702771296E-3</v>
      </c>
      <c r="N683" s="7">
        <v>-2.0739229161565641E-2</v>
      </c>
      <c r="O683" s="7">
        <v>7.9015240430281408E-2</v>
      </c>
      <c r="P683" s="11">
        <f t="shared" si="42"/>
        <v>3.0828845452327167</v>
      </c>
    </row>
    <row r="684" spans="1:16" x14ac:dyDescent="0.25">
      <c r="A684" s="11">
        <v>6.72</v>
      </c>
      <c r="B684" s="7">
        <v>4.75</v>
      </c>
      <c r="C684" s="11">
        <v>2.714864453332381E-4</v>
      </c>
      <c r="D684" s="11">
        <v>-4.7335043520079041E-3</v>
      </c>
      <c r="E684" s="11">
        <v>2.7436787374047648E-2</v>
      </c>
      <c r="F684" s="11">
        <v>-2.5001577022774474E-2</v>
      </c>
      <c r="G684" s="3">
        <f t="shared" si="40"/>
        <v>2.8002635473645288E-2</v>
      </c>
      <c r="H684" s="11"/>
      <c r="I684" s="17">
        <f t="shared" si="43"/>
        <v>49457</v>
      </c>
      <c r="J684" s="18">
        <f t="shared" si="41"/>
        <v>9.1991786447638599</v>
      </c>
      <c r="K684" s="7">
        <v>6.75</v>
      </c>
      <c r="L684" s="7">
        <v>-1.0944565390944813E-4</v>
      </c>
      <c r="M684" s="7">
        <v>2.6920269702771296E-3</v>
      </c>
      <c r="N684" s="7">
        <v>-2.0739229161565641E-2</v>
      </c>
      <c r="O684" s="7">
        <v>7.9015240430281408E-2</v>
      </c>
      <c r="P684" s="11">
        <f t="shared" si="42"/>
        <v>3.0842653001018352</v>
      </c>
    </row>
    <row r="685" spans="1:16" x14ac:dyDescent="0.25">
      <c r="A685" s="11">
        <v>6.73</v>
      </c>
      <c r="B685" s="7">
        <v>4.75</v>
      </c>
      <c r="C685" s="11">
        <v>2.714864453332381E-4</v>
      </c>
      <c r="D685" s="11">
        <v>-4.7335043520079041E-3</v>
      </c>
      <c r="E685" s="11">
        <v>2.7436787374047648E-2</v>
      </c>
      <c r="F685" s="11">
        <v>-2.5001577022774474E-2</v>
      </c>
      <c r="G685" s="3">
        <f t="shared" si="40"/>
        <v>2.8008691404989017E-2</v>
      </c>
      <c r="H685" s="11"/>
      <c r="I685" s="17">
        <f t="shared" si="43"/>
        <v>49462</v>
      </c>
      <c r="J685" s="18">
        <f t="shared" si="41"/>
        <v>9.2128678986995212</v>
      </c>
      <c r="K685" s="7">
        <v>6.75</v>
      </c>
      <c r="L685" s="7">
        <v>-1.0944565390944813E-4</v>
      </c>
      <c r="M685" s="7">
        <v>2.6920269702771296E-3</v>
      </c>
      <c r="N685" s="7">
        <v>-2.0739229161565641E-2</v>
      </c>
      <c r="O685" s="7">
        <v>7.9015240430281408E-2</v>
      </c>
      <c r="P685" s="11">
        <f t="shared" si="42"/>
        <v>3.0856337466958426</v>
      </c>
    </row>
    <row r="686" spans="1:16" x14ac:dyDescent="0.25">
      <c r="A686" s="11">
        <v>6.74</v>
      </c>
      <c r="B686" s="7">
        <v>4.75</v>
      </c>
      <c r="C686" s="11">
        <v>2.714864453332381E-4</v>
      </c>
      <c r="D686" s="11">
        <v>-4.7335043520079041E-3</v>
      </c>
      <c r="E686" s="11">
        <v>2.7436787374047648E-2</v>
      </c>
      <c r="F686" s="11">
        <v>-2.5001577022774474E-2</v>
      </c>
      <c r="G686" s="3">
        <f t="shared" si="40"/>
        <v>2.8014896897728625E-2</v>
      </c>
      <c r="H686" s="11"/>
      <c r="I686" s="17">
        <f t="shared" si="43"/>
        <v>49467</v>
      </c>
      <c r="J686" s="18">
        <f t="shared" si="41"/>
        <v>9.2265571526351806</v>
      </c>
      <c r="K686" s="7">
        <v>6.75</v>
      </c>
      <c r="L686" s="7">
        <v>-1.0944565390944813E-4</v>
      </c>
      <c r="M686" s="7">
        <v>2.6920269702771296E-3</v>
      </c>
      <c r="N686" s="7">
        <v>-2.0739229161565641E-2</v>
      </c>
      <c r="O686" s="7">
        <v>7.9015240430281408E-2</v>
      </c>
      <c r="P686" s="11">
        <f t="shared" si="42"/>
        <v>3.0869897165577171</v>
      </c>
    </row>
    <row r="687" spans="1:16" x14ac:dyDescent="0.25">
      <c r="A687" s="11">
        <v>6.75</v>
      </c>
      <c r="B687" s="7">
        <v>6.75</v>
      </c>
      <c r="C687" s="11">
        <v>-1.0944565390944813E-4</v>
      </c>
      <c r="D687" s="11">
        <v>2.6920269702771296E-3</v>
      </c>
      <c r="E687" s="11">
        <v>-2.0739229161565641E-2</v>
      </c>
      <c r="F687" s="11">
        <v>7.9015240430281408E-2</v>
      </c>
      <c r="G687" s="3">
        <f t="shared" si="40"/>
        <v>2.8021253580782723E-2</v>
      </c>
      <c r="H687" s="11"/>
      <c r="I687" s="17">
        <f t="shared" si="43"/>
        <v>49472</v>
      </c>
      <c r="J687" s="18">
        <f t="shared" si="41"/>
        <v>9.2402464065708418</v>
      </c>
      <c r="K687" s="7">
        <v>6.75</v>
      </c>
      <c r="L687" s="7">
        <v>-1.0944565390944813E-4</v>
      </c>
      <c r="M687" s="7">
        <v>2.6920269702771296E-3</v>
      </c>
      <c r="N687" s="7">
        <v>-2.0739229161565641E-2</v>
      </c>
      <c r="O687" s="7">
        <v>7.9015240430281408E-2</v>
      </c>
      <c r="P687" s="11">
        <f t="shared" si="42"/>
        <v>3.0883330412304346</v>
      </c>
    </row>
    <row r="688" spans="1:16" x14ac:dyDescent="0.25">
      <c r="A688" s="11">
        <v>6.76</v>
      </c>
      <c r="B688" s="7">
        <v>6.75</v>
      </c>
      <c r="C688" s="11">
        <v>-1.0944565390944813E-4</v>
      </c>
      <c r="D688" s="11">
        <v>2.6920269702771296E-3</v>
      </c>
      <c r="E688" s="11">
        <v>-2.0739229161565641E-2</v>
      </c>
      <c r="F688" s="11">
        <v>7.9015240430281408E-2</v>
      </c>
      <c r="G688" s="3">
        <f t="shared" si="40"/>
        <v>2.8027733867769217E-2</v>
      </c>
      <c r="H688" s="11"/>
      <c r="I688" s="17">
        <f t="shared" si="43"/>
        <v>49477</v>
      </c>
      <c r="J688" s="18">
        <f t="shared" si="41"/>
        <v>9.2539356605065031</v>
      </c>
      <c r="K688" s="7">
        <v>6.75</v>
      </c>
      <c r="L688" s="7">
        <v>-1.0944565390944813E-4</v>
      </c>
      <c r="M688" s="7">
        <v>2.6920269702771296E-3</v>
      </c>
      <c r="N688" s="7">
        <v>-2.0739229161565641E-2</v>
      </c>
      <c r="O688" s="7">
        <v>7.9015240430281408E-2</v>
      </c>
      <c r="P688" s="11">
        <f t="shared" si="42"/>
        <v>3.0896635522569826</v>
      </c>
    </row>
    <row r="689" spans="1:16" x14ac:dyDescent="0.25">
      <c r="A689" s="11">
        <v>6.77</v>
      </c>
      <c r="B689" s="7">
        <v>6.75</v>
      </c>
      <c r="C689" s="11">
        <v>-1.0944565390944813E-4</v>
      </c>
      <c r="D689" s="11">
        <v>2.6920269702771296E-3</v>
      </c>
      <c r="E689" s="11">
        <v>-2.0739229161565641E-2</v>
      </c>
      <c r="F689" s="11">
        <v>7.9015240430281408E-2</v>
      </c>
      <c r="G689" s="3">
        <f t="shared" si="40"/>
        <v>2.8034308648577519E-2</v>
      </c>
      <c r="H689" s="11"/>
      <c r="I689" s="17">
        <f t="shared" si="43"/>
        <v>49482</v>
      </c>
      <c r="J689" s="18">
        <f t="shared" si="41"/>
        <v>9.2676249144421625</v>
      </c>
      <c r="K689" s="7">
        <v>6.75</v>
      </c>
      <c r="L689" s="7">
        <v>-1.0944565390944813E-4</v>
      </c>
      <c r="M689" s="7">
        <v>2.6920269702771296E-3</v>
      </c>
      <c r="N689" s="7">
        <v>-2.0739229161565641E-2</v>
      </c>
      <c r="O689" s="7">
        <v>7.9015240430281408E-2</v>
      </c>
      <c r="P689" s="11">
        <f t="shared" si="42"/>
        <v>3.0909810811803413</v>
      </c>
    </row>
    <row r="690" spans="1:16" x14ac:dyDescent="0.25">
      <c r="A690" s="11">
        <v>6.78</v>
      </c>
      <c r="B690" s="7">
        <v>6.75</v>
      </c>
      <c r="C690" s="11">
        <v>-1.0944565390944813E-4</v>
      </c>
      <c r="D690" s="11">
        <v>2.6920269702771296E-3</v>
      </c>
      <c r="E690" s="11">
        <v>-2.0739229161565641E-2</v>
      </c>
      <c r="F690" s="11">
        <v>7.9015240430281408E-2</v>
      </c>
      <c r="G690" s="3">
        <f t="shared" si="40"/>
        <v>2.8040977266533665E-2</v>
      </c>
      <c r="H690" s="11"/>
      <c r="I690" s="17">
        <f t="shared" si="43"/>
        <v>49487</v>
      </c>
      <c r="J690" s="18">
        <f t="shared" si="41"/>
        <v>9.2813141683778237</v>
      </c>
      <c r="K690" s="7">
        <v>6.75</v>
      </c>
      <c r="L690" s="7">
        <v>-1.0944565390944813E-4</v>
      </c>
      <c r="M690" s="7">
        <v>2.6920269702771296E-3</v>
      </c>
      <c r="N690" s="7">
        <v>-2.0739229161565641E-2</v>
      </c>
      <c r="O690" s="7">
        <v>7.9015240430281408E-2</v>
      </c>
      <c r="P690" s="11">
        <f t="shared" si="42"/>
        <v>3.0922854595434952</v>
      </c>
    </row>
    <row r="691" spans="1:16" x14ac:dyDescent="0.25">
      <c r="A691" s="11">
        <v>6.79</v>
      </c>
      <c r="B691" s="7">
        <v>6.75</v>
      </c>
      <c r="C691" s="11">
        <v>-1.0944565390944813E-4</v>
      </c>
      <c r="D691" s="11">
        <v>2.6920269702771296E-3</v>
      </c>
      <c r="E691" s="11">
        <v>-2.0739229161565641E-2</v>
      </c>
      <c r="F691" s="11">
        <v>7.9015240430281408E-2</v>
      </c>
      <c r="G691" s="3">
        <f t="shared" si="40"/>
        <v>2.8047739064963786E-2</v>
      </c>
      <c r="H691" s="11"/>
      <c r="I691" s="17">
        <f t="shared" si="43"/>
        <v>49492</v>
      </c>
      <c r="J691" s="18">
        <f t="shared" si="41"/>
        <v>9.2950034223134832</v>
      </c>
      <c r="K691" s="7">
        <v>6.75</v>
      </c>
      <c r="L691" s="7">
        <v>-1.0944565390944813E-4</v>
      </c>
      <c r="M691" s="7">
        <v>2.6920269702771296E-3</v>
      </c>
      <c r="N691" s="7">
        <v>-2.0739229161565641E-2</v>
      </c>
      <c r="O691" s="7">
        <v>7.9015240430281408E-2</v>
      </c>
      <c r="P691" s="11">
        <f t="shared" si="42"/>
        <v>3.0935765188894182</v>
      </c>
    </row>
    <row r="692" spans="1:16" x14ac:dyDescent="0.25">
      <c r="A692" s="11">
        <v>6.8</v>
      </c>
      <c r="B692" s="7">
        <v>6.75</v>
      </c>
      <c r="C692" s="11">
        <v>-1.0944565390944813E-4</v>
      </c>
      <c r="D692" s="11">
        <v>2.6920269702771296E-3</v>
      </c>
      <c r="E692" s="11">
        <v>-2.0739229161565641E-2</v>
      </c>
      <c r="F692" s="11">
        <v>7.9015240430281408E-2</v>
      </c>
      <c r="G692" s="3">
        <f t="shared" si="40"/>
        <v>2.8054593387193918E-2</v>
      </c>
      <c r="H692" s="11"/>
      <c r="I692" s="17">
        <f t="shared" si="43"/>
        <v>49497</v>
      </c>
      <c r="J692" s="18">
        <f t="shared" si="41"/>
        <v>9.3086926762491444</v>
      </c>
      <c r="K692" s="7">
        <v>6.75</v>
      </c>
      <c r="L692" s="7">
        <v>-1.0944565390944813E-4</v>
      </c>
      <c r="M692" s="7">
        <v>2.6920269702771296E-3</v>
      </c>
      <c r="N692" s="7">
        <v>-2.0739229161565641E-2</v>
      </c>
      <c r="O692" s="7">
        <v>7.9015240430281408E-2</v>
      </c>
      <c r="P692" s="11">
        <f t="shared" si="42"/>
        <v>3.0948540907610984</v>
      </c>
    </row>
    <row r="693" spans="1:16" x14ac:dyDescent="0.25">
      <c r="A693" s="11">
        <v>6.81</v>
      </c>
      <c r="B693" s="7">
        <v>6.75</v>
      </c>
      <c r="C693" s="11">
        <v>-1.0944565390944813E-4</v>
      </c>
      <c r="D693" s="11">
        <v>2.6920269702771296E-3</v>
      </c>
      <c r="E693" s="11">
        <v>-2.0739229161565641E-2</v>
      </c>
      <c r="F693" s="11">
        <v>7.9015240430281408E-2</v>
      </c>
      <c r="G693" s="3">
        <f t="shared" si="40"/>
        <v>2.8061539576550165E-2</v>
      </c>
      <c r="H693" s="11"/>
      <c r="I693" s="17">
        <f t="shared" si="43"/>
        <v>49502</v>
      </c>
      <c r="J693" s="18">
        <f t="shared" si="41"/>
        <v>9.3223819301848057</v>
      </c>
      <c r="K693" s="7">
        <v>6.75</v>
      </c>
      <c r="L693" s="7">
        <v>-1.0944565390944813E-4</v>
      </c>
      <c r="M693" s="7">
        <v>2.6920269702771296E-3</v>
      </c>
      <c r="N693" s="7">
        <v>-2.0739229161565641E-2</v>
      </c>
      <c r="O693" s="7">
        <v>7.9015240430281408E-2</v>
      </c>
      <c r="P693" s="11">
        <f t="shared" si="42"/>
        <v>3.0961180067015146</v>
      </c>
    </row>
    <row r="694" spans="1:16" x14ac:dyDescent="0.25">
      <c r="A694" s="11">
        <v>6.82</v>
      </c>
      <c r="B694" s="7">
        <v>6.75</v>
      </c>
      <c r="C694" s="11">
        <v>-1.0944565390944813E-4</v>
      </c>
      <c r="D694" s="11">
        <v>2.6920269702771296E-3</v>
      </c>
      <c r="E694" s="11">
        <v>-2.0739229161565641E-2</v>
      </c>
      <c r="F694" s="11">
        <v>7.9015240430281408E-2</v>
      </c>
      <c r="G694" s="3">
        <f t="shared" si="40"/>
        <v>2.8068576976358603E-2</v>
      </c>
      <c r="H694" s="11"/>
      <c r="I694" s="17">
        <f t="shared" si="43"/>
        <v>49507</v>
      </c>
      <c r="J694" s="18">
        <f t="shared" si="41"/>
        <v>9.3360711841204651</v>
      </c>
      <c r="K694" s="7">
        <v>6.75</v>
      </c>
      <c r="L694" s="7">
        <v>-1.0944565390944813E-4</v>
      </c>
      <c r="M694" s="7">
        <v>2.6920269702771296E-3</v>
      </c>
      <c r="N694" s="7">
        <v>-2.0739229161565641E-2</v>
      </c>
      <c r="O694" s="7">
        <v>7.9015240430281408E-2</v>
      </c>
      <c r="P694" s="11">
        <f t="shared" si="42"/>
        <v>3.09736809825365</v>
      </c>
    </row>
    <row r="695" spans="1:16" x14ac:dyDescent="0.25">
      <c r="A695" s="11">
        <v>6.83</v>
      </c>
      <c r="B695" s="7">
        <v>6.75</v>
      </c>
      <c r="C695" s="11">
        <v>-1.0944565390944813E-4</v>
      </c>
      <c r="D695" s="11">
        <v>2.6920269702771296E-3</v>
      </c>
      <c r="E695" s="11">
        <v>-2.0739229161565641E-2</v>
      </c>
      <c r="F695" s="11">
        <v>7.9015240430281408E-2</v>
      </c>
      <c r="G695" s="3">
        <f t="shared" si="40"/>
        <v>2.807570492994528E-2</v>
      </c>
      <c r="H695" s="11"/>
      <c r="I695" s="17">
        <f t="shared" si="43"/>
        <v>49512</v>
      </c>
      <c r="J695" s="18">
        <f t="shared" si="41"/>
        <v>9.3497604380561263</v>
      </c>
      <c r="K695" s="7">
        <v>6.75</v>
      </c>
      <c r="L695" s="7">
        <v>-1.0944565390944813E-4</v>
      </c>
      <c r="M695" s="7">
        <v>2.6920269702771296E-3</v>
      </c>
      <c r="N695" s="7">
        <v>-2.0739229161565641E-2</v>
      </c>
      <c r="O695" s="7">
        <v>7.9015240430281408E-2</v>
      </c>
      <c r="P695" s="11">
        <f t="shared" si="42"/>
        <v>3.0986041969604834</v>
      </c>
    </row>
    <row r="696" spans="1:16" x14ac:dyDescent="0.25">
      <c r="A696" s="11">
        <v>6.84</v>
      </c>
      <c r="B696" s="7">
        <v>6.75</v>
      </c>
      <c r="C696" s="11">
        <v>-1.0944565390944813E-4</v>
      </c>
      <c r="D696" s="11">
        <v>2.6920269702771296E-3</v>
      </c>
      <c r="E696" s="11">
        <v>-2.0739229161565641E-2</v>
      </c>
      <c r="F696" s="11">
        <v>7.9015240430281408E-2</v>
      </c>
      <c r="G696" s="3">
        <f t="shared" si="40"/>
        <v>2.8082922780636302E-2</v>
      </c>
      <c r="H696" s="11"/>
      <c r="I696" s="17">
        <f t="shared" si="43"/>
        <v>49517</v>
      </c>
      <c r="J696" s="18">
        <f t="shared" si="41"/>
        <v>9.3634496919917858</v>
      </c>
      <c r="K696" s="7">
        <v>6.75</v>
      </c>
      <c r="L696" s="7">
        <v>-1.0944565390944813E-4</v>
      </c>
      <c r="M696" s="7">
        <v>2.6920269702771296E-3</v>
      </c>
      <c r="N696" s="7">
        <v>-2.0739229161565641E-2</v>
      </c>
      <c r="O696" s="7">
        <v>7.9015240430281408E-2</v>
      </c>
      <c r="P696" s="11">
        <f t="shared" si="42"/>
        <v>3.0998261343649998</v>
      </c>
    </row>
    <row r="697" spans="1:16" x14ac:dyDescent="0.25">
      <c r="A697" s="11">
        <v>6.85</v>
      </c>
      <c r="B697" s="7">
        <v>6.75</v>
      </c>
      <c r="C697" s="11">
        <v>-1.0944565390944813E-4</v>
      </c>
      <c r="D697" s="11">
        <v>2.6920269702771296E-3</v>
      </c>
      <c r="E697" s="11">
        <v>-2.0739229161565641E-2</v>
      </c>
      <c r="F697" s="11">
        <v>7.9015240430281408E-2</v>
      </c>
      <c r="G697" s="3">
        <f t="shared" si="40"/>
        <v>2.809022987175773E-2</v>
      </c>
      <c r="H697" s="11"/>
      <c r="I697" s="17">
        <f t="shared" si="43"/>
        <v>49522</v>
      </c>
      <c r="J697" s="18">
        <f t="shared" si="41"/>
        <v>9.377138945927447</v>
      </c>
      <c r="K697" s="7">
        <v>6.75</v>
      </c>
      <c r="L697" s="7">
        <v>-1.0944565390944813E-4</v>
      </c>
      <c r="M697" s="7">
        <v>2.6920269702771296E-3</v>
      </c>
      <c r="N697" s="7">
        <v>-2.0739229161565641E-2</v>
      </c>
      <c r="O697" s="7">
        <v>7.9015240430281408E-2</v>
      </c>
      <c r="P697" s="11">
        <f t="shared" si="42"/>
        <v>3.1010337420101788</v>
      </c>
    </row>
    <row r="698" spans="1:16" x14ac:dyDescent="0.25">
      <c r="A698" s="11">
        <v>6.86</v>
      </c>
      <c r="B698" s="7">
        <v>6.75</v>
      </c>
      <c r="C698" s="11">
        <v>-1.0944565390944813E-4</v>
      </c>
      <c r="D698" s="11">
        <v>2.6920269702771296E-3</v>
      </c>
      <c r="E698" s="11">
        <v>-2.0739229161565641E-2</v>
      </c>
      <c r="F698" s="11">
        <v>7.9015240430281408E-2</v>
      </c>
      <c r="G698" s="3">
        <f t="shared" si="40"/>
        <v>2.8097625546635641E-2</v>
      </c>
      <c r="H698" s="11"/>
      <c r="I698" s="17">
        <f t="shared" si="43"/>
        <v>49527</v>
      </c>
      <c r="J698" s="18">
        <f t="shared" si="41"/>
        <v>9.3908281998631082</v>
      </c>
      <c r="K698" s="7">
        <v>6.75</v>
      </c>
      <c r="L698" s="7">
        <v>-1.0944565390944813E-4</v>
      </c>
      <c r="M698" s="7">
        <v>2.6920269702771296E-3</v>
      </c>
      <c r="N698" s="7">
        <v>-2.0739229161565641E-2</v>
      </c>
      <c r="O698" s="7">
        <v>7.9015240430281408E-2</v>
      </c>
      <c r="P698" s="11">
        <f t="shared" si="42"/>
        <v>3.1022268514389966</v>
      </c>
    </row>
    <row r="699" spans="1:16" x14ac:dyDescent="0.25">
      <c r="A699" s="11">
        <v>6.87</v>
      </c>
      <c r="B699" s="7">
        <v>6.75</v>
      </c>
      <c r="C699" s="11">
        <v>-1.0944565390944813E-4</v>
      </c>
      <c r="D699" s="11">
        <v>2.6920269702771296E-3</v>
      </c>
      <c r="E699" s="11">
        <v>-2.0739229161565641E-2</v>
      </c>
      <c r="F699" s="11">
        <v>7.9015240430281408E-2</v>
      </c>
      <c r="G699" s="3">
        <f t="shared" si="40"/>
        <v>2.8105109148596125E-2</v>
      </c>
      <c r="H699" s="11"/>
      <c r="I699" s="17">
        <f t="shared" si="43"/>
        <v>49532</v>
      </c>
      <c r="J699" s="18">
        <f t="shared" si="41"/>
        <v>9.4045174537987677</v>
      </c>
      <c r="K699" s="7">
        <v>6.75</v>
      </c>
      <c r="L699" s="7">
        <v>-1.0944565390944813E-4</v>
      </c>
      <c r="M699" s="7">
        <v>2.6920269702771296E-3</v>
      </c>
      <c r="N699" s="7">
        <v>-2.0739229161565641E-2</v>
      </c>
      <c r="O699" s="7">
        <v>7.9015240430281408E-2</v>
      </c>
      <c r="P699" s="11">
        <f t="shared" si="42"/>
        <v>3.1034052941944474</v>
      </c>
    </row>
    <row r="700" spans="1:16" x14ac:dyDescent="0.25">
      <c r="A700" s="11">
        <v>6.88</v>
      </c>
      <c r="B700" s="7">
        <v>6.75</v>
      </c>
      <c r="C700" s="11">
        <v>-1.0944565390944813E-4</v>
      </c>
      <c r="D700" s="11">
        <v>2.6920269702771296E-3</v>
      </c>
      <c r="E700" s="11">
        <v>-2.0739229161565641E-2</v>
      </c>
      <c r="F700" s="11">
        <v>7.9015240430281408E-2</v>
      </c>
      <c r="G700" s="3">
        <f t="shared" si="40"/>
        <v>2.8112680020965258E-2</v>
      </c>
      <c r="H700" s="11"/>
      <c r="I700" s="17">
        <f t="shared" si="43"/>
        <v>49537</v>
      </c>
      <c r="J700" s="18">
        <f t="shared" si="41"/>
        <v>9.4182067077344289</v>
      </c>
      <c r="K700" s="7">
        <v>6.75</v>
      </c>
      <c r="L700" s="7">
        <v>-1.0944565390944813E-4</v>
      </c>
      <c r="M700" s="7">
        <v>2.6920269702771296E-3</v>
      </c>
      <c r="N700" s="7">
        <v>-2.0739229161565641E-2</v>
      </c>
      <c r="O700" s="7">
        <v>7.9015240430281408E-2</v>
      </c>
      <c r="P700" s="11">
        <f t="shared" si="42"/>
        <v>3.1045689018194986</v>
      </c>
    </row>
    <row r="701" spans="1:16" x14ac:dyDescent="0.25">
      <c r="A701" s="11">
        <v>6.89</v>
      </c>
      <c r="B701" s="7">
        <v>6.75</v>
      </c>
      <c r="C701" s="11">
        <v>-1.0944565390944813E-4</v>
      </c>
      <c r="D701" s="11">
        <v>2.6920269702771296E-3</v>
      </c>
      <c r="E701" s="11">
        <v>-2.0739229161565641E-2</v>
      </c>
      <c r="F701" s="11">
        <v>7.9015240430281408E-2</v>
      </c>
      <c r="G701" s="3">
        <f t="shared" si="40"/>
        <v>2.8120337507069104E-2</v>
      </c>
      <c r="H701" s="11"/>
      <c r="I701" s="17">
        <f t="shared" si="43"/>
        <v>49542</v>
      </c>
      <c r="J701" s="18">
        <f t="shared" si="41"/>
        <v>9.4318959616700884</v>
      </c>
      <c r="K701" s="7">
        <v>6.75</v>
      </c>
      <c r="L701" s="7">
        <v>-1.0944565390944813E-4</v>
      </c>
      <c r="M701" s="7">
        <v>2.6920269702771296E-3</v>
      </c>
      <c r="N701" s="7">
        <v>-2.0739229161565641E-2</v>
      </c>
      <c r="O701" s="7">
        <v>7.9015240430281408E-2</v>
      </c>
      <c r="P701" s="11">
        <f t="shared" si="42"/>
        <v>3.1057175058571391</v>
      </c>
    </row>
    <row r="702" spans="1:16" x14ac:dyDescent="0.25">
      <c r="A702" s="11">
        <v>6.9</v>
      </c>
      <c r="B702" s="7">
        <v>6.75</v>
      </c>
      <c r="C702" s="11">
        <v>-1.0944565390944813E-4</v>
      </c>
      <c r="D702" s="11">
        <v>2.6920269702771296E-3</v>
      </c>
      <c r="E702" s="11">
        <v>-2.0739229161565641E-2</v>
      </c>
      <c r="F702" s="11">
        <v>7.9015240430281408E-2</v>
      </c>
      <c r="G702" s="3">
        <f t="shared" si="40"/>
        <v>2.8128080950233725E-2</v>
      </c>
      <c r="H702" s="11"/>
      <c r="I702" s="17">
        <f t="shared" si="43"/>
        <v>49547</v>
      </c>
      <c r="J702" s="18">
        <f t="shared" si="41"/>
        <v>9.4455852156057496</v>
      </c>
      <c r="K702" s="7">
        <v>6.75</v>
      </c>
      <c r="L702" s="7">
        <v>-1.0944565390944813E-4</v>
      </c>
      <c r="M702" s="7">
        <v>2.6920269702771296E-3</v>
      </c>
      <c r="N702" s="7">
        <v>-2.0739229161565641E-2</v>
      </c>
      <c r="O702" s="7">
        <v>7.9015240430281408E-2</v>
      </c>
      <c r="P702" s="11">
        <f t="shared" si="42"/>
        <v>3.1068509378503526</v>
      </c>
    </row>
    <row r="703" spans="1:16" x14ac:dyDescent="0.25">
      <c r="A703" s="11">
        <v>6.91</v>
      </c>
      <c r="B703" s="7">
        <v>6.75</v>
      </c>
      <c r="C703" s="11">
        <v>-1.0944565390944813E-4</v>
      </c>
      <c r="D703" s="11">
        <v>2.6920269702771296E-3</v>
      </c>
      <c r="E703" s="11">
        <v>-2.0739229161565641E-2</v>
      </c>
      <c r="F703" s="11">
        <v>7.9015240430281408E-2</v>
      </c>
      <c r="G703" s="3">
        <f t="shared" si="40"/>
        <v>2.8135909693785238E-2</v>
      </c>
      <c r="H703" s="11"/>
      <c r="I703" s="17">
        <f t="shared" si="43"/>
        <v>49552</v>
      </c>
      <c r="J703" s="18">
        <f t="shared" si="41"/>
        <v>9.4592744695414108</v>
      </c>
      <c r="K703" s="7">
        <v>6.75</v>
      </c>
      <c r="L703" s="7">
        <v>-1.0944565390944813E-4</v>
      </c>
      <c r="M703" s="7">
        <v>2.6920269702771296E-3</v>
      </c>
      <c r="N703" s="7">
        <v>-2.0739229161565641E-2</v>
      </c>
      <c r="O703" s="7">
        <v>7.9015240430281408E-2</v>
      </c>
      <c r="P703" s="11">
        <f t="shared" si="42"/>
        <v>3.1079690293421143</v>
      </c>
    </row>
    <row r="704" spans="1:16" x14ac:dyDescent="0.25">
      <c r="A704" s="11">
        <v>6.92</v>
      </c>
      <c r="B704" s="7">
        <v>6.75</v>
      </c>
      <c r="C704" s="11">
        <v>-1.0944565390944813E-4</v>
      </c>
      <c r="D704" s="11">
        <v>2.6920269702771296E-3</v>
      </c>
      <c r="E704" s="11">
        <v>-2.0739229161565641E-2</v>
      </c>
      <c r="F704" s="11">
        <v>7.9015240430281408E-2</v>
      </c>
      <c r="G704" s="3">
        <f t="shared" si="40"/>
        <v>2.8143823081049693E-2</v>
      </c>
      <c r="H704" s="11"/>
      <c r="I704" s="17">
        <f t="shared" si="43"/>
        <v>49557</v>
      </c>
      <c r="J704" s="18">
        <f t="shared" si="41"/>
        <v>9.4729637234770703</v>
      </c>
      <c r="K704" s="7">
        <v>6.75</v>
      </c>
      <c r="L704" s="7">
        <v>-1.0944565390944813E-4</v>
      </c>
      <c r="M704" s="7">
        <v>2.6920269702771296E-3</v>
      </c>
      <c r="N704" s="7">
        <v>-2.0739229161565641E-2</v>
      </c>
      <c r="O704" s="7">
        <v>7.9015240430281408E-2</v>
      </c>
      <c r="P704" s="11">
        <f t="shared" si="42"/>
        <v>3.1090716118754083</v>
      </c>
    </row>
    <row r="705" spans="1:16" x14ac:dyDescent="0.25">
      <c r="A705" s="11">
        <v>6.93</v>
      </c>
      <c r="B705" s="7">
        <v>6.75</v>
      </c>
      <c r="C705" s="11">
        <v>-1.0944565390944813E-4</v>
      </c>
      <c r="D705" s="11">
        <v>2.6920269702771296E-3</v>
      </c>
      <c r="E705" s="11">
        <v>-2.0739229161565641E-2</v>
      </c>
      <c r="F705" s="11">
        <v>7.9015240430281408E-2</v>
      </c>
      <c r="G705" s="3">
        <f t="shared" si="40"/>
        <v>2.8151820455353166E-2</v>
      </c>
      <c r="H705" s="11"/>
      <c r="I705" s="17">
        <f t="shared" si="43"/>
        <v>49562</v>
      </c>
      <c r="J705" s="18">
        <f t="shared" si="41"/>
        <v>9.4866529774127315</v>
      </c>
      <c r="K705" s="7">
        <v>6.75</v>
      </c>
      <c r="L705" s="7">
        <v>-1.0944565390944813E-4</v>
      </c>
      <c r="M705" s="7">
        <v>2.6920269702771296E-3</v>
      </c>
      <c r="N705" s="7">
        <v>-2.0739229161565641E-2</v>
      </c>
      <c r="O705" s="7">
        <v>7.9015240430281408E-2</v>
      </c>
      <c r="P705" s="11">
        <f t="shared" si="42"/>
        <v>3.1101585169932164</v>
      </c>
    </row>
    <row r="706" spans="1:16" x14ac:dyDescent="0.25">
      <c r="A706" s="11">
        <v>6.94</v>
      </c>
      <c r="B706" s="7">
        <v>6.75</v>
      </c>
      <c r="C706" s="11">
        <v>-1.0944565390944813E-4</v>
      </c>
      <c r="D706" s="11">
        <v>2.6920269702771296E-3</v>
      </c>
      <c r="E706" s="11">
        <v>-2.0739229161565641E-2</v>
      </c>
      <c r="F706" s="11">
        <v>7.9015240430281408E-2</v>
      </c>
      <c r="G706" s="3">
        <f t="shared" si="40"/>
        <v>2.8159901160021733E-2</v>
      </c>
      <c r="H706" s="11"/>
      <c r="I706" s="17">
        <f t="shared" si="43"/>
        <v>49567</v>
      </c>
      <c r="J706" s="18">
        <f t="shared" si="41"/>
        <v>9.500342231348391</v>
      </c>
      <c r="K706" s="7">
        <v>6.75</v>
      </c>
      <c r="L706" s="7">
        <v>-1.0944565390944813E-4</v>
      </c>
      <c r="M706" s="7">
        <v>2.6920269702771296E-3</v>
      </c>
      <c r="N706" s="7">
        <v>-2.0739229161565641E-2</v>
      </c>
      <c r="O706" s="7">
        <v>7.9015240430281408E-2</v>
      </c>
      <c r="P706" s="11">
        <f t="shared" si="42"/>
        <v>3.1112295762385251</v>
      </c>
    </row>
    <row r="707" spans="1:16" x14ac:dyDescent="0.25">
      <c r="A707" s="11">
        <v>6.95</v>
      </c>
      <c r="B707" s="7">
        <v>6.75</v>
      </c>
      <c r="C707" s="11">
        <v>-1.0944565390944813E-4</v>
      </c>
      <c r="D707" s="11">
        <v>2.6920269702771296E-3</v>
      </c>
      <c r="E707" s="11">
        <v>-2.0739229161565641E-2</v>
      </c>
      <c r="F707" s="11">
        <v>7.9015240430281408E-2</v>
      </c>
      <c r="G707" s="3">
        <f t="shared" si="40"/>
        <v>2.8168064538381499E-2</v>
      </c>
      <c r="H707" s="11"/>
      <c r="I707" s="17">
        <f t="shared" si="43"/>
        <v>49572</v>
      </c>
      <c r="J707" s="18">
        <f t="shared" si="41"/>
        <v>9.5140314852840522</v>
      </c>
      <c r="K707" s="7">
        <v>6.75</v>
      </c>
      <c r="L707" s="7">
        <v>-1.0944565390944813E-4</v>
      </c>
      <c r="M707" s="7">
        <v>2.6920269702771296E-3</v>
      </c>
      <c r="N707" s="7">
        <v>-2.0739229161565641E-2</v>
      </c>
      <c r="O707" s="7">
        <v>7.9015240430281408E-2</v>
      </c>
      <c r="P707" s="11">
        <f t="shared" si="42"/>
        <v>3.11228462115431</v>
      </c>
    </row>
    <row r="708" spans="1:16" x14ac:dyDescent="0.25">
      <c r="A708" s="11">
        <v>6.96</v>
      </c>
      <c r="B708" s="7">
        <v>6.75</v>
      </c>
      <c r="C708" s="11">
        <v>-1.0944565390944813E-4</v>
      </c>
      <c r="D708" s="11">
        <v>2.6920269702771296E-3</v>
      </c>
      <c r="E708" s="11">
        <v>-2.0739229161565641E-2</v>
      </c>
      <c r="F708" s="11">
        <v>7.9015240430281408E-2</v>
      </c>
      <c r="G708" s="3">
        <f t="shared" si="40"/>
        <v>2.8176309933758498E-2</v>
      </c>
      <c r="H708" s="11"/>
      <c r="I708" s="17">
        <f t="shared" si="43"/>
        <v>49577</v>
      </c>
      <c r="J708" s="18">
        <f t="shared" si="41"/>
        <v>9.5277207392197134</v>
      </c>
      <c r="K708" s="7">
        <v>6.75</v>
      </c>
      <c r="L708" s="7">
        <v>-1.0944565390944813E-4</v>
      </c>
      <c r="M708" s="7">
        <v>2.6920269702771296E-3</v>
      </c>
      <c r="N708" s="7">
        <v>-2.0739229161565641E-2</v>
      </c>
      <c r="O708" s="7">
        <v>7.9015240430281408E-2</v>
      </c>
      <c r="P708" s="11">
        <f t="shared" si="42"/>
        <v>3.1133234832835477</v>
      </c>
    </row>
    <row r="709" spans="1:16" x14ac:dyDescent="0.25">
      <c r="A709" s="11">
        <v>6.97</v>
      </c>
      <c r="B709" s="7">
        <v>6.75</v>
      </c>
      <c r="C709" s="11">
        <v>-1.0944565390944813E-4</v>
      </c>
      <c r="D709" s="11">
        <v>2.6920269702771296E-3</v>
      </c>
      <c r="E709" s="11">
        <v>-2.0739229161565641E-2</v>
      </c>
      <c r="F709" s="11">
        <v>7.9015240430281408E-2</v>
      </c>
      <c r="G709" s="3">
        <f t="shared" si="40"/>
        <v>2.818463668947882E-2</v>
      </c>
      <c r="H709" s="11"/>
      <c r="I709" s="17">
        <f t="shared" si="43"/>
        <v>49582</v>
      </c>
      <c r="J709" s="18">
        <f t="shared" si="41"/>
        <v>9.5414099931553729</v>
      </c>
      <c r="K709" s="7">
        <v>6.75</v>
      </c>
      <c r="L709" s="7">
        <v>-1.0944565390944813E-4</v>
      </c>
      <c r="M709" s="7">
        <v>2.6920269702771296E-3</v>
      </c>
      <c r="N709" s="7">
        <v>-2.0739229161565641E-2</v>
      </c>
      <c r="O709" s="7">
        <v>7.9015240430281408E-2</v>
      </c>
      <c r="P709" s="11">
        <f t="shared" si="42"/>
        <v>3.1143459941692293</v>
      </c>
    </row>
    <row r="710" spans="1:16" x14ac:dyDescent="0.25">
      <c r="A710" s="11">
        <v>6.98</v>
      </c>
      <c r="B710" s="7">
        <v>6.75</v>
      </c>
      <c r="C710" s="11">
        <v>-1.0944565390944813E-4</v>
      </c>
      <c r="D710" s="11">
        <v>2.6920269702771296E-3</v>
      </c>
      <c r="E710" s="11">
        <v>-2.0739229161565641E-2</v>
      </c>
      <c r="F710" s="11">
        <v>7.9015240430281408E-2</v>
      </c>
      <c r="G710" s="3">
        <f t="shared" si="40"/>
        <v>2.8193044148868557E-2</v>
      </c>
      <c r="H710" s="11"/>
      <c r="I710" s="17">
        <f t="shared" si="43"/>
        <v>49587</v>
      </c>
      <c r="J710" s="18">
        <f t="shared" si="41"/>
        <v>9.5550992470910341</v>
      </c>
      <c r="K710" s="7">
        <v>6.75</v>
      </c>
      <c r="L710" s="7">
        <v>-1.0944565390944813E-4</v>
      </c>
      <c r="M710" s="7">
        <v>2.6920269702771296E-3</v>
      </c>
      <c r="N710" s="7">
        <v>-2.0739229161565641E-2</v>
      </c>
      <c r="O710" s="7">
        <v>7.9015240430281408E-2</v>
      </c>
      <c r="P710" s="11">
        <f t="shared" si="42"/>
        <v>3.1153519853543337</v>
      </c>
    </row>
    <row r="711" spans="1:16" x14ac:dyDescent="0.25">
      <c r="A711" s="11">
        <v>6.99</v>
      </c>
      <c r="B711" s="7">
        <v>6.75</v>
      </c>
      <c r="C711" s="11">
        <v>-1.0944565390944813E-4</v>
      </c>
      <c r="D711" s="11">
        <v>2.6920269702771296E-3</v>
      </c>
      <c r="E711" s="11">
        <v>-2.0739229161565641E-2</v>
      </c>
      <c r="F711" s="11">
        <v>7.9015240430281408E-2</v>
      </c>
      <c r="G711" s="3">
        <f t="shared" si="40"/>
        <v>2.8201531655253798E-2</v>
      </c>
      <c r="H711" s="11"/>
      <c r="I711" s="17">
        <f t="shared" si="43"/>
        <v>49592</v>
      </c>
      <c r="J711" s="18">
        <f t="shared" si="41"/>
        <v>9.5687885010266935</v>
      </c>
      <c r="K711" s="7">
        <v>6.75</v>
      </c>
      <c r="L711" s="7">
        <v>-1.0944565390944813E-4</v>
      </c>
      <c r="M711" s="7">
        <v>2.6920269702771296E-3</v>
      </c>
      <c r="N711" s="7">
        <v>-2.0739229161565641E-2</v>
      </c>
      <c r="O711" s="7">
        <v>7.9015240430281408E-2</v>
      </c>
      <c r="P711" s="11">
        <f t="shared" si="42"/>
        <v>3.1163412883818382</v>
      </c>
    </row>
    <row r="712" spans="1:16" x14ac:dyDescent="0.25">
      <c r="A712" s="11">
        <v>7</v>
      </c>
      <c r="B712" s="7">
        <v>6.75</v>
      </c>
      <c r="C712" s="11">
        <v>-1.0944565390944813E-4</v>
      </c>
      <c r="D712" s="11">
        <v>2.6920269702771296E-3</v>
      </c>
      <c r="E712" s="11">
        <v>-2.0739229161565641E-2</v>
      </c>
      <c r="F712" s="11">
        <v>7.9015240430281408E-2</v>
      </c>
      <c r="G712" s="3">
        <f t="shared" si="40"/>
        <v>2.8210098551960563E-2</v>
      </c>
      <c r="H712" s="11"/>
      <c r="I712" s="17">
        <f t="shared" si="43"/>
        <v>49597</v>
      </c>
      <c r="J712" s="18">
        <f t="shared" si="41"/>
        <v>9.5824777549623548</v>
      </c>
      <c r="K712" s="7">
        <v>6.75</v>
      </c>
      <c r="L712" s="7">
        <v>-1.0944565390944813E-4</v>
      </c>
      <c r="M712" s="7">
        <v>2.6920269702771296E-3</v>
      </c>
      <c r="N712" s="7">
        <v>-2.0739229161565641E-2</v>
      </c>
      <c r="O712" s="7">
        <v>7.9015240430281408E-2</v>
      </c>
      <c r="P712" s="11">
        <f t="shared" si="42"/>
        <v>3.1173137347947302</v>
      </c>
    </row>
    <row r="713" spans="1:16" x14ac:dyDescent="0.25">
      <c r="A713" s="11">
        <v>7.01</v>
      </c>
      <c r="B713" s="7">
        <v>6.75</v>
      </c>
      <c r="C713" s="11">
        <v>-1.0944565390944813E-4</v>
      </c>
      <c r="D713" s="11">
        <v>2.6920269702771296E-3</v>
      </c>
      <c r="E713" s="11">
        <v>-2.0739229161565641E-2</v>
      </c>
      <c r="F713" s="11">
        <v>7.9015240430281408E-2</v>
      </c>
      <c r="G713" s="3">
        <f t="shared" si="40"/>
        <v>2.8218744182314986E-2</v>
      </c>
      <c r="H713" s="11"/>
      <c r="I713" s="17">
        <f t="shared" si="43"/>
        <v>49602</v>
      </c>
      <c r="J713" s="18">
        <f t="shared" si="41"/>
        <v>9.5961670088980142</v>
      </c>
      <c r="K713" s="7">
        <v>6.75</v>
      </c>
      <c r="L713" s="7">
        <v>-1.0944565390944813E-4</v>
      </c>
      <c r="M713" s="7">
        <v>2.6920269702771296E-3</v>
      </c>
      <c r="N713" s="7">
        <v>-2.0739229161565641E-2</v>
      </c>
      <c r="O713" s="7">
        <v>7.9015240430281408E-2</v>
      </c>
      <c r="P713" s="11">
        <f t="shared" si="42"/>
        <v>3.118269156135983</v>
      </c>
    </row>
    <row r="714" spans="1:16" x14ac:dyDescent="0.25">
      <c r="A714" s="11">
        <v>7.02</v>
      </c>
      <c r="B714" s="7">
        <v>6.75</v>
      </c>
      <c r="C714" s="11">
        <v>-1.0944565390944813E-4</v>
      </c>
      <c r="D714" s="11">
        <v>2.6920269702771296E-3</v>
      </c>
      <c r="E714" s="11">
        <v>-2.0739229161565641E-2</v>
      </c>
      <c r="F714" s="11">
        <v>7.9015240430281408E-2</v>
      </c>
      <c r="G714" s="3">
        <f t="shared" si="40"/>
        <v>2.8227467889643129E-2</v>
      </c>
      <c r="H714" s="11"/>
      <c r="I714" s="17">
        <f t="shared" si="43"/>
        <v>49607</v>
      </c>
      <c r="J714" s="18">
        <f t="shared" si="41"/>
        <v>9.6098562628336754</v>
      </c>
      <c r="K714" s="7">
        <v>6.75</v>
      </c>
      <c r="L714" s="7">
        <v>-1.0944565390944813E-4</v>
      </c>
      <c r="M714" s="7">
        <v>2.6920269702771296E-3</v>
      </c>
      <c r="N714" s="7">
        <v>-2.0739229161565641E-2</v>
      </c>
      <c r="O714" s="7">
        <v>7.9015240430281408E-2</v>
      </c>
      <c r="P714" s="11">
        <f t="shared" si="42"/>
        <v>3.1192073839485914</v>
      </c>
    </row>
    <row r="715" spans="1:16" x14ac:dyDescent="0.25">
      <c r="A715" s="11">
        <v>7.03</v>
      </c>
      <c r="B715" s="7">
        <v>6.75</v>
      </c>
      <c r="C715" s="11">
        <v>-1.0944565390944813E-4</v>
      </c>
      <c r="D715" s="11">
        <v>2.6920269702771296E-3</v>
      </c>
      <c r="E715" s="11">
        <v>-2.0739229161565641E-2</v>
      </c>
      <c r="F715" s="11">
        <v>7.9015240430281408E-2</v>
      </c>
      <c r="G715" s="3">
        <f t="shared" si="40"/>
        <v>2.8236269017271026E-2</v>
      </c>
      <c r="H715" s="11"/>
      <c r="I715" s="17">
        <f t="shared" si="43"/>
        <v>49612</v>
      </c>
      <c r="J715" s="18">
        <f t="shared" si="41"/>
        <v>9.6235455167693367</v>
      </c>
      <c r="K715" s="7">
        <v>6.75</v>
      </c>
      <c r="L715" s="7">
        <v>-1.0944565390944813E-4</v>
      </c>
      <c r="M715" s="7">
        <v>2.6920269702771296E-3</v>
      </c>
      <c r="N715" s="7">
        <v>-2.0739229161565641E-2</v>
      </c>
      <c r="O715" s="7">
        <v>7.9015240430281408E-2</v>
      </c>
      <c r="P715" s="11">
        <f t="shared" si="42"/>
        <v>3.1201282497755223</v>
      </c>
    </row>
    <row r="716" spans="1:16" x14ac:dyDescent="0.25">
      <c r="A716" s="11">
        <v>7.04</v>
      </c>
      <c r="B716" s="7">
        <v>6.75</v>
      </c>
      <c r="C716" s="11">
        <v>-1.0944565390944813E-4</v>
      </c>
      <c r="D716" s="11">
        <v>2.6920269702771296E-3</v>
      </c>
      <c r="E716" s="11">
        <v>-2.0739229161565641E-2</v>
      </c>
      <c r="F716" s="11">
        <v>7.9015240430281408E-2</v>
      </c>
      <c r="G716" s="3">
        <f t="shared" si="40"/>
        <v>2.8245146908524824E-2</v>
      </c>
      <c r="H716" s="11"/>
      <c r="I716" s="17">
        <f t="shared" si="43"/>
        <v>49617</v>
      </c>
      <c r="J716" s="18">
        <f t="shared" si="41"/>
        <v>9.6372347707049961</v>
      </c>
      <c r="K716" s="7">
        <v>6.75</v>
      </c>
      <c r="L716" s="7">
        <v>-1.0944565390944813E-4</v>
      </c>
      <c r="M716" s="7">
        <v>2.6920269702771296E-3</v>
      </c>
      <c r="N716" s="7">
        <v>-2.0739229161565641E-2</v>
      </c>
      <c r="O716" s="7">
        <v>7.9015240430281408E-2</v>
      </c>
      <c r="P716" s="11">
        <f t="shared" si="42"/>
        <v>3.1210315851597699</v>
      </c>
    </row>
    <row r="717" spans="1:16" x14ac:dyDescent="0.25">
      <c r="A717" s="11">
        <v>7.05</v>
      </c>
      <c r="B717" s="7">
        <v>6.75</v>
      </c>
      <c r="C717" s="11">
        <v>-1.0944565390944813E-4</v>
      </c>
      <c r="D717" s="11">
        <v>2.6920269702771296E-3</v>
      </c>
      <c r="E717" s="11">
        <v>-2.0739229161565641E-2</v>
      </c>
      <c r="F717" s="11">
        <v>7.9015240430281408E-2</v>
      </c>
      <c r="G717" s="3">
        <f t="shared" ref="G717:G780" si="44">C717*A717^3 + D717*A717^2 + E717*A717 + F717</f>
        <v>2.8254100906730542E-2</v>
      </c>
      <c r="H717" s="11"/>
      <c r="I717" s="17">
        <f t="shared" si="43"/>
        <v>49622</v>
      </c>
      <c r="J717" s="18">
        <f t="shared" ref="J717:J780" si="45">(I717-$I$12)/365.25</f>
        <v>9.6509240246406574</v>
      </c>
      <c r="K717" s="7">
        <v>6.75</v>
      </c>
      <c r="L717" s="7">
        <v>-1.0944565390944813E-4</v>
      </c>
      <c r="M717" s="7">
        <v>2.6920269702771296E-3</v>
      </c>
      <c r="N717" s="7">
        <v>-2.0739229161565641E-2</v>
      </c>
      <c r="O717" s="7">
        <v>7.9015240430281408E-2</v>
      </c>
      <c r="P717" s="11">
        <f t="shared" ref="P717:P780" si="46">100*(L717*J717^3 + M717*J717^2 + N717*J717 + O717)</f>
        <v>3.1219172216442992</v>
      </c>
    </row>
    <row r="718" spans="1:16" x14ac:dyDescent="0.25">
      <c r="A718" s="11">
        <v>7.06</v>
      </c>
      <c r="B718" s="7">
        <v>6.75</v>
      </c>
      <c r="C718" s="11">
        <v>-1.0944565390944813E-4</v>
      </c>
      <c r="D718" s="11">
        <v>2.6920269702771296E-3</v>
      </c>
      <c r="E718" s="11">
        <v>-2.0739229161565641E-2</v>
      </c>
      <c r="F718" s="11">
        <v>7.9015240430281408E-2</v>
      </c>
      <c r="G718" s="3">
        <f t="shared" si="44"/>
        <v>2.8263130355214272E-2</v>
      </c>
      <c r="H718" s="11"/>
      <c r="I718" s="17">
        <f t="shared" ref="I718:I781" si="47">I717+5</f>
        <v>49627</v>
      </c>
      <c r="J718" s="18">
        <f t="shared" si="45"/>
        <v>9.6646132785763168</v>
      </c>
      <c r="K718" s="7">
        <v>6.75</v>
      </c>
      <c r="L718" s="7">
        <v>-1.0944565390944813E-4</v>
      </c>
      <c r="M718" s="7">
        <v>2.6920269702771296E-3</v>
      </c>
      <c r="N718" s="7">
        <v>-2.0739229161565641E-2</v>
      </c>
      <c r="O718" s="7">
        <v>7.9015240430281408E-2</v>
      </c>
      <c r="P718" s="11">
        <f t="shared" si="46"/>
        <v>3.1227849907721095</v>
      </c>
    </row>
    <row r="719" spans="1:16" x14ac:dyDescent="0.25">
      <c r="A719" s="11">
        <v>7.07</v>
      </c>
      <c r="B719" s="7">
        <v>6.75</v>
      </c>
      <c r="C719" s="11">
        <v>-1.0944565390944813E-4</v>
      </c>
      <c r="D719" s="11">
        <v>2.6920269702771296E-3</v>
      </c>
      <c r="E719" s="11">
        <v>-2.0739229161565641E-2</v>
      </c>
      <c r="F719" s="11">
        <v>7.9015240430281408E-2</v>
      </c>
      <c r="G719" s="3">
        <f t="shared" si="44"/>
        <v>2.8272234597302118E-2</v>
      </c>
      <c r="H719" s="11"/>
      <c r="I719" s="17">
        <f t="shared" si="47"/>
        <v>49632</v>
      </c>
      <c r="J719" s="18">
        <f t="shared" si="45"/>
        <v>9.678302532511978</v>
      </c>
      <c r="K719" s="7">
        <v>6.75</v>
      </c>
      <c r="L719" s="7">
        <v>-1.0944565390944813E-4</v>
      </c>
      <c r="M719" s="7">
        <v>2.6920269702771296E-3</v>
      </c>
      <c r="N719" s="7">
        <v>-2.0739229161565641E-2</v>
      </c>
      <c r="O719" s="7">
        <v>7.9015240430281408E-2</v>
      </c>
      <c r="P719" s="11">
        <f t="shared" si="46"/>
        <v>3.1236347240861688</v>
      </c>
    </row>
    <row r="720" spans="1:16" x14ac:dyDescent="0.25">
      <c r="A720" s="11">
        <v>7.08</v>
      </c>
      <c r="B720" s="7">
        <v>6.75</v>
      </c>
      <c r="C720" s="11">
        <v>-1.0944565390944813E-4</v>
      </c>
      <c r="D720" s="11">
        <v>2.6920269702771296E-3</v>
      </c>
      <c r="E720" s="11">
        <v>-2.0739229161565641E-2</v>
      </c>
      <c r="F720" s="11">
        <v>7.9015240430281408E-2</v>
      </c>
      <c r="G720" s="3">
        <f t="shared" si="44"/>
        <v>2.8281412976320155E-2</v>
      </c>
      <c r="H720" s="11"/>
      <c r="I720" s="17">
        <f t="shared" si="47"/>
        <v>49637</v>
      </c>
      <c r="J720" s="18">
        <f t="shared" si="45"/>
        <v>9.6919917864476393</v>
      </c>
      <c r="K720" s="7">
        <v>6.75</v>
      </c>
      <c r="L720" s="7">
        <v>-1.0944565390944813E-4</v>
      </c>
      <c r="M720" s="7">
        <v>2.6920269702771296E-3</v>
      </c>
      <c r="N720" s="7">
        <v>-2.0739229161565641E-2</v>
      </c>
      <c r="O720" s="7">
        <v>7.9015240430281408E-2</v>
      </c>
      <c r="P720" s="11">
        <f t="shared" si="46"/>
        <v>3.124466253129468</v>
      </c>
    </row>
    <row r="721" spans="1:16" x14ac:dyDescent="0.25">
      <c r="A721" s="11">
        <v>7.09</v>
      </c>
      <c r="B721" s="7">
        <v>6.75</v>
      </c>
      <c r="C721" s="11">
        <v>-1.0944565390944813E-4</v>
      </c>
      <c r="D721" s="11">
        <v>2.6920269702771296E-3</v>
      </c>
      <c r="E721" s="11">
        <v>-2.0739229161565641E-2</v>
      </c>
      <c r="F721" s="11">
        <v>7.9015240430281408E-2</v>
      </c>
      <c r="G721" s="3">
        <f t="shared" si="44"/>
        <v>2.8290664835594392E-2</v>
      </c>
      <c r="H721" s="11"/>
      <c r="I721" s="17">
        <f t="shared" si="47"/>
        <v>49642</v>
      </c>
      <c r="J721" s="18">
        <f t="shared" si="45"/>
        <v>9.7056810403832987</v>
      </c>
      <c r="K721" s="7">
        <v>6.75</v>
      </c>
      <c r="L721" s="7">
        <v>-1.0944565390944813E-4</v>
      </c>
      <c r="M721" s="7">
        <v>2.6920269702771296E-3</v>
      </c>
      <c r="N721" s="7">
        <v>-2.0739229161565641E-2</v>
      </c>
      <c r="O721" s="7">
        <v>7.9015240430281408E-2</v>
      </c>
      <c r="P721" s="11">
        <f t="shared" si="46"/>
        <v>3.1252794094449863</v>
      </c>
    </row>
    <row r="722" spans="1:16" x14ac:dyDescent="0.25">
      <c r="A722" s="11">
        <v>7.1</v>
      </c>
      <c r="B722" s="7">
        <v>6.75</v>
      </c>
      <c r="C722" s="11">
        <v>-1.0944565390944813E-4</v>
      </c>
      <c r="D722" s="11">
        <v>2.6920269702771296E-3</v>
      </c>
      <c r="E722" s="11">
        <v>-2.0739229161565641E-2</v>
      </c>
      <c r="F722" s="11">
        <v>7.9015240430281408E-2</v>
      </c>
      <c r="G722" s="3">
        <f t="shared" si="44"/>
        <v>2.8299989518450974E-2</v>
      </c>
      <c r="H722" s="11"/>
      <c r="I722" s="17">
        <f t="shared" si="47"/>
        <v>49647</v>
      </c>
      <c r="J722" s="18">
        <f t="shared" si="45"/>
        <v>9.7193702943189599</v>
      </c>
      <c r="K722" s="7">
        <v>6.75</v>
      </c>
      <c r="L722" s="7">
        <v>-1.0944565390944813E-4</v>
      </c>
      <c r="M722" s="7">
        <v>2.6920269702771296E-3</v>
      </c>
      <c r="N722" s="7">
        <v>-2.0739229161565641E-2</v>
      </c>
      <c r="O722" s="7">
        <v>7.9015240430281408E-2</v>
      </c>
      <c r="P722" s="11">
        <f t="shared" si="46"/>
        <v>3.1260740245757033</v>
      </c>
    </row>
    <row r="723" spans="1:16" x14ac:dyDescent="0.25">
      <c r="A723" s="11">
        <v>7.11</v>
      </c>
      <c r="B723" s="7">
        <v>6.75</v>
      </c>
      <c r="C723" s="11">
        <v>-1.0944565390944813E-4</v>
      </c>
      <c r="D723" s="11">
        <v>2.6920269702771296E-3</v>
      </c>
      <c r="E723" s="11">
        <v>-2.0739229161565641E-2</v>
      </c>
      <c r="F723" s="11">
        <v>7.9015240430281408E-2</v>
      </c>
      <c r="G723" s="3">
        <f t="shared" si="44"/>
        <v>2.8309386368215977E-2</v>
      </c>
      <c r="H723" s="11"/>
      <c r="I723" s="17">
        <f t="shared" si="47"/>
        <v>49652</v>
      </c>
      <c r="J723" s="18">
        <f t="shared" si="45"/>
        <v>9.7330595482546194</v>
      </c>
      <c r="K723" s="7">
        <v>6.75</v>
      </c>
      <c r="L723" s="7">
        <v>-1.0944565390944813E-4</v>
      </c>
      <c r="M723" s="7">
        <v>2.6920269702771296E-3</v>
      </c>
      <c r="N723" s="7">
        <v>-2.0739229161565641E-2</v>
      </c>
      <c r="O723" s="7">
        <v>7.9015240430281408E-2</v>
      </c>
      <c r="P723" s="11">
        <f t="shared" si="46"/>
        <v>3.1268499300645987</v>
      </c>
    </row>
    <row r="724" spans="1:16" x14ac:dyDescent="0.25">
      <c r="A724" s="11">
        <v>7.12</v>
      </c>
      <c r="B724" s="7">
        <v>6.75</v>
      </c>
      <c r="C724" s="11">
        <v>-1.0944565390944813E-4</v>
      </c>
      <c r="D724" s="11">
        <v>2.6920269702771296E-3</v>
      </c>
      <c r="E724" s="11">
        <v>-2.0739229161565641E-2</v>
      </c>
      <c r="F724" s="11">
        <v>7.9015240430281408E-2</v>
      </c>
      <c r="G724" s="3">
        <f t="shared" si="44"/>
        <v>2.8318854728215409E-2</v>
      </c>
      <c r="H724" s="11"/>
      <c r="I724" s="17">
        <f t="shared" si="47"/>
        <v>49657</v>
      </c>
      <c r="J724" s="18">
        <f t="shared" si="45"/>
        <v>9.7467488021902806</v>
      </c>
      <c r="K724" s="7">
        <v>6.75</v>
      </c>
      <c r="L724" s="7">
        <v>-1.0944565390944813E-4</v>
      </c>
      <c r="M724" s="7">
        <v>2.6920269702771296E-3</v>
      </c>
      <c r="N724" s="7">
        <v>-2.0739229161565641E-2</v>
      </c>
      <c r="O724" s="7">
        <v>7.9015240430281408E-2</v>
      </c>
      <c r="P724" s="11">
        <f t="shared" si="46"/>
        <v>3.1276069574546623</v>
      </c>
    </row>
    <row r="725" spans="1:16" x14ac:dyDescent="0.25">
      <c r="A725" s="11">
        <v>7.13</v>
      </c>
      <c r="B725" s="7">
        <v>6.75</v>
      </c>
      <c r="C725" s="11">
        <v>-1.0944565390944813E-4</v>
      </c>
      <c r="D725" s="11">
        <v>2.6920269702771296E-3</v>
      </c>
      <c r="E725" s="11">
        <v>-2.0739229161565641E-2</v>
      </c>
      <c r="F725" s="11">
        <v>7.9015240430281408E-2</v>
      </c>
      <c r="G725" s="3">
        <f t="shared" si="44"/>
        <v>2.8328393941775443E-2</v>
      </c>
      <c r="H725" s="11"/>
      <c r="I725" s="17">
        <f t="shared" si="47"/>
        <v>49662</v>
      </c>
      <c r="J725" s="18">
        <f t="shared" si="45"/>
        <v>9.7604380561259418</v>
      </c>
      <c r="K725" s="7">
        <v>9.75</v>
      </c>
      <c r="L725" s="7">
        <v>6.6637221572904032E-8</v>
      </c>
      <c r="M725" s="7">
        <v>-1.3977157224916621E-5</v>
      </c>
      <c r="N725" s="7">
        <v>7.9631479779620324E-4</v>
      </c>
      <c r="O725" s="7">
        <v>2.4780710484650505E-2</v>
      </c>
      <c r="P725" s="11">
        <f t="shared" si="46"/>
        <v>3.1283503682182605</v>
      </c>
    </row>
    <row r="726" spans="1:16" x14ac:dyDescent="0.25">
      <c r="A726" s="11">
        <v>7.14</v>
      </c>
      <c r="B726" s="7">
        <v>6.75</v>
      </c>
      <c r="C726" s="11">
        <v>-1.0944565390944813E-4</v>
      </c>
      <c r="D726" s="11">
        <v>2.6920269702771296E-3</v>
      </c>
      <c r="E726" s="11">
        <v>-2.0739229161565641E-2</v>
      </c>
      <c r="F726" s="11">
        <v>7.9015240430281408E-2</v>
      </c>
      <c r="G726" s="3">
        <f t="shared" si="44"/>
        <v>2.8338003352222085E-2</v>
      </c>
      <c r="H726" s="11"/>
      <c r="I726" s="17">
        <f t="shared" si="47"/>
        <v>49667</v>
      </c>
      <c r="J726" s="18">
        <f t="shared" si="45"/>
        <v>9.7741273100616013</v>
      </c>
      <c r="K726" s="7">
        <v>9.75</v>
      </c>
      <c r="L726" s="7">
        <v>6.6637221572904032E-8</v>
      </c>
      <c r="M726" s="7">
        <v>-1.3977157224916621E-5</v>
      </c>
      <c r="N726" s="7">
        <v>7.9631479779620324E-4</v>
      </c>
      <c r="O726" s="7">
        <v>2.4780710484650505E-2</v>
      </c>
      <c r="P726" s="11">
        <f t="shared" si="46"/>
        <v>3.1290928030498932</v>
      </c>
    </row>
    <row r="727" spans="1:16" x14ac:dyDescent="0.25">
      <c r="A727" s="11">
        <v>7.15</v>
      </c>
      <c r="B727" s="7">
        <v>6.75</v>
      </c>
      <c r="C727" s="11">
        <v>-1.0944565390944813E-4</v>
      </c>
      <c r="D727" s="11">
        <v>2.6920269702771296E-3</v>
      </c>
      <c r="E727" s="11">
        <v>-2.0739229161565641E-2</v>
      </c>
      <c r="F727" s="11">
        <v>7.9015240430281408E-2</v>
      </c>
      <c r="G727" s="3">
        <f t="shared" si="44"/>
        <v>2.8347682302881413E-2</v>
      </c>
      <c r="H727" s="11"/>
      <c r="I727" s="17">
        <f t="shared" si="47"/>
        <v>49672</v>
      </c>
      <c r="J727" s="18">
        <f t="shared" si="45"/>
        <v>9.7878165639972625</v>
      </c>
      <c r="K727" s="7">
        <v>9.75</v>
      </c>
      <c r="L727" s="7">
        <v>6.6637221572904032E-8</v>
      </c>
      <c r="M727" s="7">
        <v>-1.3977157224916621E-5</v>
      </c>
      <c r="N727" s="7">
        <v>7.9631479779620324E-4</v>
      </c>
      <c r="O727" s="7">
        <v>2.4780710484650505E-2</v>
      </c>
      <c r="P727" s="11">
        <f t="shared" si="46"/>
        <v>3.1298347872625754</v>
      </c>
    </row>
    <row r="728" spans="1:16" x14ac:dyDescent="0.25">
      <c r="A728" s="11">
        <v>7.16</v>
      </c>
      <c r="B728" s="7">
        <v>6.75</v>
      </c>
      <c r="C728" s="11">
        <v>-1.0944565390944813E-4</v>
      </c>
      <c r="D728" s="11">
        <v>2.6920269702771296E-3</v>
      </c>
      <c r="E728" s="11">
        <v>-2.0739229161565641E-2</v>
      </c>
      <c r="F728" s="11">
        <v>7.9015240430281408E-2</v>
      </c>
      <c r="G728" s="3">
        <f t="shared" si="44"/>
        <v>2.8357430137079559E-2</v>
      </c>
      <c r="H728" s="11"/>
      <c r="I728" s="17">
        <f t="shared" si="47"/>
        <v>49677</v>
      </c>
      <c r="J728" s="18">
        <f t="shared" si="45"/>
        <v>9.801505817932922</v>
      </c>
      <c r="K728" s="7">
        <v>9.75</v>
      </c>
      <c r="L728" s="7">
        <v>6.6637221572904032E-8</v>
      </c>
      <c r="M728" s="7">
        <v>-1.3977157224916621E-5</v>
      </c>
      <c r="N728" s="7">
        <v>7.9631479779620324E-4</v>
      </c>
      <c r="O728" s="7">
        <v>2.4780710484650505E-2</v>
      </c>
      <c r="P728" s="11">
        <f t="shared" si="46"/>
        <v>3.1305763209588737</v>
      </c>
    </row>
    <row r="729" spans="1:16" x14ac:dyDescent="0.25">
      <c r="A729" s="11">
        <v>7.17</v>
      </c>
      <c r="B729" s="7">
        <v>6.75</v>
      </c>
      <c r="C729" s="11">
        <v>-1.0944565390944813E-4</v>
      </c>
      <c r="D729" s="11">
        <v>2.6920269702771296E-3</v>
      </c>
      <c r="E729" s="11">
        <v>-2.0739229161565641E-2</v>
      </c>
      <c r="F729" s="11">
        <v>7.9015240430281408E-2</v>
      </c>
      <c r="G729" s="3">
        <f t="shared" si="44"/>
        <v>2.8367246198142557E-2</v>
      </c>
      <c r="H729" s="11"/>
      <c r="I729" s="17">
        <f t="shared" si="47"/>
        <v>49682</v>
      </c>
      <c r="J729" s="18">
        <f t="shared" si="45"/>
        <v>9.8151950718685832</v>
      </c>
      <c r="K729" s="7">
        <v>9.75</v>
      </c>
      <c r="L729" s="7">
        <v>6.6637221572904032E-8</v>
      </c>
      <c r="M729" s="7">
        <v>-1.3977157224916621E-5</v>
      </c>
      <c r="N729" s="7">
        <v>7.9631479779620324E-4</v>
      </c>
      <c r="O729" s="7">
        <v>2.4780710484650505E-2</v>
      </c>
      <c r="P729" s="11">
        <f t="shared" si="46"/>
        <v>3.1313174042413552</v>
      </c>
    </row>
    <row r="730" spans="1:16" x14ac:dyDescent="0.25">
      <c r="A730" s="11">
        <v>7.18</v>
      </c>
      <c r="B730" s="7">
        <v>6.75</v>
      </c>
      <c r="C730" s="11">
        <v>-1.0944565390944813E-4</v>
      </c>
      <c r="D730" s="11">
        <v>2.6920269702771296E-3</v>
      </c>
      <c r="E730" s="11">
        <v>-2.0739229161565641E-2</v>
      </c>
      <c r="F730" s="11">
        <v>7.9015240430281408E-2</v>
      </c>
      <c r="G730" s="3">
        <f t="shared" si="44"/>
        <v>2.8377129829396511E-2</v>
      </c>
      <c r="H730" s="11"/>
      <c r="I730" s="17">
        <f t="shared" si="47"/>
        <v>49687</v>
      </c>
      <c r="J730" s="18">
        <f t="shared" si="45"/>
        <v>9.8288843258042444</v>
      </c>
      <c r="K730" s="7">
        <v>9.75</v>
      </c>
      <c r="L730" s="7">
        <v>6.6637221572904032E-8</v>
      </c>
      <c r="M730" s="7">
        <v>-1.3977157224916621E-5</v>
      </c>
      <c r="N730" s="7">
        <v>7.9631479779620324E-4</v>
      </c>
      <c r="O730" s="7">
        <v>2.4780710484650505E-2</v>
      </c>
      <c r="P730" s="11">
        <f t="shared" si="46"/>
        <v>3.1320580372125875</v>
      </c>
    </row>
    <row r="731" spans="1:16" x14ac:dyDescent="0.25">
      <c r="A731" s="11">
        <v>7.19</v>
      </c>
      <c r="B731" s="7">
        <v>6.75</v>
      </c>
      <c r="C731" s="11">
        <v>-1.0944565390944813E-4</v>
      </c>
      <c r="D731" s="11">
        <v>2.6920269702771296E-3</v>
      </c>
      <c r="E731" s="11">
        <v>-2.0739229161565641E-2</v>
      </c>
      <c r="F731" s="11">
        <v>7.9015240430281408E-2</v>
      </c>
      <c r="G731" s="3">
        <f t="shared" si="44"/>
        <v>2.8387080374167456E-2</v>
      </c>
      <c r="H731" s="11"/>
      <c r="I731" s="17">
        <f t="shared" si="47"/>
        <v>49692</v>
      </c>
      <c r="J731" s="18">
        <f t="shared" si="45"/>
        <v>9.8425735797399039</v>
      </c>
      <c r="K731" s="7">
        <v>9.75</v>
      </c>
      <c r="L731" s="7">
        <v>6.6637221572904032E-8</v>
      </c>
      <c r="M731" s="7">
        <v>-1.3977157224916621E-5</v>
      </c>
      <c r="N731" s="7">
        <v>7.9631479779620324E-4</v>
      </c>
      <c r="O731" s="7">
        <v>2.4780710484650505E-2</v>
      </c>
      <c r="P731" s="11">
        <f t="shared" si="46"/>
        <v>3.1327982199751365</v>
      </c>
    </row>
    <row r="732" spans="1:16" x14ac:dyDescent="0.25">
      <c r="A732" s="11">
        <v>7.2</v>
      </c>
      <c r="B732" s="7">
        <v>6.75</v>
      </c>
      <c r="C732" s="11">
        <v>-1.0944565390944813E-4</v>
      </c>
      <c r="D732" s="11">
        <v>2.6920269702771296E-3</v>
      </c>
      <c r="E732" s="11">
        <v>-2.0739229161565641E-2</v>
      </c>
      <c r="F732" s="11">
        <v>7.9015240430281408E-2</v>
      </c>
      <c r="G732" s="3">
        <f t="shared" si="44"/>
        <v>2.8397097175781497E-2</v>
      </c>
      <c r="H732" s="11"/>
      <c r="I732" s="17">
        <f t="shared" si="47"/>
        <v>49697</v>
      </c>
      <c r="J732" s="18">
        <f t="shared" si="45"/>
        <v>9.8562628336755651</v>
      </c>
      <c r="K732" s="7">
        <v>9.75</v>
      </c>
      <c r="L732" s="7">
        <v>6.6637221572904032E-8</v>
      </c>
      <c r="M732" s="7">
        <v>-1.3977157224916621E-5</v>
      </c>
      <c r="N732" s="7">
        <v>7.9631479779620324E-4</v>
      </c>
      <c r="O732" s="7">
        <v>2.4780710484650505E-2</v>
      </c>
      <c r="P732" s="11">
        <f t="shared" si="46"/>
        <v>3.1335379526315696</v>
      </c>
    </row>
    <row r="733" spans="1:16" x14ac:dyDescent="0.25">
      <c r="A733" s="11">
        <v>7.21</v>
      </c>
      <c r="B733" s="7">
        <v>6.75</v>
      </c>
      <c r="C733" s="11">
        <v>-1.0944565390944813E-4</v>
      </c>
      <c r="D733" s="11">
        <v>2.6920269702771296E-3</v>
      </c>
      <c r="E733" s="11">
        <v>-2.0739229161565641E-2</v>
      </c>
      <c r="F733" s="11">
        <v>7.9015240430281408E-2</v>
      </c>
      <c r="G733" s="3">
        <f t="shared" si="44"/>
        <v>2.8407179577564695E-2</v>
      </c>
      <c r="H733" s="11"/>
      <c r="I733" s="17">
        <f t="shared" si="47"/>
        <v>49702</v>
      </c>
      <c r="J733" s="18">
        <f t="shared" si="45"/>
        <v>9.8699520876112246</v>
      </c>
      <c r="K733" s="7">
        <v>9.75</v>
      </c>
      <c r="L733" s="7">
        <v>6.6637221572904032E-8</v>
      </c>
      <c r="M733" s="7">
        <v>-1.3977157224916621E-5</v>
      </c>
      <c r="N733" s="7">
        <v>7.9631479779620324E-4</v>
      </c>
      <c r="O733" s="7">
        <v>2.4780710484650505E-2</v>
      </c>
      <c r="P733" s="11">
        <f t="shared" si="46"/>
        <v>3.1342772352844541</v>
      </c>
    </row>
    <row r="734" spans="1:16" x14ac:dyDescent="0.25">
      <c r="A734" s="11">
        <v>7.22</v>
      </c>
      <c r="B734" s="7">
        <v>6.75</v>
      </c>
      <c r="C734" s="11">
        <v>-1.0944565390944813E-4</v>
      </c>
      <c r="D734" s="11">
        <v>2.6920269702771296E-3</v>
      </c>
      <c r="E734" s="11">
        <v>-2.0739229161565641E-2</v>
      </c>
      <c r="F734" s="11">
        <v>7.9015240430281408E-2</v>
      </c>
      <c r="G734" s="3">
        <f t="shared" si="44"/>
        <v>2.8417326922843156E-2</v>
      </c>
      <c r="H734" s="11"/>
      <c r="I734" s="17">
        <f t="shared" si="47"/>
        <v>49707</v>
      </c>
      <c r="J734" s="18">
        <f t="shared" si="45"/>
        <v>9.8836413415468858</v>
      </c>
      <c r="K734" s="7">
        <v>9.75</v>
      </c>
      <c r="L734" s="7">
        <v>6.6637221572904032E-8</v>
      </c>
      <c r="M734" s="7">
        <v>-1.3977157224916621E-5</v>
      </c>
      <c r="N734" s="7">
        <v>7.9631479779620324E-4</v>
      </c>
      <c r="O734" s="7">
        <v>2.4780710484650505E-2</v>
      </c>
      <c r="P734" s="11">
        <f t="shared" si="46"/>
        <v>3.1350160680363572</v>
      </c>
    </row>
    <row r="735" spans="1:16" x14ac:dyDescent="0.25">
      <c r="A735" s="11">
        <v>7.23</v>
      </c>
      <c r="B735" s="7">
        <v>6.75</v>
      </c>
      <c r="C735" s="11">
        <v>-1.0944565390944813E-4</v>
      </c>
      <c r="D735" s="11">
        <v>2.6920269702771296E-3</v>
      </c>
      <c r="E735" s="11">
        <v>-2.0739229161565641E-2</v>
      </c>
      <c r="F735" s="11">
        <v>7.9015240430281408E-2</v>
      </c>
      <c r="G735" s="3">
        <f t="shared" si="44"/>
        <v>2.8427538554942913E-2</v>
      </c>
      <c r="H735" s="11"/>
      <c r="I735" s="17">
        <f t="shared" si="47"/>
        <v>49712</v>
      </c>
      <c r="J735" s="18">
        <f t="shared" si="45"/>
        <v>9.897330595482547</v>
      </c>
      <c r="K735" s="7">
        <v>9.75</v>
      </c>
      <c r="L735" s="7">
        <v>6.6637221572904032E-8</v>
      </c>
      <c r="M735" s="7">
        <v>-1.3977157224916621E-5</v>
      </c>
      <c r="N735" s="7">
        <v>7.9631479779620324E-4</v>
      </c>
      <c r="O735" s="7">
        <v>2.4780710484650505E-2</v>
      </c>
      <c r="P735" s="11">
        <f t="shared" si="46"/>
        <v>3.1357544509898445</v>
      </c>
    </row>
    <row r="736" spans="1:16" x14ac:dyDescent="0.25">
      <c r="A736" s="11">
        <v>7.24</v>
      </c>
      <c r="B736" s="7">
        <v>6.75</v>
      </c>
      <c r="C736" s="11">
        <v>-1.0944565390944813E-4</v>
      </c>
      <c r="D736" s="11">
        <v>2.6920269702771296E-3</v>
      </c>
      <c r="E736" s="11">
        <v>-2.0739229161565641E-2</v>
      </c>
      <c r="F736" s="11">
        <v>7.9015240430281408E-2</v>
      </c>
      <c r="G736" s="3">
        <f t="shared" si="44"/>
        <v>2.8437813817190072E-2</v>
      </c>
      <c r="H736" s="11"/>
      <c r="I736" s="17">
        <f t="shared" si="47"/>
        <v>49717</v>
      </c>
      <c r="J736" s="18">
        <f t="shared" si="45"/>
        <v>9.9110198494182065</v>
      </c>
      <c r="K736" s="7">
        <v>9.75</v>
      </c>
      <c r="L736" s="7">
        <v>6.6637221572904032E-8</v>
      </c>
      <c r="M736" s="7">
        <v>-1.3977157224916621E-5</v>
      </c>
      <c r="N736" s="7">
        <v>7.9631479779620324E-4</v>
      </c>
      <c r="O736" s="7">
        <v>2.4780710484650505E-2</v>
      </c>
      <c r="P736" s="11">
        <f t="shared" si="46"/>
        <v>3.1364923842474841</v>
      </c>
    </row>
    <row r="737" spans="1:16" x14ac:dyDescent="0.25">
      <c r="A737" s="11">
        <v>7.25</v>
      </c>
      <c r="B737" s="7">
        <v>6.75</v>
      </c>
      <c r="C737" s="11">
        <v>-1.0944565390944813E-4</v>
      </c>
      <c r="D737" s="11">
        <v>2.6920269702771296E-3</v>
      </c>
      <c r="E737" s="11">
        <v>-2.0739229161565641E-2</v>
      </c>
      <c r="F737" s="11">
        <v>7.9015240430281408E-2</v>
      </c>
      <c r="G737" s="3">
        <f t="shared" si="44"/>
        <v>2.8448152052910708E-2</v>
      </c>
      <c r="H737" s="11"/>
      <c r="I737" s="17">
        <f t="shared" si="47"/>
        <v>49722</v>
      </c>
      <c r="J737" s="18">
        <f t="shared" si="45"/>
        <v>9.9247091033538677</v>
      </c>
      <c r="K737" s="7">
        <v>9.75</v>
      </c>
      <c r="L737" s="7">
        <v>6.6637221572904032E-8</v>
      </c>
      <c r="M737" s="7">
        <v>-1.3977157224916621E-5</v>
      </c>
      <c r="N737" s="7">
        <v>7.9631479779620324E-4</v>
      </c>
      <c r="O737" s="7">
        <v>2.4780710484650505E-2</v>
      </c>
      <c r="P737" s="11">
        <f t="shared" si="46"/>
        <v>3.1372298679118429</v>
      </c>
    </row>
    <row r="738" spans="1:16" x14ac:dyDescent="0.25">
      <c r="A738" s="11">
        <v>7.26</v>
      </c>
      <c r="B738" s="7">
        <v>6.75</v>
      </c>
      <c r="C738" s="11">
        <v>-1.0944565390944813E-4</v>
      </c>
      <c r="D738" s="11">
        <v>2.6920269702771296E-3</v>
      </c>
      <c r="E738" s="11">
        <v>-2.0739229161565641E-2</v>
      </c>
      <c r="F738" s="11">
        <v>7.9015240430281408E-2</v>
      </c>
      <c r="G738" s="3">
        <f t="shared" si="44"/>
        <v>2.8458552605430926E-2</v>
      </c>
      <c r="H738" s="11"/>
      <c r="I738" s="17">
        <f t="shared" si="47"/>
        <v>49727</v>
      </c>
      <c r="J738" s="18">
        <f t="shared" si="45"/>
        <v>9.9383983572895271</v>
      </c>
      <c r="K738" s="7">
        <v>9.75</v>
      </c>
      <c r="L738" s="7">
        <v>6.6637221572904032E-8</v>
      </c>
      <c r="M738" s="7">
        <v>-1.3977157224916621E-5</v>
      </c>
      <c r="N738" s="7">
        <v>7.9631479779620324E-4</v>
      </c>
      <c r="O738" s="7">
        <v>2.4780710484650505E-2</v>
      </c>
      <c r="P738" s="11">
        <f t="shared" si="46"/>
        <v>3.1379669020854872</v>
      </c>
    </row>
    <row r="739" spans="1:16" x14ac:dyDescent="0.25">
      <c r="A739" s="11">
        <v>7.27</v>
      </c>
      <c r="B739" s="7">
        <v>6.75</v>
      </c>
      <c r="C739" s="11">
        <v>-1.0944565390944813E-4</v>
      </c>
      <c r="D739" s="11">
        <v>2.6920269702771296E-3</v>
      </c>
      <c r="E739" s="11">
        <v>-2.0739229161565641E-2</v>
      </c>
      <c r="F739" s="11">
        <v>7.9015240430281408E-2</v>
      </c>
      <c r="G739" s="3">
        <f t="shared" si="44"/>
        <v>2.8469014818076732E-2</v>
      </c>
      <c r="H739" s="11"/>
      <c r="I739" s="17">
        <f t="shared" si="47"/>
        <v>49732</v>
      </c>
      <c r="J739" s="18">
        <f t="shared" si="45"/>
        <v>9.9520876112251884</v>
      </c>
      <c r="K739" s="7">
        <v>9.75</v>
      </c>
      <c r="L739" s="7">
        <v>6.6637221572904032E-8</v>
      </c>
      <c r="M739" s="7">
        <v>-1.3977157224916621E-5</v>
      </c>
      <c r="N739" s="7">
        <v>7.9631479779620324E-4</v>
      </c>
      <c r="O739" s="7">
        <v>2.4780710484650505E-2</v>
      </c>
      <c r="P739" s="11">
        <f t="shared" si="46"/>
        <v>3.1387034868709849</v>
      </c>
    </row>
    <row r="740" spans="1:16" x14ac:dyDescent="0.25">
      <c r="A740" s="11">
        <v>7.28</v>
      </c>
      <c r="B740" s="7">
        <v>6.75</v>
      </c>
      <c r="C740" s="11">
        <v>-1.0944565390944813E-4</v>
      </c>
      <c r="D740" s="11">
        <v>2.6920269702771296E-3</v>
      </c>
      <c r="E740" s="11">
        <v>-2.0739229161565641E-2</v>
      </c>
      <c r="F740" s="11">
        <v>7.9015240430281408E-2</v>
      </c>
      <c r="G740" s="3">
        <f t="shared" si="44"/>
        <v>2.8479538034174245E-2</v>
      </c>
      <c r="H740" s="11"/>
      <c r="I740" s="17">
        <f t="shared" si="47"/>
        <v>49737</v>
      </c>
      <c r="J740" s="18">
        <f t="shared" si="45"/>
        <v>9.9657768651608496</v>
      </c>
      <c r="K740" s="7">
        <v>9.75</v>
      </c>
      <c r="L740" s="7">
        <v>6.6637221572904032E-8</v>
      </c>
      <c r="M740" s="7">
        <v>-1.3977157224916621E-5</v>
      </c>
      <c r="N740" s="7">
        <v>7.9631479779620324E-4</v>
      </c>
      <c r="O740" s="7">
        <v>2.4780710484650505E-2</v>
      </c>
      <c r="P740" s="11">
        <f t="shared" si="46"/>
        <v>3.1394396223709022</v>
      </c>
    </row>
    <row r="741" spans="1:16" x14ac:dyDescent="0.25">
      <c r="A741" s="11">
        <v>7.29</v>
      </c>
      <c r="B741" s="7">
        <v>6.75</v>
      </c>
      <c r="C741" s="11">
        <v>-1.0944565390944813E-4</v>
      </c>
      <c r="D741" s="11">
        <v>2.6920269702771296E-3</v>
      </c>
      <c r="E741" s="11">
        <v>-2.0739229161565641E-2</v>
      </c>
      <c r="F741" s="11">
        <v>7.9015240430281408E-2</v>
      </c>
      <c r="G741" s="3">
        <f t="shared" si="44"/>
        <v>2.8490121597049528E-2</v>
      </c>
      <c r="H741" s="11"/>
      <c r="I741" s="17">
        <f t="shared" si="47"/>
        <v>49742</v>
      </c>
      <c r="J741" s="18">
        <f t="shared" si="45"/>
        <v>9.979466119096509</v>
      </c>
      <c r="K741" s="7">
        <v>9.75</v>
      </c>
      <c r="L741" s="7">
        <v>6.6637221572904032E-8</v>
      </c>
      <c r="M741" s="7">
        <v>-1.3977157224916621E-5</v>
      </c>
      <c r="N741" s="7">
        <v>7.9631479779620324E-4</v>
      </c>
      <c r="O741" s="7">
        <v>2.4780710484650505E-2</v>
      </c>
      <c r="P741" s="11">
        <f t="shared" si="46"/>
        <v>3.1401753086878066</v>
      </c>
    </row>
    <row r="742" spans="1:16" x14ac:dyDescent="0.25">
      <c r="A742" s="11">
        <v>7.3</v>
      </c>
      <c r="B742" s="7">
        <v>6.75</v>
      </c>
      <c r="C742" s="11">
        <v>-1.0944565390944813E-4</v>
      </c>
      <c r="D742" s="11">
        <v>2.6920269702771296E-3</v>
      </c>
      <c r="E742" s="11">
        <v>-2.0739229161565641E-2</v>
      </c>
      <c r="F742" s="11">
        <v>7.9015240430281408E-2</v>
      </c>
      <c r="G742" s="3">
        <f t="shared" si="44"/>
        <v>2.8500764850028698E-2</v>
      </c>
      <c r="H742" s="11"/>
      <c r="I742" s="17">
        <f t="shared" si="47"/>
        <v>49747</v>
      </c>
      <c r="J742" s="18">
        <f t="shared" si="45"/>
        <v>9.9931553730321703</v>
      </c>
      <c r="K742" s="7">
        <v>9.75</v>
      </c>
      <c r="L742" s="7">
        <v>6.6637221572904032E-8</v>
      </c>
      <c r="M742" s="7">
        <v>-1.3977157224916621E-5</v>
      </c>
      <c r="N742" s="7">
        <v>7.9631479779620324E-4</v>
      </c>
      <c r="O742" s="7">
        <v>2.4780710484650505E-2</v>
      </c>
      <c r="P742" s="11">
        <f t="shared" si="46"/>
        <v>3.1409105459242643</v>
      </c>
    </row>
    <row r="743" spans="1:16" x14ac:dyDescent="0.25">
      <c r="A743" s="11">
        <v>7.31</v>
      </c>
      <c r="B743" s="7">
        <v>6.75</v>
      </c>
      <c r="C743" s="11">
        <v>-1.0944565390944813E-4</v>
      </c>
      <c r="D743" s="11">
        <v>2.6920269702771296E-3</v>
      </c>
      <c r="E743" s="11">
        <v>-2.0739229161565641E-2</v>
      </c>
      <c r="F743" s="11">
        <v>7.9015240430281408E-2</v>
      </c>
      <c r="G743" s="3">
        <f t="shared" si="44"/>
        <v>2.8511467136437763E-2</v>
      </c>
      <c r="H743" s="11"/>
      <c r="I743" s="17">
        <f t="shared" si="47"/>
        <v>49752</v>
      </c>
      <c r="J743" s="18">
        <f t="shared" si="45"/>
        <v>10.00684462696783</v>
      </c>
      <c r="K743" s="7">
        <v>9.75</v>
      </c>
      <c r="L743" s="7">
        <v>6.6637221572904032E-8</v>
      </c>
      <c r="M743" s="7">
        <v>-1.3977157224916621E-5</v>
      </c>
      <c r="N743" s="7">
        <v>7.9631479779620324E-4</v>
      </c>
      <c r="O743" s="7">
        <v>2.4780710484650505E-2</v>
      </c>
      <c r="P743" s="11">
        <f t="shared" si="46"/>
        <v>3.1416453341828423</v>
      </c>
    </row>
    <row r="744" spans="1:16" x14ac:dyDescent="0.25">
      <c r="A744" s="11">
        <v>7.32</v>
      </c>
      <c r="B744" s="7">
        <v>6.75</v>
      </c>
      <c r="C744" s="11">
        <v>-1.0944565390944813E-4</v>
      </c>
      <c r="D744" s="11">
        <v>2.6920269702771296E-3</v>
      </c>
      <c r="E744" s="11">
        <v>-2.0739229161565641E-2</v>
      </c>
      <c r="F744" s="11">
        <v>7.9015240430281408E-2</v>
      </c>
      <c r="G744" s="3">
        <f t="shared" si="44"/>
        <v>2.8522227799602867E-2</v>
      </c>
      <c r="H744" s="11"/>
      <c r="I744" s="17">
        <f t="shared" si="47"/>
        <v>49757</v>
      </c>
      <c r="J744" s="18">
        <f t="shared" si="45"/>
        <v>10.020533880903491</v>
      </c>
      <c r="K744" s="7">
        <v>9.75</v>
      </c>
      <c r="L744" s="7">
        <v>6.6637221572904032E-8</v>
      </c>
      <c r="M744" s="7">
        <v>-1.3977157224916621E-5</v>
      </c>
      <c r="N744" s="7">
        <v>7.9631479779620324E-4</v>
      </c>
      <c r="O744" s="7">
        <v>2.4780710484650505E-2</v>
      </c>
      <c r="P744" s="11">
        <f t="shared" si="46"/>
        <v>3.1423796735661091</v>
      </c>
    </row>
    <row r="745" spans="1:16" x14ac:dyDescent="0.25">
      <c r="A745" s="11">
        <v>7.33</v>
      </c>
      <c r="B745" s="7">
        <v>6.75</v>
      </c>
      <c r="C745" s="11">
        <v>-1.0944565390944813E-4</v>
      </c>
      <c r="D745" s="11">
        <v>2.6920269702771296E-3</v>
      </c>
      <c r="E745" s="11">
        <v>-2.0739229161565641E-2</v>
      </c>
      <c r="F745" s="11">
        <v>7.9015240430281408E-2</v>
      </c>
      <c r="G745" s="3">
        <f t="shared" si="44"/>
        <v>2.8533046182850019E-2</v>
      </c>
      <c r="H745" s="11"/>
      <c r="I745" s="17">
        <f t="shared" si="47"/>
        <v>49762</v>
      </c>
      <c r="J745" s="18">
        <f t="shared" si="45"/>
        <v>10.03422313483915</v>
      </c>
      <c r="K745" s="7">
        <v>9.75</v>
      </c>
      <c r="L745" s="7">
        <v>6.6637221572904032E-8</v>
      </c>
      <c r="M745" s="7">
        <v>-1.3977157224916621E-5</v>
      </c>
      <c r="N745" s="7">
        <v>7.9631479779620324E-4</v>
      </c>
      <c r="O745" s="7">
        <v>2.4780710484650505E-2</v>
      </c>
      <c r="P745" s="11">
        <f t="shared" si="46"/>
        <v>3.1431135641766299</v>
      </c>
    </row>
    <row r="746" spans="1:16" x14ac:dyDescent="0.25">
      <c r="A746" s="11">
        <v>7.34</v>
      </c>
      <c r="B746" s="7">
        <v>6.75</v>
      </c>
      <c r="C746" s="11">
        <v>-1.0944565390944813E-4</v>
      </c>
      <c r="D746" s="11">
        <v>2.6920269702771296E-3</v>
      </c>
      <c r="E746" s="11">
        <v>-2.0739229161565641E-2</v>
      </c>
      <c r="F746" s="11">
        <v>7.9015240430281408E-2</v>
      </c>
      <c r="G746" s="3">
        <f t="shared" si="44"/>
        <v>2.8543921629505378E-2</v>
      </c>
      <c r="H746" s="11"/>
      <c r="I746" s="17">
        <f t="shared" si="47"/>
        <v>49767</v>
      </c>
      <c r="J746" s="18">
        <f t="shared" si="45"/>
        <v>10.047912388774812</v>
      </c>
      <c r="K746" s="7">
        <v>9.75</v>
      </c>
      <c r="L746" s="7">
        <v>6.6637221572904032E-8</v>
      </c>
      <c r="M746" s="7">
        <v>-1.3977157224916621E-5</v>
      </c>
      <c r="N746" s="7">
        <v>7.9631479779620324E-4</v>
      </c>
      <c r="O746" s="7">
        <v>2.4780710484650505E-2</v>
      </c>
      <c r="P746" s="11">
        <f t="shared" si="46"/>
        <v>3.1438470061169719</v>
      </c>
    </row>
    <row r="747" spans="1:16" x14ac:dyDescent="0.25">
      <c r="A747" s="11">
        <v>7.35</v>
      </c>
      <c r="B747" s="7">
        <v>6.75</v>
      </c>
      <c r="C747" s="11">
        <v>-1.0944565390944813E-4</v>
      </c>
      <c r="D747" s="11">
        <v>2.6920269702771296E-3</v>
      </c>
      <c r="E747" s="11">
        <v>-2.0739229161565641E-2</v>
      </c>
      <c r="F747" s="11">
        <v>7.9015240430281408E-2</v>
      </c>
      <c r="G747" s="3">
        <f t="shared" si="44"/>
        <v>2.8554853482894951E-2</v>
      </c>
      <c r="H747" s="11"/>
      <c r="I747" s="17">
        <f t="shared" si="47"/>
        <v>49772</v>
      </c>
      <c r="J747" s="18">
        <f t="shared" si="45"/>
        <v>10.061601642710473</v>
      </c>
      <c r="K747" s="7">
        <v>9.75</v>
      </c>
      <c r="L747" s="7">
        <v>6.6637221572904032E-8</v>
      </c>
      <c r="M747" s="7">
        <v>-1.3977157224916621E-5</v>
      </c>
      <c r="N747" s="7">
        <v>7.9631479779620324E-4</v>
      </c>
      <c r="O747" s="7">
        <v>2.4780710484650505E-2</v>
      </c>
      <c r="P747" s="11">
        <f t="shared" si="46"/>
        <v>3.1445799994897028</v>
      </c>
    </row>
    <row r="748" spans="1:16" x14ac:dyDescent="0.25">
      <c r="A748" s="11">
        <v>7.36</v>
      </c>
      <c r="B748" s="7">
        <v>6.75</v>
      </c>
      <c r="C748" s="11">
        <v>-1.0944565390944813E-4</v>
      </c>
      <c r="D748" s="11">
        <v>2.6920269702771296E-3</v>
      </c>
      <c r="E748" s="11">
        <v>-2.0739229161565641E-2</v>
      </c>
      <c r="F748" s="11">
        <v>7.9015240430281408E-2</v>
      </c>
      <c r="G748" s="3">
        <f t="shared" si="44"/>
        <v>2.8565841086344856E-2</v>
      </c>
      <c r="H748" s="11"/>
      <c r="I748" s="17">
        <f t="shared" si="47"/>
        <v>49777</v>
      </c>
      <c r="J748" s="18">
        <f t="shared" si="45"/>
        <v>10.075290896646132</v>
      </c>
      <c r="K748" s="7">
        <v>9.75</v>
      </c>
      <c r="L748" s="7">
        <v>6.6637221572904032E-8</v>
      </c>
      <c r="M748" s="7">
        <v>-1.3977157224916621E-5</v>
      </c>
      <c r="N748" s="7">
        <v>7.9631479779620324E-4</v>
      </c>
      <c r="O748" s="7">
        <v>2.4780710484650505E-2</v>
      </c>
      <c r="P748" s="11">
        <f t="shared" si="46"/>
        <v>3.1453125443973899</v>
      </c>
    </row>
    <row r="749" spans="1:16" x14ac:dyDescent="0.25">
      <c r="A749" s="11">
        <v>7.37</v>
      </c>
      <c r="B749" s="7">
        <v>6.75</v>
      </c>
      <c r="C749" s="11">
        <v>-1.0944565390944813E-4</v>
      </c>
      <c r="D749" s="11">
        <v>2.6920269702771296E-3</v>
      </c>
      <c r="E749" s="11">
        <v>-2.0739229161565641E-2</v>
      </c>
      <c r="F749" s="11">
        <v>7.9015240430281408E-2</v>
      </c>
      <c r="G749" s="3">
        <f t="shared" si="44"/>
        <v>2.8576883783181128E-2</v>
      </c>
      <c r="H749" s="11"/>
      <c r="I749" s="17">
        <f t="shared" si="47"/>
        <v>49782</v>
      </c>
      <c r="J749" s="18">
        <f t="shared" si="45"/>
        <v>10.088980150581794</v>
      </c>
      <c r="K749" s="7">
        <v>9.75</v>
      </c>
      <c r="L749" s="7">
        <v>6.6637221572904032E-8</v>
      </c>
      <c r="M749" s="7">
        <v>-1.3977157224916621E-5</v>
      </c>
      <c r="N749" s="7">
        <v>7.9631479779620324E-4</v>
      </c>
      <c r="O749" s="7">
        <v>2.4780710484650505E-2</v>
      </c>
      <c r="P749" s="11">
        <f t="shared" si="46"/>
        <v>3.1460446409425984</v>
      </c>
    </row>
    <row r="750" spans="1:16" x14ac:dyDescent="0.25">
      <c r="A750" s="11">
        <v>7.38</v>
      </c>
      <c r="B750" s="7">
        <v>6.75</v>
      </c>
      <c r="C750" s="11">
        <v>-1.0944565390944813E-4</v>
      </c>
      <c r="D750" s="11">
        <v>2.6920269702771296E-3</v>
      </c>
      <c r="E750" s="11">
        <v>-2.0739229161565641E-2</v>
      </c>
      <c r="F750" s="11">
        <v>7.9015240430281408E-2</v>
      </c>
      <c r="G750" s="3">
        <f t="shared" si="44"/>
        <v>2.8587980916729872E-2</v>
      </c>
      <c r="H750" s="11"/>
      <c r="I750" s="17">
        <f t="shared" si="47"/>
        <v>49787</v>
      </c>
      <c r="J750" s="18">
        <f t="shared" si="45"/>
        <v>10.102669404517453</v>
      </c>
      <c r="K750" s="7">
        <v>9.75</v>
      </c>
      <c r="L750" s="7">
        <v>6.6637221572904032E-8</v>
      </c>
      <c r="M750" s="7">
        <v>-1.3977157224916621E-5</v>
      </c>
      <c r="N750" s="7">
        <v>7.9631479779620324E-4</v>
      </c>
      <c r="O750" s="7">
        <v>2.4780710484650505E-2</v>
      </c>
      <c r="P750" s="11">
        <f t="shared" si="46"/>
        <v>3.1467762892278968</v>
      </c>
    </row>
    <row r="751" spans="1:16" x14ac:dyDescent="0.25">
      <c r="A751" s="11">
        <v>7.39</v>
      </c>
      <c r="B751" s="7">
        <v>6.75</v>
      </c>
      <c r="C751" s="11">
        <v>-1.0944565390944813E-4</v>
      </c>
      <c r="D751" s="11">
        <v>2.6920269702771296E-3</v>
      </c>
      <c r="E751" s="11">
        <v>-2.0739229161565641E-2</v>
      </c>
      <c r="F751" s="11">
        <v>7.9015240430281408E-2</v>
      </c>
      <c r="G751" s="3">
        <f t="shared" si="44"/>
        <v>2.859913183031719E-2</v>
      </c>
      <c r="H751" s="11"/>
      <c r="I751" s="17">
        <f t="shared" si="47"/>
        <v>49792</v>
      </c>
      <c r="J751" s="18">
        <f t="shared" si="45"/>
        <v>10.116358658453114</v>
      </c>
      <c r="K751" s="7">
        <v>9.75</v>
      </c>
      <c r="L751" s="7">
        <v>6.6637221572904032E-8</v>
      </c>
      <c r="M751" s="7">
        <v>-1.3977157224916621E-5</v>
      </c>
      <c r="N751" s="7">
        <v>7.9631479779620324E-4</v>
      </c>
      <c r="O751" s="7">
        <v>2.4780710484650505E-2</v>
      </c>
      <c r="P751" s="11">
        <f t="shared" si="46"/>
        <v>3.147507489355851</v>
      </c>
    </row>
    <row r="752" spans="1:16" x14ac:dyDescent="0.25">
      <c r="A752" s="11">
        <v>7.4</v>
      </c>
      <c r="B752" s="7">
        <v>6.75</v>
      </c>
      <c r="C752" s="11">
        <v>-1.0944565390944813E-4</v>
      </c>
      <c r="D752" s="11">
        <v>2.6920269702771296E-3</v>
      </c>
      <c r="E752" s="11">
        <v>-2.0739229161565641E-2</v>
      </c>
      <c r="F752" s="11">
        <v>7.9015240430281408E-2</v>
      </c>
      <c r="G752" s="3">
        <f t="shared" si="44"/>
        <v>2.8610335867269077E-2</v>
      </c>
      <c r="H752" s="11"/>
      <c r="I752" s="17">
        <f t="shared" si="47"/>
        <v>49797</v>
      </c>
      <c r="J752" s="18">
        <f t="shared" si="45"/>
        <v>10.130047912388775</v>
      </c>
      <c r="K752" s="7">
        <v>9.75</v>
      </c>
      <c r="L752" s="7">
        <v>6.6637221572904032E-8</v>
      </c>
      <c r="M752" s="7">
        <v>-1.3977157224916621E-5</v>
      </c>
      <c r="N752" s="7">
        <v>7.9631479779620324E-4</v>
      </c>
      <c r="O752" s="7">
        <v>2.4780710484650505E-2</v>
      </c>
      <c r="P752" s="11">
        <f t="shared" si="46"/>
        <v>3.1482382414290293</v>
      </c>
    </row>
    <row r="753" spans="1:16" x14ac:dyDescent="0.25">
      <c r="A753" s="11">
        <v>7.41</v>
      </c>
      <c r="B753" s="7">
        <v>6.75</v>
      </c>
      <c r="C753" s="11">
        <v>-1.0944565390944813E-4</v>
      </c>
      <c r="D753" s="11">
        <v>2.6920269702771296E-3</v>
      </c>
      <c r="E753" s="11">
        <v>-2.0739229161565641E-2</v>
      </c>
      <c r="F753" s="11">
        <v>7.9015240430281408E-2</v>
      </c>
      <c r="G753" s="3">
        <f t="shared" si="44"/>
        <v>2.8621592370911705E-2</v>
      </c>
      <c r="H753" s="11"/>
      <c r="I753" s="17">
        <f t="shared" si="47"/>
        <v>49802</v>
      </c>
      <c r="J753" s="18">
        <f t="shared" si="45"/>
        <v>10.143737166324435</v>
      </c>
      <c r="K753" s="7">
        <v>9.75</v>
      </c>
      <c r="L753" s="7">
        <v>6.6637221572904032E-8</v>
      </c>
      <c r="M753" s="7">
        <v>-1.3977157224916621E-5</v>
      </c>
      <c r="N753" s="7">
        <v>7.9631479779620324E-4</v>
      </c>
      <c r="O753" s="7">
        <v>2.4780710484650505E-2</v>
      </c>
      <c r="P753" s="11">
        <f t="shared" si="46"/>
        <v>3.1489685455499976</v>
      </c>
    </row>
    <row r="754" spans="1:16" x14ac:dyDescent="0.25">
      <c r="A754" s="11">
        <v>7.42</v>
      </c>
      <c r="B754" s="7">
        <v>6.75</v>
      </c>
      <c r="C754" s="11">
        <v>-1.0944565390944813E-4</v>
      </c>
      <c r="D754" s="11">
        <v>2.6920269702771296E-3</v>
      </c>
      <c r="E754" s="11">
        <v>-2.0739229161565641E-2</v>
      </c>
      <c r="F754" s="11">
        <v>7.9015240430281408E-2</v>
      </c>
      <c r="G754" s="3">
        <f t="shared" si="44"/>
        <v>2.8632900684571083E-2</v>
      </c>
      <c r="H754" s="11"/>
      <c r="I754" s="17">
        <f t="shared" si="47"/>
        <v>49807</v>
      </c>
      <c r="J754" s="18">
        <f t="shared" si="45"/>
        <v>10.157426420260096</v>
      </c>
      <c r="K754" s="7">
        <v>9.75</v>
      </c>
      <c r="L754" s="7">
        <v>6.6637221572904032E-8</v>
      </c>
      <c r="M754" s="7">
        <v>-1.3977157224916621E-5</v>
      </c>
      <c r="N754" s="7">
        <v>7.9631479779620324E-4</v>
      </c>
      <c r="O754" s="7">
        <v>2.4780710484650505E-2</v>
      </c>
      <c r="P754" s="11">
        <f t="shared" si="46"/>
        <v>3.1496984018213228</v>
      </c>
    </row>
    <row r="755" spans="1:16" x14ac:dyDescent="0.25">
      <c r="A755" s="11">
        <v>7.43</v>
      </c>
      <c r="B755" s="7">
        <v>6.75</v>
      </c>
      <c r="C755" s="11">
        <v>-1.0944565390944813E-4</v>
      </c>
      <c r="D755" s="11">
        <v>2.6920269702771296E-3</v>
      </c>
      <c r="E755" s="11">
        <v>-2.0739229161565641E-2</v>
      </c>
      <c r="F755" s="11">
        <v>7.9015240430281408E-2</v>
      </c>
      <c r="G755" s="3">
        <f t="shared" si="44"/>
        <v>2.86442601515733E-2</v>
      </c>
      <c r="H755" s="11"/>
      <c r="I755" s="17">
        <f t="shared" si="47"/>
        <v>49812</v>
      </c>
      <c r="J755" s="18">
        <f t="shared" si="45"/>
        <v>10.171115674195756</v>
      </c>
      <c r="K755" s="7">
        <v>9.75</v>
      </c>
      <c r="L755" s="7">
        <v>6.6637221572904032E-8</v>
      </c>
      <c r="M755" s="7">
        <v>-1.3977157224916621E-5</v>
      </c>
      <c r="N755" s="7">
        <v>7.9631479779620324E-4</v>
      </c>
      <c r="O755" s="7">
        <v>2.4780710484650505E-2</v>
      </c>
      <c r="P755" s="11">
        <f t="shared" si="46"/>
        <v>3.1504278103455725</v>
      </c>
    </row>
    <row r="756" spans="1:16" x14ac:dyDescent="0.25">
      <c r="A756" s="11">
        <v>7.44</v>
      </c>
      <c r="B756" s="7">
        <v>6.75</v>
      </c>
      <c r="C756" s="11">
        <v>-1.0944565390944813E-4</v>
      </c>
      <c r="D756" s="11">
        <v>2.6920269702771296E-3</v>
      </c>
      <c r="E756" s="11">
        <v>-2.0739229161565641E-2</v>
      </c>
      <c r="F756" s="11">
        <v>7.9015240430281408E-2</v>
      </c>
      <c r="G756" s="3">
        <f t="shared" si="44"/>
        <v>2.8655670115244475E-2</v>
      </c>
      <c r="H756" s="11"/>
      <c r="I756" s="17">
        <f t="shared" si="47"/>
        <v>49817</v>
      </c>
      <c r="J756" s="18">
        <f t="shared" si="45"/>
        <v>10.184804928131417</v>
      </c>
      <c r="K756" s="7">
        <v>9.75</v>
      </c>
      <c r="L756" s="7">
        <v>6.6637221572904032E-8</v>
      </c>
      <c r="M756" s="7">
        <v>-1.3977157224916621E-5</v>
      </c>
      <c r="N756" s="7">
        <v>7.9631479779620324E-4</v>
      </c>
      <c r="O756" s="7">
        <v>2.4780710484650505E-2</v>
      </c>
      <c r="P756" s="11">
        <f t="shared" si="46"/>
        <v>3.1511567712253137</v>
      </c>
    </row>
    <row r="757" spans="1:16" x14ac:dyDescent="0.25">
      <c r="A757" s="11">
        <v>7.45</v>
      </c>
      <c r="B757" s="7">
        <v>6.75</v>
      </c>
      <c r="C757" s="11">
        <v>-1.0944565390944813E-4</v>
      </c>
      <c r="D757" s="11">
        <v>2.6920269702771296E-3</v>
      </c>
      <c r="E757" s="11">
        <v>-2.0739229161565641E-2</v>
      </c>
      <c r="F757" s="11">
        <v>7.9015240430281408E-2</v>
      </c>
      <c r="G757" s="3">
        <f t="shared" si="44"/>
        <v>2.8667129918910655E-2</v>
      </c>
      <c r="H757" s="11"/>
      <c r="I757" s="17">
        <f t="shared" si="47"/>
        <v>49822</v>
      </c>
      <c r="J757" s="18">
        <f t="shared" si="45"/>
        <v>10.198494182067078</v>
      </c>
      <c r="K757" s="7">
        <v>9.75</v>
      </c>
      <c r="L757" s="7">
        <v>6.6637221572904032E-8</v>
      </c>
      <c r="M757" s="7">
        <v>-1.3977157224916621E-5</v>
      </c>
      <c r="N757" s="7">
        <v>7.9631479779620324E-4</v>
      </c>
      <c r="O757" s="7">
        <v>2.4780710484650505E-2</v>
      </c>
      <c r="P757" s="11">
        <f t="shared" si="46"/>
        <v>3.1518852845631127</v>
      </c>
    </row>
    <row r="758" spans="1:16" x14ac:dyDescent="0.25">
      <c r="A758" s="11">
        <v>7.46</v>
      </c>
      <c r="B758" s="7">
        <v>6.75</v>
      </c>
      <c r="C758" s="11">
        <v>-1.0944565390944813E-4</v>
      </c>
      <c r="D758" s="11">
        <v>2.6920269702771296E-3</v>
      </c>
      <c r="E758" s="11">
        <v>-2.0739229161565641E-2</v>
      </c>
      <c r="F758" s="11">
        <v>7.9015240430281408E-2</v>
      </c>
      <c r="G758" s="3">
        <f t="shared" si="44"/>
        <v>2.8678638905897891E-2</v>
      </c>
      <c r="H758" s="11"/>
      <c r="I758" s="17">
        <f t="shared" si="47"/>
        <v>49827</v>
      </c>
      <c r="J758" s="18">
        <f t="shared" si="45"/>
        <v>10.212183436002737</v>
      </c>
      <c r="K758" s="7">
        <v>9.75</v>
      </c>
      <c r="L758" s="7">
        <v>6.6637221572904032E-8</v>
      </c>
      <c r="M758" s="7">
        <v>-1.3977157224916621E-5</v>
      </c>
      <c r="N758" s="7">
        <v>7.9631479779620324E-4</v>
      </c>
      <c r="O758" s="7">
        <v>2.4780710484650505E-2</v>
      </c>
      <c r="P758" s="11">
        <f t="shared" si="46"/>
        <v>3.1526133504615368</v>
      </c>
    </row>
    <row r="759" spans="1:16" x14ac:dyDescent="0.25">
      <c r="A759" s="11">
        <v>7.47</v>
      </c>
      <c r="B759" s="7">
        <v>6.75</v>
      </c>
      <c r="C759" s="11">
        <v>-1.0944565390944813E-4</v>
      </c>
      <c r="D759" s="11">
        <v>2.6920269702771296E-3</v>
      </c>
      <c r="E759" s="11">
        <v>-2.0739229161565641E-2</v>
      </c>
      <c r="F759" s="11">
        <v>7.9015240430281408E-2</v>
      </c>
      <c r="G759" s="3">
        <f t="shared" si="44"/>
        <v>2.8690196419532271E-2</v>
      </c>
      <c r="H759" s="11"/>
      <c r="I759" s="17">
        <f t="shared" si="47"/>
        <v>49832</v>
      </c>
      <c r="J759" s="18">
        <f t="shared" si="45"/>
        <v>10.225872689938399</v>
      </c>
      <c r="K759" s="7">
        <v>9.75</v>
      </c>
      <c r="L759" s="7">
        <v>6.6637221572904032E-8</v>
      </c>
      <c r="M759" s="7">
        <v>-1.3977157224916621E-5</v>
      </c>
      <c r="N759" s="7">
        <v>7.9631479779620324E-4</v>
      </c>
      <c r="O759" s="7">
        <v>2.4780710484650505E-2</v>
      </c>
      <c r="P759" s="11">
        <f t="shared" si="46"/>
        <v>3.1533409690231529</v>
      </c>
    </row>
    <row r="760" spans="1:16" x14ac:dyDescent="0.25">
      <c r="A760" s="11">
        <v>7.48</v>
      </c>
      <c r="B760" s="7">
        <v>6.75</v>
      </c>
      <c r="C760" s="11">
        <v>-1.0944565390944813E-4</v>
      </c>
      <c r="D760" s="11">
        <v>2.6920269702771296E-3</v>
      </c>
      <c r="E760" s="11">
        <v>-2.0739229161565641E-2</v>
      </c>
      <c r="F760" s="11">
        <v>7.9015240430281408E-2</v>
      </c>
      <c r="G760" s="3">
        <f t="shared" si="44"/>
        <v>2.8701801803139942E-2</v>
      </c>
      <c r="H760" s="11"/>
      <c r="I760" s="17">
        <f t="shared" si="47"/>
        <v>49837</v>
      </c>
      <c r="J760" s="18">
        <f t="shared" si="45"/>
        <v>10.239561943874058</v>
      </c>
      <c r="K760" s="7">
        <v>9.75</v>
      </c>
      <c r="L760" s="7">
        <v>6.6637221572904032E-8</v>
      </c>
      <c r="M760" s="7">
        <v>-1.3977157224916621E-5</v>
      </c>
      <c r="N760" s="7">
        <v>7.9631479779620324E-4</v>
      </c>
      <c r="O760" s="7">
        <v>2.4780710484650505E-2</v>
      </c>
      <c r="P760" s="11">
        <f t="shared" si="46"/>
        <v>3.1540681403505277</v>
      </c>
    </row>
    <row r="761" spans="1:16" x14ac:dyDescent="0.25">
      <c r="A761" s="11">
        <v>7.49</v>
      </c>
      <c r="B761" s="7">
        <v>6.75</v>
      </c>
      <c r="C761" s="11">
        <v>-1.0944565390944813E-4</v>
      </c>
      <c r="D761" s="11">
        <v>2.6920269702771296E-3</v>
      </c>
      <c r="E761" s="11">
        <v>-2.0739229161565641E-2</v>
      </c>
      <c r="F761" s="11">
        <v>7.9015240430281408E-2</v>
      </c>
      <c r="G761" s="3">
        <f t="shared" si="44"/>
        <v>2.871345440004687E-2</v>
      </c>
      <c r="H761" s="11"/>
      <c r="I761" s="17">
        <f t="shared" si="47"/>
        <v>49842</v>
      </c>
      <c r="J761" s="18">
        <f t="shared" si="45"/>
        <v>10.253251197809719</v>
      </c>
      <c r="K761" s="7">
        <v>9.75</v>
      </c>
      <c r="L761" s="7">
        <v>6.6637221572904032E-8</v>
      </c>
      <c r="M761" s="7">
        <v>-1.3977157224916621E-5</v>
      </c>
      <c r="N761" s="7">
        <v>7.9631479779620324E-4</v>
      </c>
      <c r="O761" s="7">
        <v>2.4780710484650505E-2</v>
      </c>
      <c r="P761" s="11">
        <f t="shared" si="46"/>
        <v>3.1547948645462287</v>
      </c>
    </row>
    <row r="762" spans="1:16" x14ac:dyDescent="0.25">
      <c r="A762" s="11">
        <v>7.5</v>
      </c>
      <c r="B762" s="7">
        <v>6.75</v>
      </c>
      <c r="C762" s="11">
        <v>-1.0944565390944813E-4</v>
      </c>
      <c r="D762" s="11">
        <v>2.6920269702771296E-3</v>
      </c>
      <c r="E762" s="11">
        <v>-2.0739229161565641E-2</v>
      </c>
      <c r="F762" s="11">
        <v>7.9015240430281408E-2</v>
      </c>
      <c r="G762" s="3">
        <f t="shared" si="44"/>
        <v>2.8725153553579214E-2</v>
      </c>
      <c r="H762" s="11"/>
      <c r="I762" s="17">
        <f t="shared" si="47"/>
        <v>49847</v>
      </c>
      <c r="J762" s="18">
        <f t="shared" si="45"/>
        <v>10.266940451745381</v>
      </c>
      <c r="K762" s="7">
        <v>9.75</v>
      </c>
      <c r="L762" s="7">
        <v>6.6637221572904032E-8</v>
      </c>
      <c r="M762" s="7">
        <v>-1.3977157224916621E-5</v>
      </c>
      <c r="N762" s="7">
        <v>7.9631479779620324E-4</v>
      </c>
      <c r="O762" s="7">
        <v>2.4780710484650505E-2</v>
      </c>
      <c r="P762" s="11">
        <f t="shared" si="46"/>
        <v>3.1555211417128226</v>
      </c>
    </row>
    <row r="763" spans="1:16" x14ac:dyDescent="0.25">
      <c r="A763" s="11">
        <v>7.51</v>
      </c>
      <c r="B763" s="7">
        <v>6.75</v>
      </c>
      <c r="C763" s="11">
        <v>-1.0944565390944813E-4</v>
      </c>
      <c r="D763" s="11">
        <v>2.6920269702771296E-3</v>
      </c>
      <c r="E763" s="11">
        <v>-2.0739229161565641E-2</v>
      </c>
      <c r="F763" s="11">
        <v>7.9015240430281408E-2</v>
      </c>
      <c r="G763" s="3">
        <f t="shared" si="44"/>
        <v>2.8736898607062994E-2</v>
      </c>
      <c r="H763" s="11"/>
      <c r="I763" s="17">
        <f t="shared" si="47"/>
        <v>49852</v>
      </c>
      <c r="J763" s="18">
        <f t="shared" si="45"/>
        <v>10.28062970568104</v>
      </c>
      <c r="K763" s="7">
        <v>9.75</v>
      </c>
      <c r="L763" s="7">
        <v>6.6637221572904032E-8</v>
      </c>
      <c r="M763" s="7">
        <v>-1.3977157224916621E-5</v>
      </c>
      <c r="N763" s="7">
        <v>7.9631479779620324E-4</v>
      </c>
      <c r="O763" s="7">
        <v>2.4780710484650505E-2</v>
      </c>
      <c r="P763" s="11">
        <f t="shared" si="46"/>
        <v>3.1562469719528767</v>
      </c>
    </row>
    <row r="764" spans="1:16" x14ac:dyDescent="0.25">
      <c r="A764" s="11">
        <v>7.52</v>
      </c>
      <c r="B764" s="7">
        <v>6.75</v>
      </c>
      <c r="C764" s="11">
        <v>-1.0944565390944813E-4</v>
      </c>
      <c r="D764" s="11">
        <v>2.6920269702771296E-3</v>
      </c>
      <c r="E764" s="11">
        <v>-2.0739229161565641E-2</v>
      </c>
      <c r="F764" s="11">
        <v>7.9015240430281408E-2</v>
      </c>
      <c r="G764" s="3">
        <f t="shared" si="44"/>
        <v>2.8748688903824329E-2</v>
      </c>
      <c r="H764" s="11"/>
      <c r="I764" s="17">
        <f t="shared" si="47"/>
        <v>49857</v>
      </c>
      <c r="J764" s="18">
        <f t="shared" si="45"/>
        <v>10.294318959616701</v>
      </c>
      <c r="K764" s="7">
        <v>9.75</v>
      </c>
      <c r="L764" s="7">
        <v>6.6637221572904032E-8</v>
      </c>
      <c r="M764" s="7">
        <v>-1.3977157224916621E-5</v>
      </c>
      <c r="N764" s="7">
        <v>7.9631479779620324E-4</v>
      </c>
      <c r="O764" s="7">
        <v>2.4780710484650505E-2</v>
      </c>
      <c r="P764" s="11">
        <f t="shared" si="46"/>
        <v>3.1569723553689566</v>
      </c>
    </row>
    <row r="765" spans="1:16" x14ac:dyDescent="0.25">
      <c r="A765" s="11">
        <v>7.53</v>
      </c>
      <c r="B765" s="7">
        <v>6.75</v>
      </c>
      <c r="C765" s="11">
        <v>-1.0944565390944813E-4</v>
      </c>
      <c r="D765" s="11">
        <v>2.6920269702771296E-3</v>
      </c>
      <c r="E765" s="11">
        <v>-2.0739229161565641E-2</v>
      </c>
      <c r="F765" s="11">
        <v>7.9015240430281408E-2</v>
      </c>
      <c r="G765" s="3">
        <f t="shared" si="44"/>
        <v>2.8760523787189296E-2</v>
      </c>
      <c r="H765" s="11"/>
      <c r="I765" s="17">
        <f t="shared" si="47"/>
        <v>49862</v>
      </c>
      <c r="J765" s="18">
        <f t="shared" si="45"/>
        <v>10.308008213552361</v>
      </c>
      <c r="K765" s="7">
        <v>9.75</v>
      </c>
      <c r="L765" s="7">
        <v>6.6637221572904032E-8</v>
      </c>
      <c r="M765" s="7">
        <v>-1.3977157224916621E-5</v>
      </c>
      <c r="N765" s="7">
        <v>7.9631479779620324E-4</v>
      </c>
      <c r="O765" s="7">
        <v>2.4780710484650505E-2</v>
      </c>
      <c r="P765" s="11">
        <f t="shared" si="46"/>
        <v>3.1576972920636313</v>
      </c>
    </row>
    <row r="766" spans="1:16" x14ac:dyDescent="0.25">
      <c r="A766" s="11">
        <v>7.54</v>
      </c>
      <c r="B766" s="7">
        <v>6.75</v>
      </c>
      <c r="C766" s="11">
        <v>-1.0944565390944813E-4</v>
      </c>
      <c r="D766" s="11">
        <v>2.6920269702771296E-3</v>
      </c>
      <c r="E766" s="11">
        <v>-2.0739229161565641E-2</v>
      </c>
      <c r="F766" s="11">
        <v>7.9015240430281408E-2</v>
      </c>
      <c r="G766" s="3">
        <f t="shared" si="44"/>
        <v>2.8772402600483915E-2</v>
      </c>
      <c r="H766" s="11"/>
      <c r="I766" s="17">
        <f t="shared" si="47"/>
        <v>49867</v>
      </c>
      <c r="J766" s="18">
        <f t="shared" si="45"/>
        <v>10.321697467488022</v>
      </c>
      <c r="K766" s="7">
        <v>9.75</v>
      </c>
      <c r="L766" s="7">
        <v>6.6637221572904032E-8</v>
      </c>
      <c r="M766" s="7">
        <v>-1.3977157224916621E-5</v>
      </c>
      <c r="N766" s="7">
        <v>7.9631479779620324E-4</v>
      </c>
      <c r="O766" s="7">
        <v>2.4780710484650505E-2</v>
      </c>
      <c r="P766" s="11">
        <f t="shared" si="46"/>
        <v>3.1584217821394658</v>
      </c>
    </row>
    <row r="767" spans="1:16" x14ac:dyDescent="0.25">
      <c r="A767" s="11">
        <v>7.55</v>
      </c>
      <c r="B767" s="7">
        <v>6.75</v>
      </c>
      <c r="C767" s="11">
        <v>-1.0944565390944813E-4</v>
      </c>
      <c r="D767" s="11">
        <v>2.6920269702771296E-3</v>
      </c>
      <c r="E767" s="11">
        <v>-2.0739229161565641E-2</v>
      </c>
      <c r="F767" s="11">
        <v>7.9015240430281408E-2</v>
      </c>
      <c r="G767" s="3">
        <f t="shared" si="44"/>
        <v>2.8784324687034346E-2</v>
      </c>
      <c r="H767" s="11"/>
      <c r="I767" s="17">
        <f t="shared" si="47"/>
        <v>49872</v>
      </c>
      <c r="J767" s="18">
        <f t="shared" si="45"/>
        <v>10.335386721423683</v>
      </c>
      <c r="K767" s="7">
        <v>9.75</v>
      </c>
      <c r="L767" s="7">
        <v>6.6637221572904032E-8</v>
      </c>
      <c r="M767" s="7">
        <v>-1.3977157224916621E-5</v>
      </c>
      <c r="N767" s="7">
        <v>7.9631479779620324E-4</v>
      </c>
      <c r="O767" s="7">
        <v>2.4780710484650505E-2</v>
      </c>
      <c r="P767" s="11">
        <f t="shared" si="46"/>
        <v>3.1591458256990288</v>
      </c>
    </row>
    <row r="768" spans="1:16" x14ac:dyDescent="0.25">
      <c r="A768" s="11">
        <v>7.56</v>
      </c>
      <c r="B768" s="7">
        <v>6.75</v>
      </c>
      <c r="C768" s="11">
        <v>-1.0944565390944813E-4</v>
      </c>
      <c r="D768" s="11">
        <v>2.6920269702771296E-3</v>
      </c>
      <c r="E768" s="11">
        <v>-2.0739229161565641E-2</v>
      </c>
      <c r="F768" s="11">
        <v>7.9015240430281408E-2</v>
      </c>
      <c r="G768" s="3">
        <f t="shared" si="44"/>
        <v>2.8796289390166624E-2</v>
      </c>
      <c r="H768" s="11"/>
      <c r="I768" s="17">
        <f t="shared" si="47"/>
        <v>49877</v>
      </c>
      <c r="J768" s="18">
        <f t="shared" si="45"/>
        <v>10.349075975359343</v>
      </c>
      <c r="K768" s="7">
        <v>9.75</v>
      </c>
      <c r="L768" s="7">
        <v>6.6637221572904032E-8</v>
      </c>
      <c r="M768" s="7">
        <v>-1.3977157224916621E-5</v>
      </c>
      <c r="N768" s="7">
        <v>7.9631479779620324E-4</v>
      </c>
      <c r="O768" s="7">
        <v>2.4780710484650505E-2</v>
      </c>
      <c r="P768" s="11">
        <f t="shared" si="46"/>
        <v>3.1598694228448863</v>
      </c>
    </row>
    <row r="769" spans="1:16" x14ac:dyDescent="0.25">
      <c r="A769" s="11">
        <v>7.57</v>
      </c>
      <c r="B769" s="7">
        <v>6.75</v>
      </c>
      <c r="C769" s="11">
        <v>-1.0944565390944813E-4</v>
      </c>
      <c r="D769" s="11">
        <v>2.6920269702771296E-3</v>
      </c>
      <c r="E769" s="11">
        <v>-2.0739229161565641E-2</v>
      </c>
      <c r="F769" s="11">
        <v>7.9015240430281408E-2</v>
      </c>
      <c r="G769" s="3">
        <f t="shared" si="44"/>
        <v>2.8808296053206783E-2</v>
      </c>
      <c r="H769" s="11"/>
      <c r="I769" s="17">
        <f t="shared" si="47"/>
        <v>49882</v>
      </c>
      <c r="J769" s="18">
        <f t="shared" si="45"/>
        <v>10.362765229295004</v>
      </c>
      <c r="K769" s="7">
        <v>9.75</v>
      </c>
      <c r="L769" s="7">
        <v>6.6637221572904032E-8</v>
      </c>
      <c r="M769" s="7">
        <v>-1.3977157224916621E-5</v>
      </c>
      <c r="N769" s="7">
        <v>7.9631479779620324E-4</v>
      </c>
      <c r="O769" s="7">
        <v>2.4780710484650505E-2</v>
      </c>
      <c r="P769" s="11">
        <f t="shared" si="46"/>
        <v>3.1605925736796046</v>
      </c>
    </row>
    <row r="770" spans="1:16" x14ac:dyDescent="0.25">
      <c r="A770" s="11">
        <v>7.58</v>
      </c>
      <c r="B770" s="7">
        <v>6.75</v>
      </c>
      <c r="C770" s="11">
        <v>-1.0944565390944813E-4</v>
      </c>
      <c r="D770" s="11">
        <v>2.6920269702771296E-3</v>
      </c>
      <c r="E770" s="11">
        <v>-2.0739229161565641E-2</v>
      </c>
      <c r="F770" s="11">
        <v>7.9015240430281408E-2</v>
      </c>
      <c r="G770" s="3">
        <f t="shared" si="44"/>
        <v>2.882034401948097E-2</v>
      </c>
      <c r="H770" s="11"/>
      <c r="I770" s="17">
        <f t="shared" si="47"/>
        <v>49887</v>
      </c>
      <c r="J770" s="18">
        <f t="shared" si="45"/>
        <v>10.376454483230663</v>
      </c>
      <c r="K770" s="7">
        <v>9.75</v>
      </c>
      <c r="L770" s="7">
        <v>6.6637221572904032E-8</v>
      </c>
      <c r="M770" s="7">
        <v>-1.3977157224916621E-5</v>
      </c>
      <c r="N770" s="7">
        <v>7.9631479779620324E-4</v>
      </c>
      <c r="O770" s="7">
        <v>2.4780710484650505E-2</v>
      </c>
      <c r="P770" s="11">
        <f t="shared" si="46"/>
        <v>3.1613152783057519</v>
      </c>
    </row>
    <row r="771" spans="1:16" x14ac:dyDescent="0.25">
      <c r="A771" s="11">
        <v>7.59</v>
      </c>
      <c r="B771" s="7">
        <v>6.75</v>
      </c>
      <c r="C771" s="11">
        <v>-1.0944565390944813E-4</v>
      </c>
      <c r="D771" s="11">
        <v>2.6920269702771296E-3</v>
      </c>
      <c r="E771" s="11">
        <v>-2.0739229161565641E-2</v>
      </c>
      <c r="F771" s="11">
        <v>7.9015240430281408E-2</v>
      </c>
      <c r="G771" s="3">
        <f t="shared" si="44"/>
        <v>2.8832432632315247E-2</v>
      </c>
      <c r="H771" s="11"/>
      <c r="I771" s="17">
        <f t="shared" si="47"/>
        <v>49892</v>
      </c>
      <c r="J771" s="18">
        <f t="shared" si="45"/>
        <v>10.390143737166325</v>
      </c>
      <c r="K771" s="7">
        <v>9.75</v>
      </c>
      <c r="L771" s="7">
        <v>6.6637221572904032E-8</v>
      </c>
      <c r="M771" s="7">
        <v>-1.3977157224916621E-5</v>
      </c>
      <c r="N771" s="7">
        <v>7.9631479779620324E-4</v>
      </c>
      <c r="O771" s="7">
        <v>2.4780710484650505E-2</v>
      </c>
      <c r="P771" s="11">
        <f t="shared" si="46"/>
        <v>3.1620375368258951</v>
      </c>
    </row>
    <row r="772" spans="1:16" x14ac:dyDescent="0.25">
      <c r="A772" s="11">
        <v>7.6</v>
      </c>
      <c r="B772" s="7">
        <v>6.75</v>
      </c>
      <c r="C772" s="11">
        <v>-1.0944565390944813E-4</v>
      </c>
      <c r="D772" s="11">
        <v>2.6920269702771296E-3</v>
      </c>
      <c r="E772" s="11">
        <v>-2.0739229161565641E-2</v>
      </c>
      <c r="F772" s="11">
        <v>7.9015240430281408E-2</v>
      </c>
      <c r="G772" s="3">
        <f t="shared" si="44"/>
        <v>2.8844561235035648E-2</v>
      </c>
      <c r="H772" s="11"/>
      <c r="I772" s="17">
        <f t="shared" si="47"/>
        <v>49897</v>
      </c>
      <c r="J772" s="18">
        <f t="shared" si="45"/>
        <v>10.403832991101986</v>
      </c>
      <c r="K772" s="7">
        <v>9.75</v>
      </c>
      <c r="L772" s="7">
        <v>6.6637221572904032E-8</v>
      </c>
      <c r="M772" s="7">
        <v>-1.3977157224916621E-5</v>
      </c>
      <c r="N772" s="7">
        <v>7.9631479779620324E-4</v>
      </c>
      <c r="O772" s="7">
        <v>2.4780710484650505E-2</v>
      </c>
      <c r="P772" s="11">
        <f t="shared" si="46"/>
        <v>3.1627593493426005</v>
      </c>
    </row>
    <row r="773" spans="1:16" x14ac:dyDescent="0.25">
      <c r="A773" s="11">
        <v>7.61</v>
      </c>
      <c r="B773" s="7">
        <v>6.75</v>
      </c>
      <c r="C773" s="11">
        <v>-1.0944565390944813E-4</v>
      </c>
      <c r="D773" s="11">
        <v>2.6920269702771296E-3</v>
      </c>
      <c r="E773" s="11">
        <v>-2.0739229161565641E-2</v>
      </c>
      <c r="F773" s="11">
        <v>7.9015240430281408E-2</v>
      </c>
      <c r="G773" s="3">
        <f t="shared" si="44"/>
        <v>2.8856729170968265E-2</v>
      </c>
      <c r="H773" s="11"/>
      <c r="I773" s="17">
        <f t="shared" si="47"/>
        <v>49902</v>
      </c>
      <c r="J773" s="18">
        <f t="shared" si="45"/>
        <v>10.417522245037645</v>
      </c>
      <c r="K773" s="7">
        <v>9.75</v>
      </c>
      <c r="L773" s="7">
        <v>6.6637221572904032E-8</v>
      </c>
      <c r="M773" s="7">
        <v>-1.3977157224916621E-5</v>
      </c>
      <c r="N773" s="7">
        <v>7.9631479779620324E-4</v>
      </c>
      <c r="O773" s="7">
        <v>2.4780710484650505E-2</v>
      </c>
      <c r="P773" s="11">
        <f t="shared" si="46"/>
        <v>3.1634807159584355</v>
      </c>
    </row>
    <row r="774" spans="1:16" x14ac:dyDescent="0.25">
      <c r="A774" s="11">
        <v>7.62</v>
      </c>
      <c r="B774" s="7">
        <v>6.75</v>
      </c>
      <c r="C774" s="11">
        <v>-1.0944565390944813E-4</v>
      </c>
      <c r="D774" s="11">
        <v>2.6920269702771296E-3</v>
      </c>
      <c r="E774" s="11">
        <v>-2.0739229161565641E-2</v>
      </c>
      <c r="F774" s="11">
        <v>7.9015240430281408E-2</v>
      </c>
      <c r="G774" s="3">
        <f t="shared" si="44"/>
        <v>2.8868935783439201E-2</v>
      </c>
      <c r="H774" s="11"/>
      <c r="I774" s="17">
        <f t="shared" si="47"/>
        <v>49907</v>
      </c>
      <c r="J774" s="18">
        <f t="shared" si="45"/>
        <v>10.431211498973306</v>
      </c>
      <c r="K774" s="7">
        <v>9.75</v>
      </c>
      <c r="L774" s="7">
        <v>6.6637221572904032E-8</v>
      </c>
      <c r="M774" s="7">
        <v>-1.3977157224916621E-5</v>
      </c>
      <c r="N774" s="7">
        <v>7.9631479779620324E-4</v>
      </c>
      <c r="O774" s="7">
        <v>2.4780710484650505E-2</v>
      </c>
      <c r="P774" s="11">
        <f t="shared" si="46"/>
        <v>3.1642016367759664</v>
      </c>
    </row>
    <row r="775" spans="1:16" x14ac:dyDescent="0.25">
      <c r="A775" s="11">
        <v>7.63</v>
      </c>
      <c r="B775" s="7">
        <v>6.75</v>
      </c>
      <c r="C775" s="11">
        <v>-1.0944565390944813E-4</v>
      </c>
      <c r="D775" s="11">
        <v>2.6920269702771296E-3</v>
      </c>
      <c r="E775" s="11">
        <v>-2.0739229161565641E-2</v>
      </c>
      <c r="F775" s="11">
        <v>7.9015240430281408E-2</v>
      </c>
      <c r="G775" s="3">
        <f t="shared" si="44"/>
        <v>2.8881180415774532E-2</v>
      </c>
      <c r="H775" s="11"/>
      <c r="I775" s="17">
        <f t="shared" si="47"/>
        <v>49912</v>
      </c>
      <c r="J775" s="18">
        <f t="shared" si="45"/>
        <v>10.444900752908966</v>
      </c>
      <c r="K775" s="7">
        <v>9.75</v>
      </c>
      <c r="L775" s="7">
        <v>6.6637221572904032E-8</v>
      </c>
      <c r="M775" s="7">
        <v>-1.3977157224916621E-5</v>
      </c>
      <c r="N775" s="7">
        <v>7.9631479779620324E-4</v>
      </c>
      <c r="O775" s="7">
        <v>2.4780710484650505E-2</v>
      </c>
      <c r="P775" s="11">
        <f t="shared" si="46"/>
        <v>3.1649221118977611</v>
      </c>
    </row>
    <row r="776" spans="1:16" x14ac:dyDescent="0.25">
      <c r="A776" s="11">
        <v>7.64</v>
      </c>
      <c r="B776" s="7">
        <v>6.75</v>
      </c>
      <c r="C776" s="11">
        <v>-1.0944565390944813E-4</v>
      </c>
      <c r="D776" s="11">
        <v>2.6920269702771296E-3</v>
      </c>
      <c r="E776" s="11">
        <v>-2.0739229161565641E-2</v>
      </c>
      <c r="F776" s="11">
        <v>7.9015240430281408E-2</v>
      </c>
      <c r="G776" s="3">
        <f t="shared" si="44"/>
        <v>2.8893462411300308E-2</v>
      </c>
      <c r="H776" s="11"/>
      <c r="I776" s="17">
        <f t="shared" si="47"/>
        <v>49917</v>
      </c>
      <c r="J776" s="18">
        <f t="shared" si="45"/>
        <v>10.458590006844627</v>
      </c>
      <c r="K776" s="7">
        <v>9.75</v>
      </c>
      <c r="L776" s="7">
        <v>6.6637221572904032E-8</v>
      </c>
      <c r="M776" s="7">
        <v>-1.3977157224916621E-5</v>
      </c>
      <c r="N776" s="7">
        <v>7.9631479779620324E-4</v>
      </c>
      <c r="O776" s="7">
        <v>2.4780710484650505E-2</v>
      </c>
      <c r="P776" s="11">
        <f t="shared" si="46"/>
        <v>3.1656421414263858</v>
      </c>
    </row>
    <row r="777" spans="1:16" x14ac:dyDescent="0.25">
      <c r="A777" s="11">
        <v>7.65</v>
      </c>
      <c r="B777" s="7">
        <v>6.75</v>
      </c>
      <c r="C777" s="11">
        <v>-1.0944565390944813E-4</v>
      </c>
      <c r="D777" s="11">
        <v>2.6920269702771296E-3</v>
      </c>
      <c r="E777" s="11">
        <v>-2.0739229161565641E-2</v>
      </c>
      <c r="F777" s="11">
        <v>7.9015240430281408E-2</v>
      </c>
      <c r="G777" s="3">
        <f t="shared" si="44"/>
        <v>2.8905781113342632E-2</v>
      </c>
      <c r="H777" s="11"/>
      <c r="I777" s="17">
        <f t="shared" si="47"/>
        <v>49922</v>
      </c>
      <c r="J777" s="18">
        <f t="shared" si="45"/>
        <v>10.472279260780287</v>
      </c>
      <c r="K777" s="7">
        <v>9.75</v>
      </c>
      <c r="L777" s="7">
        <v>6.6637221572904032E-8</v>
      </c>
      <c r="M777" s="7">
        <v>-1.3977157224916621E-5</v>
      </c>
      <c r="N777" s="7">
        <v>7.9631479779620324E-4</v>
      </c>
      <c r="O777" s="7">
        <v>2.4780710484650505E-2</v>
      </c>
      <c r="P777" s="11">
        <f t="shared" si="46"/>
        <v>3.1663617254644074</v>
      </c>
    </row>
    <row r="778" spans="1:16" x14ac:dyDescent="0.25">
      <c r="A778" s="11">
        <v>7.66</v>
      </c>
      <c r="B778" s="7">
        <v>6.75</v>
      </c>
      <c r="C778" s="11">
        <v>-1.0944565390944813E-4</v>
      </c>
      <c r="D778" s="11">
        <v>2.6920269702771296E-3</v>
      </c>
      <c r="E778" s="11">
        <v>-2.0739229161565641E-2</v>
      </c>
      <c r="F778" s="11">
        <v>7.9015240430281408E-2</v>
      </c>
      <c r="G778" s="3">
        <f t="shared" si="44"/>
        <v>2.8918135865227554E-2</v>
      </c>
      <c r="H778" s="11"/>
      <c r="I778" s="17">
        <f t="shared" si="47"/>
        <v>49927</v>
      </c>
      <c r="J778" s="18">
        <f t="shared" si="45"/>
        <v>10.485968514715948</v>
      </c>
      <c r="K778" s="7">
        <v>9.75</v>
      </c>
      <c r="L778" s="7">
        <v>6.6637221572904032E-8</v>
      </c>
      <c r="M778" s="7">
        <v>-1.3977157224916621E-5</v>
      </c>
      <c r="N778" s="7">
        <v>7.9631479779620324E-4</v>
      </c>
      <c r="O778" s="7">
        <v>2.4780710484650505E-2</v>
      </c>
      <c r="P778" s="11">
        <f t="shared" si="46"/>
        <v>3.1670808641143937</v>
      </c>
    </row>
    <row r="779" spans="1:16" x14ac:dyDescent="0.25">
      <c r="A779" s="11">
        <v>7.67</v>
      </c>
      <c r="B779" s="7">
        <v>6.75</v>
      </c>
      <c r="C779" s="11">
        <v>-1.0944565390944813E-4</v>
      </c>
      <c r="D779" s="11">
        <v>2.6920269702771296E-3</v>
      </c>
      <c r="E779" s="11">
        <v>-2.0739229161565641E-2</v>
      </c>
      <c r="F779" s="11">
        <v>7.9015240430281408E-2</v>
      </c>
      <c r="G779" s="3">
        <f t="shared" si="44"/>
        <v>2.8930526010281177E-2</v>
      </c>
      <c r="H779" s="11"/>
      <c r="I779" s="17">
        <f t="shared" si="47"/>
        <v>49932</v>
      </c>
      <c r="J779" s="18">
        <f t="shared" si="45"/>
        <v>10.499657768651609</v>
      </c>
      <c r="K779" s="7">
        <v>9.75</v>
      </c>
      <c r="L779" s="7">
        <v>6.6637221572904032E-8</v>
      </c>
      <c r="M779" s="7">
        <v>-1.3977157224916621E-5</v>
      </c>
      <c r="N779" s="7">
        <v>7.9631479779620324E-4</v>
      </c>
      <c r="O779" s="7">
        <v>2.4780710484650505E-2</v>
      </c>
      <c r="P779" s="11">
        <f t="shared" si="46"/>
        <v>3.167799557478912</v>
      </c>
    </row>
    <row r="780" spans="1:16" x14ac:dyDescent="0.25">
      <c r="A780" s="11">
        <v>7.68</v>
      </c>
      <c r="B780" s="7">
        <v>6.75</v>
      </c>
      <c r="C780" s="11">
        <v>-1.0944565390944813E-4</v>
      </c>
      <c r="D780" s="11">
        <v>2.6920269702771296E-3</v>
      </c>
      <c r="E780" s="11">
        <v>-2.0739229161565641E-2</v>
      </c>
      <c r="F780" s="11">
        <v>7.9015240430281408E-2</v>
      </c>
      <c r="G780" s="3">
        <f t="shared" si="44"/>
        <v>2.8942950891829564E-2</v>
      </c>
      <c r="H780" s="11"/>
      <c r="I780" s="17">
        <f t="shared" si="47"/>
        <v>49937</v>
      </c>
      <c r="J780" s="18">
        <f t="shared" si="45"/>
        <v>10.513347022587268</v>
      </c>
      <c r="K780" s="7">
        <v>9.75</v>
      </c>
      <c r="L780" s="7">
        <v>6.6637221572904032E-8</v>
      </c>
      <c r="M780" s="7">
        <v>-1.3977157224916621E-5</v>
      </c>
      <c r="N780" s="7">
        <v>7.9631479779620324E-4</v>
      </c>
      <c r="O780" s="7">
        <v>2.4780710484650505E-2</v>
      </c>
      <c r="P780" s="11">
        <f t="shared" si="46"/>
        <v>3.1685178056605272</v>
      </c>
    </row>
    <row r="781" spans="1:16" x14ac:dyDescent="0.25">
      <c r="A781" s="11">
        <v>7.69</v>
      </c>
      <c r="B781" s="7">
        <v>6.75</v>
      </c>
      <c r="C781" s="11">
        <v>-1.0944565390944813E-4</v>
      </c>
      <c r="D781" s="11">
        <v>2.6920269702771296E-3</v>
      </c>
      <c r="E781" s="11">
        <v>-2.0739229161565641E-2</v>
      </c>
      <c r="F781" s="11">
        <v>7.9015240430281408E-2</v>
      </c>
      <c r="G781" s="3">
        <f t="shared" ref="G781:G844" si="48">C781*A781^3 + D781*A781^2 + E781*A781 + F781</f>
        <v>2.8955409853198777E-2</v>
      </c>
      <c r="H781" s="11"/>
      <c r="I781" s="17">
        <f t="shared" si="47"/>
        <v>49942</v>
      </c>
      <c r="J781" s="18">
        <f t="shared" ref="J781:J816" si="49">(I781-$I$12)/365.25</f>
        <v>10.52703627652293</v>
      </c>
      <c r="K781" s="7">
        <v>9.75</v>
      </c>
      <c r="L781" s="7">
        <v>6.6637221572904032E-8</v>
      </c>
      <c r="M781" s="7">
        <v>-1.3977157224916621E-5</v>
      </c>
      <c r="N781" s="7">
        <v>7.9631479779620324E-4</v>
      </c>
      <c r="O781" s="7">
        <v>2.4780710484650505E-2</v>
      </c>
      <c r="P781" s="11">
        <f t="shared" ref="P781:P816" si="50">100*(L781*J781^3 + M781*J781^2 + N781*J781 + O781)</f>
        <v>3.1692356087618077</v>
      </c>
    </row>
    <row r="782" spans="1:16" x14ac:dyDescent="0.25">
      <c r="A782" s="11">
        <v>7.7</v>
      </c>
      <c r="B782" s="7">
        <v>6.75</v>
      </c>
      <c r="C782" s="11">
        <v>-1.0944565390944813E-4</v>
      </c>
      <c r="D782" s="11">
        <v>2.6920269702771296E-3</v>
      </c>
      <c r="E782" s="11">
        <v>-2.0739229161565641E-2</v>
      </c>
      <c r="F782" s="11">
        <v>7.9015240430281408E-2</v>
      </c>
      <c r="G782" s="3">
        <f t="shared" si="48"/>
        <v>2.8967902237714921E-2</v>
      </c>
      <c r="H782" s="11"/>
      <c r="I782" s="17">
        <f t="shared" ref="I782:I816" si="51">I781+5</f>
        <v>49947</v>
      </c>
      <c r="J782" s="18">
        <f t="shared" si="49"/>
        <v>10.540725530458589</v>
      </c>
      <c r="K782" s="7">
        <v>9.75</v>
      </c>
      <c r="L782" s="7">
        <v>6.6637221572904032E-8</v>
      </c>
      <c r="M782" s="7">
        <v>-1.3977157224916621E-5</v>
      </c>
      <c r="N782" s="7">
        <v>7.9631479779620324E-4</v>
      </c>
      <c r="O782" s="7">
        <v>2.4780710484650505E-2</v>
      </c>
      <c r="P782" s="11">
        <f t="shared" si="50"/>
        <v>3.1699529668853197</v>
      </c>
    </row>
    <row r="783" spans="1:16" x14ac:dyDescent="0.25">
      <c r="A783" s="11">
        <v>7.71</v>
      </c>
      <c r="B783" s="7">
        <v>6.75</v>
      </c>
      <c r="C783" s="11">
        <v>-1.0944565390944813E-4</v>
      </c>
      <c r="D783" s="11">
        <v>2.6920269702771296E-3</v>
      </c>
      <c r="E783" s="11">
        <v>-2.0739229161565641E-2</v>
      </c>
      <c r="F783" s="11">
        <v>7.9015240430281408E-2</v>
      </c>
      <c r="G783" s="3">
        <f t="shared" si="48"/>
        <v>2.8980427388704044E-2</v>
      </c>
      <c r="H783" s="11"/>
      <c r="I783" s="17">
        <f t="shared" si="51"/>
        <v>49952</v>
      </c>
      <c r="J783" s="18">
        <f t="shared" si="49"/>
        <v>10.55441478439425</v>
      </c>
      <c r="K783" s="7">
        <v>9.75</v>
      </c>
      <c r="L783" s="7">
        <v>6.6637221572904032E-8</v>
      </c>
      <c r="M783" s="7">
        <v>-1.3977157224916621E-5</v>
      </c>
      <c r="N783" s="7">
        <v>7.9631479779620324E-4</v>
      </c>
      <c r="O783" s="7">
        <v>2.4780710484650505E-2</v>
      </c>
      <c r="P783" s="11">
        <f t="shared" si="50"/>
        <v>3.1706698801336315</v>
      </c>
    </row>
    <row r="784" spans="1:16" x14ac:dyDescent="0.25">
      <c r="A784" s="11">
        <v>7.72</v>
      </c>
      <c r="B784" s="7">
        <v>6.75</v>
      </c>
      <c r="C784" s="11">
        <v>-1.0944565390944813E-4</v>
      </c>
      <c r="D784" s="11">
        <v>2.6920269702771296E-3</v>
      </c>
      <c r="E784" s="11">
        <v>-2.0739229161565641E-2</v>
      </c>
      <c r="F784" s="11">
        <v>7.9015240430281408E-2</v>
      </c>
      <c r="G784" s="3">
        <f t="shared" si="48"/>
        <v>2.8992984649492265E-2</v>
      </c>
      <c r="H784" s="11"/>
      <c r="I784" s="17">
        <f t="shared" si="51"/>
        <v>49957</v>
      </c>
      <c r="J784" s="18">
        <f t="shared" si="49"/>
        <v>10.568104038329912</v>
      </c>
      <c r="K784" s="7">
        <v>9.75</v>
      </c>
      <c r="L784" s="7">
        <v>6.6637221572904032E-8</v>
      </c>
      <c r="M784" s="7">
        <v>-1.3977157224916621E-5</v>
      </c>
      <c r="N784" s="7">
        <v>7.9631479779620324E-4</v>
      </c>
      <c r="O784" s="7">
        <v>2.4780710484650505E-2</v>
      </c>
      <c r="P784" s="11">
        <f t="shared" si="50"/>
        <v>3.171386348609309</v>
      </c>
    </row>
    <row r="785" spans="1:16" x14ac:dyDescent="0.25">
      <c r="A785" s="11">
        <v>7.73</v>
      </c>
      <c r="B785" s="7">
        <v>6.75</v>
      </c>
      <c r="C785" s="11">
        <v>-1.0944565390944813E-4</v>
      </c>
      <c r="D785" s="11">
        <v>2.6920269702771296E-3</v>
      </c>
      <c r="E785" s="11">
        <v>-2.0739229161565641E-2</v>
      </c>
      <c r="F785" s="11">
        <v>7.9015240430281408E-2</v>
      </c>
      <c r="G785" s="3">
        <f t="shared" si="48"/>
        <v>2.9005573363405562E-2</v>
      </c>
      <c r="H785" s="11"/>
      <c r="I785" s="17">
        <f t="shared" si="51"/>
        <v>49962</v>
      </c>
      <c r="J785" s="18">
        <f t="shared" si="49"/>
        <v>10.581793292265571</v>
      </c>
      <c r="K785" s="7">
        <v>9.75</v>
      </c>
      <c r="L785" s="7">
        <v>6.6637221572904032E-8</v>
      </c>
      <c r="M785" s="7">
        <v>-1.3977157224916621E-5</v>
      </c>
      <c r="N785" s="7">
        <v>7.9631479779620324E-4</v>
      </c>
      <c r="O785" s="7">
        <v>2.4780710484650505E-2</v>
      </c>
      <c r="P785" s="11">
        <f t="shared" si="50"/>
        <v>3.17210237241492</v>
      </c>
    </row>
    <row r="786" spans="1:16" x14ac:dyDescent="0.25">
      <c r="A786" s="11">
        <v>7.74</v>
      </c>
      <c r="B786" s="7">
        <v>6.75</v>
      </c>
      <c r="C786" s="11">
        <v>-1.0944565390944813E-4</v>
      </c>
      <c r="D786" s="11">
        <v>2.6920269702771296E-3</v>
      </c>
      <c r="E786" s="11">
        <v>-2.0739229161565641E-2</v>
      </c>
      <c r="F786" s="11">
        <v>7.9015240430281408E-2</v>
      </c>
      <c r="G786" s="3">
        <f t="shared" si="48"/>
        <v>2.9018192873770152E-2</v>
      </c>
      <c r="H786" s="11"/>
      <c r="I786" s="17">
        <f t="shared" si="51"/>
        <v>49967</v>
      </c>
      <c r="J786" s="18">
        <f t="shared" si="49"/>
        <v>10.595482546201232</v>
      </c>
      <c r="K786" s="7">
        <v>9.75</v>
      </c>
      <c r="L786" s="7">
        <v>6.6637221572904032E-8</v>
      </c>
      <c r="M786" s="7">
        <v>-1.3977157224916621E-5</v>
      </c>
      <c r="N786" s="7">
        <v>7.9631479779620324E-4</v>
      </c>
      <c r="O786" s="7">
        <v>2.4780710484650505E-2</v>
      </c>
      <c r="P786" s="11">
        <f t="shared" si="50"/>
        <v>3.1728179516530299</v>
      </c>
    </row>
    <row r="787" spans="1:16" x14ac:dyDescent="0.25">
      <c r="A787" s="11">
        <v>7.75</v>
      </c>
      <c r="B787" s="7">
        <v>6.75</v>
      </c>
      <c r="C787" s="11">
        <v>-1.0944565390944813E-4</v>
      </c>
      <c r="D787" s="11">
        <v>2.6920269702771296E-3</v>
      </c>
      <c r="E787" s="11">
        <v>-2.0739229161565641E-2</v>
      </c>
      <c r="F787" s="11">
        <v>7.9015240430281408E-2</v>
      </c>
      <c r="G787" s="3">
        <f t="shared" si="48"/>
        <v>2.9030842523912026E-2</v>
      </c>
      <c r="H787" s="11"/>
      <c r="I787" s="17">
        <f t="shared" si="51"/>
        <v>49972</v>
      </c>
      <c r="J787" s="18">
        <f t="shared" si="49"/>
        <v>10.609171800136892</v>
      </c>
      <c r="K787" s="7">
        <v>9.75</v>
      </c>
      <c r="L787" s="7">
        <v>6.6637221572904032E-8</v>
      </c>
      <c r="M787" s="7">
        <v>-1.3977157224916621E-5</v>
      </c>
      <c r="N787" s="7">
        <v>7.9631479779620324E-4</v>
      </c>
      <c r="O787" s="7">
        <v>2.4780710484650505E-2</v>
      </c>
      <c r="P787" s="11">
        <f t="shared" si="50"/>
        <v>3.173533086426207</v>
      </c>
    </row>
    <row r="788" spans="1:16" x14ac:dyDescent="0.25">
      <c r="A788" s="11">
        <v>7.76</v>
      </c>
      <c r="B788" s="7">
        <v>6.75</v>
      </c>
      <c r="C788" s="11">
        <v>-1.0944565390944813E-4</v>
      </c>
      <c r="D788" s="11">
        <v>2.6920269702771296E-3</v>
      </c>
      <c r="E788" s="11">
        <v>-2.0739229161565641E-2</v>
      </c>
      <c r="F788" s="11">
        <v>7.9015240430281408E-2</v>
      </c>
      <c r="G788" s="3">
        <f t="shared" si="48"/>
        <v>2.904352165715729E-2</v>
      </c>
      <c r="H788" s="11"/>
      <c r="I788" s="17">
        <f t="shared" si="51"/>
        <v>49977</v>
      </c>
      <c r="J788" s="18">
        <f t="shared" si="49"/>
        <v>10.622861054072553</v>
      </c>
      <c r="K788" s="7">
        <v>9.75</v>
      </c>
      <c r="L788" s="7">
        <v>6.6637221572904032E-8</v>
      </c>
      <c r="M788" s="7">
        <v>-1.3977157224916621E-5</v>
      </c>
      <c r="N788" s="7">
        <v>7.9631479779620324E-4</v>
      </c>
      <c r="O788" s="7">
        <v>2.4780710484650505E-2</v>
      </c>
      <c r="P788" s="11">
        <f t="shared" si="50"/>
        <v>3.1742477768370185</v>
      </c>
    </row>
    <row r="789" spans="1:16" x14ac:dyDescent="0.25">
      <c r="A789" s="11">
        <v>7.77</v>
      </c>
      <c r="B789" s="7">
        <v>6.75</v>
      </c>
      <c r="C789" s="11">
        <v>-1.0944565390944813E-4</v>
      </c>
      <c r="D789" s="11">
        <v>2.6920269702771296E-3</v>
      </c>
      <c r="E789" s="11">
        <v>-2.0739229161565641E-2</v>
      </c>
      <c r="F789" s="11">
        <v>7.9015240430281408E-2</v>
      </c>
      <c r="G789" s="3">
        <f t="shared" si="48"/>
        <v>2.9056229616831949E-2</v>
      </c>
      <c r="H789" s="11"/>
      <c r="I789" s="17">
        <f t="shared" si="51"/>
        <v>49982</v>
      </c>
      <c r="J789" s="18">
        <f t="shared" si="49"/>
        <v>10.636550308008214</v>
      </c>
      <c r="K789" s="7">
        <v>9.75</v>
      </c>
      <c r="L789" s="7">
        <v>6.6637221572904032E-8</v>
      </c>
      <c r="M789" s="7">
        <v>-1.3977157224916621E-5</v>
      </c>
      <c r="N789" s="7">
        <v>7.9631479779620324E-4</v>
      </c>
      <c r="O789" s="7">
        <v>2.4780710484650505E-2</v>
      </c>
      <c r="P789" s="11">
        <f t="shared" si="50"/>
        <v>3.17496202298803</v>
      </c>
    </row>
    <row r="790" spans="1:16" x14ac:dyDescent="0.25">
      <c r="A790" s="11">
        <v>7.78</v>
      </c>
      <c r="B790" s="7">
        <v>6.75</v>
      </c>
      <c r="C790" s="11">
        <v>-1.0944565390944813E-4</v>
      </c>
      <c r="D790" s="11">
        <v>2.6920269702771296E-3</v>
      </c>
      <c r="E790" s="11">
        <v>-2.0739229161565641E-2</v>
      </c>
      <c r="F790" s="11">
        <v>7.9015240430281408E-2</v>
      </c>
      <c r="G790" s="3">
        <f t="shared" si="48"/>
        <v>2.9068965746262193E-2</v>
      </c>
      <c r="H790" s="11"/>
      <c r="I790" s="17">
        <f t="shared" si="51"/>
        <v>49987</v>
      </c>
      <c r="J790" s="18">
        <f t="shared" si="49"/>
        <v>10.650239561943874</v>
      </c>
      <c r="K790" s="7">
        <v>9.75</v>
      </c>
      <c r="L790" s="7">
        <v>6.6637221572904032E-8</v>
      </c>
      <c r="M790" s="7">
        <v>-1.3977157224916621E-5</v>
      </c>
      <c r="N790" s="7">
        <v>7.9631479779620324E-4</v>
      </c>
      <c r="O790" s="7">
        <v>2.4780710484650505E-2</v>
      </c>
      <c r="P790" s="11">
        <f t="shared" si="50"/>
        <v>3.1756758249818091</v>
      </c>
    </row>
    <row r="791" spans="1:16" x14ac:dyDescent="0.25">
      <c r="A791" s="11">
        <v>7.79</v>
      </c>
      <c r="B791" s="7">
        <v>6.75</v>
      </c>
      <c r="C791" s="11">
        <v>-1.0944565390944813E-4</v>
      </c>
      <c r="D791" s="11">
        <v>2.6920269702771296E-3</v>
      </c>
      <c r="E791" s="11">
        <v>-2.0739229161565641E-2</v>
      </c>
      <c r="F791" s="11">
        <v>7.9015240430281408E-2</v>
      </c>
      <c r="G791" s="3">
        <f t="shared" si="48"/>
        <v>2.9081729388774041E-2</v>
      </c>
      <c r="H791" s="11"/>
      <c r="I791" s="17">
        <f t="shared" si="51"/>
        <v>49992</v>
      </c>
      <c r="J791" s="18">
        <f t="shared" si="49"/>
        <v>10.663928815879535</v>
      </c>
      <c r="K791" s="7">
        <v>9.75</v>
      </c>
      <c r="L791" s="7">
        <v>6.6637221572904032E-8</v>
      </c>
      <c r="M791" s="7">
        <v>-1.3977157224916621E-5</v>
      </c>
      <c r="N791" s="7">
        <v>7.9631479779620324E-4</v>
      </c>
      <c r="O791" s="7">
        <v>2.4780710484650505E-2</v>
      </c>
      <c r="P791" s="11">
        <f t="shared" si="50"/>
        <v>3.1763891829209232</v>
      </c>
    </row>
    <row r="792" spans="1:16" x14ac:dyDescent="0.25">
      <c r="A792" s="11">
        <v>7.8</v>
      </c>
      <c r="B792" s="7">
        <v>6.75</v>
      </c>
      <c r="C792" s="11">
        <v>-1.0944565390944813E-4</v>
      </c>
      <c r="D792" s="11">
        <v>2.6920269702771296E-3</v>
      </c>
      <c r="E792" s="11">
        <v>-2.0739229161565641E-2</v>
      </c>
      <c r="F792" s="11">
        <v>7.9015240430281408E-2</v>
      </c>
      <c r="G792" s="3">
        <f t="shared" si="48"/>
        <v>2.9094519887693515E-2</v>
      </c>
      <c r="H792" s="11"/>
      <c r="I792" s="17">
        <f t="shared" si="51"/>
        <v>49997</v>
      </c>
      <c r="J792" s="18">
        <f t="shared" si="49"/>
        <v>10.677618069815194</v>
      </c>
      <c r="K792" s="7">
        <v>9.75</v>
      </c>
      <c r="L792" s="7">
        <v>6.6637221572904032E-8</v>
      </c>
      <c r="M792" s="7">
        <v>-1.3977157224916621E-5</v>
      </c>
      <c r="N792" s="7">
        <v>7.9631479779620324E-4</v>
      </c>
      <c r="O792" s="7">
        <v>2.4780710484650505E-2</v>
      </c>
      <c r="P792" s="11">
        <f t="shared" si="50"/>
        <v>3.1771020969079382</v>
      </c>
    </row>
    <row r="793" spans="1:16" x14ac:dyDescent="0.25">
      <c r="A793" s="11">
        <v>7.81</v>
      </c>
      <c r="B793" s="7">
        <v>6.75</v>
      </c>
      <c r="C793" s="11">
        <v>-1.0944565390944813E-4</v>
      </c>
      <c r="D793" s="11">
        <v>2.6920269702771296E-3</v>
      </c>
      <c r="E793" s="11">
        <v>-2.0739229161565641E-2</v>
      </c>
      <c r="F793" s="11">
        <v>7.9015240430281408E-2</v>
      </c>
      <c r="G793" s="3">
        <f t="shared" si="48"/>
        <v>2.9107336586346816E-2</v>
      </c>
      <c r="H793" s="11"/>
      <c r="I793" s="17">
        <f t="shared" si="51"/>
        <v>50002</v>
      </c>
      <c r="J793" s="18">
        <f t="shared" si="49"/>
        <v>10.691307323750856</v>
      </c>
      <c r="K793" s="7">
        <v>9.75</v>
      </c>
      <c r="L793" s="7">
        <v>6.6637221572904032E-8</v>
      </c>
      <c r="M793" s="7">
        <v>-1.3977157224916621E-5</v>
      </c>
      <c r="N793" s="7">
        <v>7.9631479779620324E-4</v>
      </c>
      <c r="O793" s="7">
        <v>2.4780710484650505E-2</v>
      </c>
      <c r="P793" s="11">
        <f t="shared" si="50"/>
        <v>3.1778145670454228</v>
      </c>
    </row>
    <row r="794" spans="1:16" x14ac:dyDescent="0.25">
      <c r="A794" s="11">
        <v>7.82</v>
      </c>
      <c r="B794" s="7">
        <v>6.75</v>
      </c>
      <c r="C794" s="11">
        <v>-1.0944565390944813E-4</v>
      </c>
      <c r="D794" s="11">
        <v>2.6920269702771296E-3</v>
      </c>
      <c r="E794" s="11">
        <v>-2.0739229161565641E-2</v>
      </c>
      <c r="F794" s="11">
        <v>7.9015240430281408E-2</v>
      </c>
      <c r="G794" s="3">
        <f t="shared" si="48"/>
        <v>2.9120178828059951E-2</v>
      </c>
      <c r="H794" s="11"/>
      <c r="I794" s="17">
        <f t="shared" si="51"/>
        <v>50007</v>
      </c>
      <c r="J794" s="18">
        <f t="shared" si="49"/>
        <v>10.704996577686517</v>
      </c>
      <c r="K794" s="7">
        <v>9.75</v>
      </c>
      <c r="L794" s="7">
        <v>6.6637221572904032E-8</v>
      </c>
      <c r="M794" s="7">
        <v>-1.3977157224916621E-5</v>
      </c>
      <c r="N794" s="7">
        <v>7.9631479779620324E-4</v>
      </c>
      <c r="O794" s="7">
        <v>2.4780710484650505E-2</v>
      </c>
      <c r="P794" s="11">
        <f t="shared" si="50"/>
        <v>3.1785265934359423</v>
      </c>
    </row>
    <row r="795" spans="1:16" x14ac:dyDescent="0.25">
      <c r="A795" s="11">
        <v>7.83</v>
      </c>
      <c r="B795" s="7">
        <v>6.75</v>
      </c>
      <c r="C795" s="11">
        <v>-1.0944565390944813E-4</v>
      </c>
      <c r="D795" s="11">
        <v>2.6920269702771296E-3</v>
      </c>
      <c r="E795" s="11">
        <v>-2.0739229161565641E-2</v>
      </c>
      <c r="F795" s="11">
        <v>7.9015240430281408E-2</v>
      </c>
      <c r="G795" s="3">
        <f t="shared" si="48"/>
        <v>2.9133045956158954E-2</v>
      </c>
      <c r="H795" s="11"/>
      <c r="I795" s="17">
        <f t="shared" si="51"/>
        <v>50012</v>
      </c>
      <c r="J795" s="18">
        <f t="shared" si="49"/>
        <v>10.718685831622176</v>
      </c>
      <c r="K795" s="7">
        <v>9.75</v>
      </c>
      <c r="L795" s="7">
        <v>6.6637221572904032E-8</v>
      </c>
      <c r="M795" s="7">
        <v>-1.3977157224916621E-5</v>
      </c>
      <c r="N795" s="7">
        <v>7.9631479779620324E-4</v>
      </c>
      <c r="O795" s="7">
        <v>2.4780710484650505E-2</v>
      </c>
      <c r="P795" s="11">
        <f t="shared" si="50"/>
        <v>3.1792381761820643</v>
      </c>
    </row>
    <row r="796" spans="1:16" x14ac:dyDescent="0.25">
      <c r="A796" s="11">
        <v>7.84</v>
      </c>
      <c r="B796" s="7">
        <v>6.75</v>
      </c>
      <c r="C796" s="11">
        <v>-1.0944565390944813E-4</v>
      </c>
      <c r="D796" s="11">
        <v>2.6920269702771296E-3</v>
      </c>
      <c r="E796" s="11">
        <v>-2.0739229161565641E-2</v>
      </c>
      <c r="F796" s="11">
        <v>7.9015240430281408E-2</v>
      </c>
      <c r="G796" s="3">
        <f t="shared" si="48"/>
        <v>2.9145937313969944E-2</v>
      </c>
      <c r="H796" s="11"/>
      <c r="I796" s="17">
        <f t="shared" si="51"/>
        <v>50017</v>
      </c>
      <c r="J796" s="18">
        <f t="shared" si="49"/>
        <v>10.732375085557837</v>
      </c>
      <c r="K796" s="7">
        <v>9.75</v>
      </c>
      <c r="L796" s="7">
        <v>6.6637221572904032E-8</v>
      </c>
      <c r="M796" s="7">
        <v>-1.3977157224916621E-5</v>
      </c>
      <c r="N796" s="7">
        <v>7.9631479779620324E-4</v>
      </c>
      <c r="O796" s="7">
        <v>2.4780710484650505E-2</v>
      </c>
      <c r="P796" s="11">
        <f t="shared" si="50"/>
        <v>3.1799493153863558</v>
      </c>
    </row>
    <row r="797" spans="1:16" x14ac:dyDescent="0.25">
      <c r="A797" s="11">
        <v>7.85</v>
      </c>
      <c r="B797" s="7">
        <v>6.75</v>
      </c>
      <c r="C797" s="11">
        <v>-1.0944565390944813E-4</v>
      </c>
      <c r="D797" s="11">
        <v>2.6920269702771296E-3</v>
      </c>
      <c r="E797" s="11">
        <v>-2.0739229161565641E-2</v>
      </c>
      <c r="F797" s="11">
        <v>7.9015240430281408E-2</v>
      </c>
      <c r="G797" s="3">
        <f t="shared" si="48"/>
        <v>2.9158852244819053E-2</v>
      </c>
      <c r="H797" s="11"/>
      <c r="I797" s="17">
        <f t="shared" si="51"/>
        <v>50022</v>
      </c>
      <c r="J797" s="18">
        <f t="shared" si="49"/>
        <v>10.746064339493497</v>
      </c>
      <c r="K797" s="7">
        <v>9.75</v>
      </c>
      <c r="L797" s="7">
        <v>6.6637221572904032E-8</v>
      </c>
      <c r="M797" s="7">
        <v>-1.3977157224916621E-5</v>
      </c>
      <c r="N797" s="7">
        <v>7.9631479779620324E-4</v>
      </c>
      <c r="O797" s="7">
        <v>2.4780710484650505E-2</v>
      </c>
      <c r="P797" s="11">
        <f t="shared" si="50"/>
        <v>3.1806600111513839</v>
      </c>
    </row>
    <row r="798" spans="1:16" x14ac:dyDescent="0.25">
      <c r="A798" s="11">
        <v>7.86</v>
      </c>
      <c r="B798" s="7">
        <v>6.75</v>
      </c>
      <c r="C798" s="11">
        <v>-1.0944565390944813E-4</v>
      </c>
      <c r="D798" s="11">
        <v>2.6920269702771296E-3</v>
      </c>
      <c r="E798" s="11">
        <v>-2.0739229161565641E-2</v>
      </c>
      <c r="F798" s="11">
        <v>7.9015240430281408E-2</v>
      </c>
      <c r="G798" s="3">
        <f t="shared" si="48"/>
        <v>2.9171790092032274E-2</v>
      </c>
      <c r="H798" s="11"/>
      <c r="I798" s="17">
        <f t="shared" si="51"/>
        <v>50027</v>
      </c>
      <c r="J798" s="18">
        <f t="shared" si="49"/>
        <v>10.759753593429158</v>
      </c>
      <c r="K798" s="7">
        <v>9.75</v>
      </c>
      <c r="L798" s="7">
        <v>6.6637221572904032E-8</v>
      </c>
      <c r="M798" s="7">
        <v>-1.3977157224916621E-5</v>
      </c>
      <c r="N798" s="7">
        <v>7.9631479779620324E-4</v>
      </c>
      <c r="O798" s="7">
        <v>2.4780710484650505E-2</v>
      </c>
      <c r="P798" s="11">
        <f t="shared" si="50"/>
        <v>3.1813702635797152</v>
      </c>
    </row>
    <row r="799" spans="1:16" x14ac:dyDescent="0.25">
      <c r="A799" s="11">
        <v>7.87</v>
      </c>
      <c r="B799" s="7">
        <v>6.75</v>
      </c>
      <c r="C799" s="11">
        <v>-1.0944565390944813E-4</v>
      </c>
      <c r="D799" s="11">
        <v>2.6920269702771296E-3</v>
      </c>
      <c r="E799" s="11">
        <v>-2.0739229161565641E-2</v>
      </c>
      <c r="F799" s="11">
        <v>7.9015240430281408E-2</v>
      </c>
      <c r="G799" s="3">
        <f t="shared" si="48"/>
        <v>2.9184750198935711E-2</v>
      </c>
      <c r="H799" s="11"/>
      <c r="I799" s="17">
        <f t="shared" si="51"/>
        <v>50032</v>
      </c>
      <c r="J799" s="18">
        <f t="shared" si="49"/>
        <v>10.773442847364819</v>
      </c>
      <c r="K799" s="7">
        <v>9.75</v>
      </c>
      <c r="L799" s="7">
        <v>6.6637221572904032E-8</v>
      </c>
      <c r="M799" s="7">
        <v>-1.3977157224916621E-5</v>
      </c>
      <c r="N799" s="7">
        <v>7.9631479779620324E-4</v>
      </c>
      <c r="O799" s="7">
        <v>2.4780710484650505E-2</v>
      </c>
      <c r="P799" s="11">
        <f t="shared" si="50"/>
        <v>3.1820800727739171</v>
      </c>
    </row>
    <row r="800" spans="1:16" x14ac:dyDescent="0.25">
      <c r="A800" s="11">
        <v>7.88</v>
      </c>
      <c r="B800" s="7">
        <v>6.75</v>
      </c>
      <c r="C800" s="11">
        <v>-1.0944565390944813E-4</v>
      </c>
      <c r="D800" s="11">
        <v>2.6920269702771296E-3</v>
      </c>
      <c r="E800" s="11">
        <v>-2.0739229161565641E-2</v>
      </c>
      <c r="F800" s="11">
        <v>7.9015240430281408E-2</v>
      </c>
      <c r="G800" s="3">
        <f t="shared" si="48"/>
        <v>2.919773190885544E-2</v>
      </c>
      <c r="H800" s="11"/>
      <c r="I800" s="17">
        <f t="shared" si="51"/>
        <v>50037</v>
      </c>
      <c r="J800" s="18">
        <f t="shared" si="49"/>
        <v>10.787132101300479</v>
      </c>
      <c r="K800" s="7">
        <v>9.75</v>
      </c>
      <c r="L800" s="7">
        <v>6.6637221572904032E-8</v>
      </c>
      <c r="M800" s="7">
        <v>-1.3977157224916621E-5</v>
      </c>
      <c r="N800" s="7">
        <v>7.9631479779620324E-4</v>
      </c>
      <c r="O800" s="7">
        <v>2.4780710484650505E-2</v>
      </c>
      <c r="P800" s="11">
        <f t="shared" si="50"/>
        <v>3.1827894388365556</v>
      </c>
    </row>
    <row r="801" spans="1:16" x14ac:dyDescent="0.25">
      <c r="A801" s="11">
        <v>7.89</v>
      </c>
      <c r="B801" s="7">
        <v>6.75</v>
      </c>
      <c r="C801" s="11">
        <v>-1.0944565390944813E-4</v>
      </c>
      <c r="D801" s="11">
        <v>2.6920269702771296E-3</v>
      </c>
      <c r="E801" s="11">
        <v>-2.0739229161565641E-2</v>
      </c>
      <c r="F801" s="11">
        <v>7.9015240430281408E-2</v>
      </c>
      <c r="G801" s="3">
        <f t="shared" si="48"/>
        <v>2.9210734565117538E-2</v>
      </c>
      <c r="H801" s="11"/>
      <c r="I801" s="17">
        <f t="shared" si="51"/>
        <v>50042</v>
      </c>
      <c r="J801" s="18">
        <f t="shared" si="49"/>
        <v>10.80082135523614</v>
      </c>
      <c r="K801" s="7">
        <v>9.75</v>
      </c>
      <c r="L801" s="7">
        <v>6.6637221572904032E-8</v>
      </c>
      <c r="M801" s="7">
        <v>-1.3977157224916621E-5</v>
      </c>
      <c r="N801" s="7">
        <v>7.9631479779620324E-4</v>
      </c>
      <c r="O801" s="7">
        <v>2.4780710484650505E-2</v>
      </c>
      <c r="P801" s="11">
        <f t="shared" si="50"/>
        <v>3.1834983618701984</v>
      </c>
    </row>
    <row r="802" spans="1:16" x14ac:dyDescent="0.25">
      <c r="A802" s="11">
        <v>7.9</v>
      </c>
      <c r="B802" s="7">
        <v>6.75</v>
      </c>
      <c r="C802" s="11">
        <v>-1.0944565390944813E-4</v>
      </c>
      <c r="D802" s="11">
        <v>2.6920269702771296E-3</v>
      </c>
      <c r="E802" s="11">
        <v>-2.0739229161565641E-2</v>
      </c>
      <c r="F802" s="11">
        <v>7.9015240430281408E-2</v>
      </c>
      <c r="G802" s="3">
        <f t="shared" si="48"/>
        <v>2.9223757511048082E-2</v>
      </c>
      <c r="H802" s="11"/>
      <c r="I802" s="17">
        <f t="shared" si="51"/>
        <v>50047</v>
      </c>
      <c r="J802" s="18">
        <f t="shared" si="49"/>
        <v>10.8145106091718</v>
      </c>
      <c r="K802" s="7">
        <v>9.75</v>
      </c>
      <c r="L802" s="7">
        <v>6.6637221572904032E-8</v>
      </c>
      <c r="M802" s="7">
        <v>-1.3977157224916621E-5</v>
      </c>
      <c r="N802" s="7">
        <v>7.9631479779620324E-4</v>
      </c>
      <c r="O802" s="7">
        <v>2.4780710484650505E-2</v>
      </c>
      <c r="P802" s="11">
        <f t="shared" si="50"/>
        <v>3.1842068419774128</v>
      </c>
    </row>
    <row r="803" spans="1:16" x14ac:dyDescent="0.25">
      <c r="A803" s="11">
        <v>7.91</v>
      </c>
      <c r="B803" s="7">
        <v>6.75</v>
      </c>
      <c r="C803" s="11">
        <v>-1.0944565390944813E-4</v>
      </c>
      <c r="D803" s="11">
        <v>2.6920269702771296E-3</v>
      </c>
      <c r="E803" s="11">
        <v>-2.0739229161565641E-2</v>
      </c>
      <c r="F803" s="11">
        <v>7.9015240430281408E-2</v>
      </c>
      <c r="G803" s="3">
        <f t="shared" si="48"/>
        <v>2.9236800089973161E-2</v>
      </c>
      <c r="H803" s="11"/>
      <c r="I803" s="17">
        <f t="shared" si="51"/>
        <v>50052</v>
      </c>
      <c r="J803" s="18">
        <f t="shared" si="49"/>
        <v>10.828199863107461</v>
      </c>
      <c r="K803" s="7">
        <v>9.75</v>
      </c>
      <c r="L803" s="7">
        <v>6.6637221572904032E-8</v>
      </c>
      <c r="M803" s="7">
        <v>-1.3977157224916621E-5</v>
      </c>
      <c r="N803" s="7">
        <v>7.9631479779620324E-4</v>
      </c>
      <c r="O803" s="7">
        <v>2.4780710484650505E-2</v>
      </c>
      <c r="P803" s="11">
        <f t="shared" si="50"/>
        <v>3.1849148792607647</v>
      </c>
    </row>
    <row r="804" spans="1:16" x14ac:dyDescent="0.25">
      <c r="A804" s="11">
        <v>7.92</v>
      </c>
      <c r="B804" s="7">
        <v>6.75</v>
      </c>
      <c r="C804" s="11">
        <v>-1.0944565390944813E-4</v>
      </c>
      <c r="D804" s="11">
        <v>2.6920269702771296E-3</v>
      </c>
      <c r="E804" s="11">
        <v>-2.0739229161565641E-2</v>
      </c>
      <c r="F804" s="11">
        <v>7.9015240430281408E-2</v>
      </c>
      <c r="G804" s="3">
        <f t="shared" si="48"/>
        <v>2.9249861645218866E-2</v>
      </c>
      <c r="H804" s="11"/>
      <c r="I804" s="17">
        <f t="shared" si="51"/>
        <v>50057</v>
      </c>
      <c r="J804" s="18">
        <f t="shared" si="49"/>
        <v>10.841889117043122</v>
      </c>
      <c r="K804" s="7">
        <v>9.75</v>
      </c>
      <c r="L804" s="7">
        <v>6.6637221572904032E-8</v>
      </c>
      <c r="M804" s="7">
        <v>-1.3977157224916621E-5</v>
      </c>
      <c r="N804" s="7">
        <v>7.9631479779620324E-4</v>
      </c>
      <c r="O804" s="7">
        <v>2.4780710484650505E-2</v>
      </c>
      <c r="P804" s="11">
        <f t="shared" si="50"/>
        <v>3.1856224738228223</v>
      </c>
    </row>
    <row r="805" spans="1:16" x14ac:dyDescent="0.25">
      <c r="A805" s="11">
        <v>7.93</v>
      </c>
      <c r="B805" s="7">
        <v>6.75</v>
      </c>
      <c r="C805" s="11">
        <v>-1.0944565390944813E-4</v>
      </c>
      <c r="D805" s="11">
        <v>2.6920269702771296E-3</v>
      </c>
      <c r="E805" s="11">
        <v>-2.0739229161565641E-2</v>
      </c>
      <c r="F805" s="11">
        <v>7.9015240430281408E-2</v>
      </c>
      <c r="G805" s="3">
        <f t="shared" si="48"/>
        <v>2.9262941520111233E-2</v>
      </c>
      <c r="H805" s="11"/>
      <c r="I805" s="17">
        <f t="shared" si="51"/>
        <v>50062</v>
      </c>
      <c r="J805" s="18">
        <f t="shared" si="49"/>
        <v>10.855578370978781</v>
      </c>
      <c r="K805" s="7">
        <v>9.75</v>
      </c>
      <c r="L805" s="7">
        <v>6.6637221572904032E-8</v>
      </c>
      <c r="M805" s="7">
        <v>-1.3977157224916621E-5</v>
      </c>
      <c r="N805" s="7">
        <v>7.9631479779620324E-4</v>
      </c>
      <c r="O805" s="7">
        <v>2.4780710484650505E-2</v>
      </c>
      <c r="P805" s="11">
        <f t="shared" si="50"/>
        <v>3.1863296257661515</v>
      </c>
    </row>
    <row r="806" spans="1:16" x14ac:dyDescent="0.25">
      <c r="A806" s="11">
        <v>7.94</v>
      </c>
      <c r="B806" s="7">
        <v>6.75</v>
      </c>
      <c r="C806" s="11">
        <v>-1.0944565390944813E-4</v>
      </c>
      <c r="D806" s="11">
        <v>2.6920269702771296E-3</v>
      </c>
      <c r="E806" s="11">
        <v>-2.0739229161565641E-2</v>
      </c>
      <c r="F806" s="11">
        <v>7.9015240430281408E-2</v>
      </c>
      <c r="G806" s="3">
        <f t="shared" si="48"/>
        <v>2.9276039057976322E-2</v>
      </c>
      <c r="H806" s="11"/>
      <c r="I806" s="17">
        <f t="shared" si="51"/>
        <v>50067</v>
      </c>
      <c r="J806" s="18">
        <f t="shared" si="49"/>
        <v>10.869267624914443</v>
      </c>
      <c r="K806" s="7">
        <v>9.75</v>
      </c>
      <c r="L806" s="7">
        <v>6.6637221572904032E-8</v>
      </c>
      <c r="M806" s="7">
        <v>-1.3977157224916621E-5</v>
      </c>
      <c r="N806" s="7">
        <v>7.9631479779620324E-4</v>
      </c>
      <c r="O806" s="7">
        <v>2.4780710484650505E-2</v>
      </c>
      <c r="P806" s="11">
        <f t="shared" si="50"/>
        <v>3.1870363351933202</v>
      </c>
    </row>
    <row r="807" spans="1:16" x14ac:dyDescent="0.25">
      <c r="A807" s="11">
        <v>7.95</v>
      </c>
      <c r="B807" s="7">
        <v>6.75</v>
      </c>
      <c r="C807" s="11">
        <v>-1.0944565390944813E-4</v>
      </c>
      <c r="D807" s="11">
        <v>2.6920269702771296E-3</v>
      </c>
      <c r="E807" s="11">
        <v>-2.0739229161565641E-2</v>
      </c>
      <c r="F807" s="11">
        <v>7.9015240430281408E-2</v>
      </c>
      <c r="G807" s="3">
        <f t="shared" si="48"/>
        <v>2.9289153602140267E-2</v>
      </c>
      <c r="H807" s="11"/>
      <c r="I807" s="17">
        <f t="shared" si="51"/>
        <v>50072</v>
      </c>
      <c r="J807" s="18">
        <f t="shared" si="49"/>
        <v>10.882956878850102</v>
      </c>
      <c r="K807" s="7">
        <v>9.75</v>
      </c>
      <c r="L807" s="7">
        <v>6.6637221572904032E-8</v>
      </c>
      <c r="M807" s="7">
        <v>-1.3977157224916621E-5</v>
      </c>
      <c r="N807" s="7">
        <v>7.9631479779620324E-4</v>
      </c>
      <c r="O807" s="7">
        <v>2.4780710484650505E-2</v>
      </c>
      <c r="P807" s="11">
        <f t="shared" si="50"/>
        <v>3.1877426022068942</v>
      </c>
    </row>
    <row r="808" spans="1:16" x14ac:dyDescent="0.25">
      <c r="A808" s="11">
        <v>7.96</v>
      </c>
      <c r="B808" s="7">
        <v>6.75</v>
      </c>
      <c r="C808" s="11">
        <v>-1.0944565390944813E-4</v>
      </c>
      <c r="D808" s="11">
        <v>2.6920269702771296E-3</v>
      </c>
      <c r="E808" s="11">
        <v>-2.0739229161565641E-2</v>
      </c>
      <c r="F808" s="11">
        <v>7.9015240430281408E-2</v>
      </c>
      <c r="G808" s="3">
        <f t="shared" si="48"/>
        <v>2.9302284495929143E-2</v>
      </c>
      <c r="H808" s="11"/>
      <c r="I808" s="17">
        <f t="shared" si="51"/>
        <v>50077</v>
      </c>
      <c r="J808" s="18">
        <f t="shared" si="49"/>
        <v>10.896646132785763</v>
      </c>
      <c r="K808" s="7">
        <v>9.75</v>
      </c>
      <c r="L808" s="7">
        <v>6.6637221572904032E-8</v>
      </c>
      <c r="M808" s="7">
        <v>-1.3977157224916621E-5</v>
      </c>
      <c r="N808" s="7">
        <v>7.9631479779620324E-4</v>
      </c>
      <c r="O808" s="7">
        <v>2.4780710484650505E-2</v>
      </c>
      <c r="P808" s="11">
        <f t="shared" si="50"/>
        <v>3.1884484269094417</v>
      </c>
    </row>
    <row r="809" spans="1:16" x14ac:dyDescent="0.25">
      <c r="A809" s="11">
        <v>7.97</v>
      </c>
      <c r="B809" s="7">
        <v>6.75</v>
      </c>
      <c r="C809" s="11">
        <v>-1.0944565390944813E-4</v>
      </c>
      <c r="D809" s="11">
        <v>2.6920269702771296E-3</v>
      </c>
      <c r="E809" s="11">
        <v>-2.0739229161565641E-2</v>
      </c>
      <c r="F809" s="11">
        <v>7.9015240430281408E-2</v>
      </c>
      <c r="G809" s="3">
        <f t="shared" si="48"/>
        <v>2.9315431082668958E-2</v>
      </c>
      <c r="H809" s="11"/>
      <c r="I809" s="17">
        <f t="shared" si="51"/>
        <v>50082</v>
      </c>
      <c r="J809" s="18">
        <f t="shared" si="49"/>
        <v>10.910335386721425</v>
      </c>
      <c r="K809" s="7">
        <v>9.75</v>
      </c>
      <c r="L809" s="7">
        <v>6.6637221572904032E-8</v>
      </c>
      <c r="M809" s="7">
        <v>-1.3977157224916621E-5</v>
      </c>
      <c r="N809" s="7">
        <v>7.9631479779620324E-4</v>
      </c>
      <c r="O809" s="7">
        <v>2.4780710484650505E-2</v>
      </c>
      <c r="P809" s="11">
        <f t="shared" si="50"/>
        <v>3.1891538094035292</v>
      </c>
    </row>
    <row r="810" spans="1:16" x14ac:dyDescent="0.25">
      <c r="A810" s="11">
        <v>7.98</v>
      </c>
      <c r="B810" s="7">
        <v>6.75</v>
      </c>
      <c r="C810" s="11">
        <v>-1.0944565390944813E-4</v>
      </c>
      <c r="D810" s="11">
        <v>2.6920269702771296E-3</v>
      </c>
      <c r="E810" s="11">
        <v>-2.0739229161565641E-2</v>
      </c>
      <c r="F810" s="11">
        <v>7.9015240430281408E-2</v>
      </c>
      <c r="G810" s="3">
        <f t="shared" si="48"/>
        <v>2.9328592705685858E-2</v>
      </c>
      <c r="H810" s="11"/>
      <c r="I810" s="17">
        <f t="shared" si="51"/>
        <v>50087</v>
      </c>
      <c r="J810" s="18">
        <f t="shared" si="49"/>
        <v>10.924024640657084</v>
      </c>
      <c r="K810" s="7">
        <v>9.75</v>
      </c>
      <c r="L810" s="7">
        <v>6.6637221572904032E-8</v>
      </c>
      <c r="M810" s="7">
        <v>-1.3977157224916621E-5</v>
      </c>
      <c r="N810" s="7">
        <v>7.9631479779620324E-4</v>
      </c>
      <c r="O810" s="7">
        <v>2.4780710484650505E-2</v>
      </c>
      <c r="P810" s="11">
        <f t="shared" si="50"/>
        <v>3.1898587497917226</v>
      </c>
    </row>
    <row r="811" spans="1:16" x14ac:dyDescent="0.25">
      <c r="A811" s="11">
        <v>7.99</v>
      </c>
      <c r="B811" s="7">
        <v>6.75</v>
      </c>
      <c r="C811" s="11">
        <v>-1.0944565390944813E-4</v>
      </c>
      <c r="D811" s="11">
        <v>2.6920269702771296E-3</v>
      </c>
      <c r="E811" s="11">
        <v>-2.0739229161565641E-2</v>
      </c>
      <c r="F811" s="11">
        <v>7.9015240430281408E-2</v>
      </c>
      <c r="G811" s="3">
        <f t="shared" si="48"/>
        <v>2.9341768708305876E-2</v>
      </c>
      <c r="H811" s="11"/>
      <c r="I811" s="17">
        <f t="shared" si="51"/>
        <v>50092</v>
      </c>
      <c r="J811" s="18">
        <f t="shared" si="49"/>
        <v>10.937713894592745</v>
      </c>
      <c r="K811" s="7">
        <v>9.75</v>
      </c>
      <c r="L811" s="7">
        <v>6.6637221572904032E-8</v>
      </c>
      <c r="M811" s="7">
        <v>-1.3977157224916621E-5</v>
      </c>
      <c r="N811" s="7">
        <v>7.9631479779620324E-4</v>
      </c>
      <c r="O811" s="7">
        <v>2.4780710484650505E-2</v>
      </c>
      <c r="P811" s="11">
        <f t="shared" si="50"/>
        <v>3.1905632481765909</v>
      </c>
    </row>
    <row r="812" spans="1:16" x14ac:dyDescent="0.25">
      <c r="A812" s="11">
        <v>8</v>
      </c>
      <c r="B812" s="7">
        <v>6.75</v>
      </c>
      <c r="C812" s="11">
        <v>-1.0944565390944813E-4</v>
      </c>
      <c r="D812" s="11">
        <v>2.6920269702771296E-3</v>
      </c>
      <c r="E812" s="11">
        <v>-2.0739229161565641E-2</v>
      </c>
      <c r="F812" s="11">
        <v>7.9015240430281408E-2</v>
      </c>
      <c r="G812" s="3">
        <f t="shared" si="48"/>
        <v>2.9354958433855133E-2</v>
      </c>
      <c r="H812" s="11"/>
      <c r="I812" s="17">
        <f t="shared" si="51"/>
        <v>50097</v>
      </c>
      <c r="J812" s="18">
        <f t="shared" si="49"/>
        <v>10.951403148528405</v>
      </c>
      <c r="K812" s="7">
        <v>9.75</v>
      </c>
      <c r="L812" s="7">
        <v>6.6637221572904032E-8</v>
      </c>
      <c r="M812" s="7">
        <v>-1.3977157224916621E-5</v>
      </c>
      <c r="N812" s="7">
        <v>7.9631479779620324E-4</v>
      </c>
      <c r="O812" s="7">
        <v>2.4780710484650505E-2</v>
      </c>
      <c r="P812" s="11">
        <f t="shared" si="50"/>
        <v>3.1912673046606992</v>
      </c>
    </row>
    <row r="813" spans="1:16" x14ac:dyDescent="0.25">
      <c r="A813" s="11">
        <v>8.01</v>
      </c>
      <c r="B813" s="7">
        <v>6.75</v>
      </c>
      <c r="C813" s="11">
        <v>-1.0944565390944813E-4</v>
      </c>
      <c r="D813" s="11">
        <v>2.6920269702771296E-3</v>
      </c>
      <c r="E813" s="11">
        <v>-2.0739229161565641E-2</v>
      </c>
      <c r="F813" s="11">
        <v>7.9015240430281408E-2</v>
      </c>
      <c r="G813" s="3">
        <f t="shared" si="48"/>
        <v>2.9368161225659675E-2</v>
      </c>
      <c r="H813" s="11"/>
      <c r="I813" s="17">
        <f t="shared" si="51"/>
        <v>50102</v>
      </c>
      <c r="J813" s="18">
        <f t="shared" si="49"/>
        <v>10.965092402464066</v>
      </c>
      <c r="K813" s="7">
        <v>9.75</v>
      </c>
      <c r="L813" s="7">
        <v>6.6637221572904032E-8</v>
      </c>
      <c r="M813" s="7">
        <v>-1.3977157224916621E-5</v>
      </c>
      <c r="N813" s="7">
        <v>7.9631479779620324E-4</v>
      </c>
      <c r="O813" s="7">
        <v>2.4780710484650505E-2</v>
      </c>
      <c r="P813" s="11">
        <f t="shared" si="50"/>
        <v>3.1919709193466153</v>
      </c>
    </row>
    <row r="814" spans="1:16" x14ac:dyDescent="0.25">
      <c r="A814" s="11">
        <v>8.02</v>
      </c>
      <c r="B814" s="7">
        <v>6.75</v>
      </c>
      <c r="C814" s="11">
        <v>-1.0944565390944813E-4</v>
      </c>
      <c r="D814" s="11">
        <v>2.6920269702771296E-3</v>
      </c>
      <c r="E814" s="11">
        <v>-2.0739229161565641E-2</v>
      </c>
      <c r="F814" s="11">
        <v>7.9015240430281408E-2</v>
      </c>
      <c r="G814" s="3">
        <f t="shared" si="48"/>
        <v>2.938137642704558E-2</v>
      </c>
      <c r="H814" s="11"/>
      <c r="I814" s="17">
        <f t="shared" si="51"/>
        <v>50107</v>
      </c>
      <c r="J814" s="18">
        <f t="shared" si="49"/>
        <v>10.978781656399725</v>
      </c>
      <c r="K814" s="7">
        <v>9.75</v>
      </c>
      <c r="L814" s="7">
        <v>6.6637221572904032E-8</v>
      </c>
      <c r="M814" s="7">
        <v>-1.3977157224916621E-5</v>
      </c>
      <c r="N814" s="7">
        <v>7.9631479779620324E-4</v>
      </c>
      <c r="O814" s="7">
        <v>2.4780710484650505E-2</v>
      </c>
      <c r="P814" s="11">
        <f t="shared" si="50"/>
        <v>3.1926740923369055</v>
      </c>
    </row>
    <row r="815" spans="1:16" x14ac:dyDescent="0.25">
      <c r="A815" s="11">
        <v>8.0299999999999994</v>
      </c>
      <c r="B815" s="7">
        <v>6.75</v>
      </c>
      <c r="C815" s="11">
        <v>-1.0944565390944813E-4</v>
      </c>
      <c r="D815" s="11">
        <v>2.6920269702771296E-3</v>
      </c>
      <c r="E815" s="11">
        <v>-2.0739229161565641E-2</v>
      </c>
      <c r="F815" s="11">
        <v>7.9015240430281408E-2</v>
      </c>
      <c r="G815" s="3">
        <f t="shared" si="48"/>
        <v>2.9394603381338924E-2</v>
      </c>
      <c r="H815" s="11"/>
      <c r="I815" s="17">
        <f t="shared" si="51"/>
        <v>50112</v>
      </c>
      <c r="J815" s="18">
        <f t="shared" si="49"/>
        <v>10.992470910335387</v>
      </c>
      <c r="K815" s="7">
        <v>9.75</v>
      </c>
      <c r="L815" s="7">
        <v>6.6637221572904032E-8</v>
      </c>
      <c r="M815" s="7">
        <v>-1.3977157224916621E-5</v>
      </c>
      <c r="N815" s="7">
        <v>7.9631479779620324E-4</v>
      </c>
      <c r="O815" s="7">
        <v>2.4780710484650505E-2</v>
      </c>
      <c r="P815" s="11">
        <f t="shared" si="50"/>
        <v>3.1933768237341384</v>
      </c>
    </row>
    <row r="816" spans="1:16" x14ac:dyDescent="0.25">
      <c r="A816" s="11">
        <v>8.0399999999999991</v>
      </c>
      <c r="B816" s="7">
        <v>6.75</v>
      </c>
      <c r="C816" s="11">
        <v>-1.0944565390944813E-4</v>
      </c>
      <c r="D816" s="11">
        <v>2.6920269702771296E-3</v>
      </c>
      <c r="E816" s="11">
        <v>-2.0739229161565641E-2</v>
      </c>
      <c r="F816" s="11">
        <v>7.9015240430281408E-2</v>
      </c>
      <c r="G816" s="3">
        <f t="shared" si="48"/>
        <v>2.9407841431865769E-2</v>
      </c>
      <c r="H816" s="11"/>
      <c r="I816" s="17">
        <f t="shared" si="51"/>
        <v>50117</v>
      </c>
      <c r="J816" s="18">
        <f t="shared" si="49"/>
        <v>11.006160164271048</v>
      </c>
      <c r="K816" s="7">
        <v>9.75</v>
      </c>
      <c r="L816" s="7">
        <v>6.6637221572904032E-8</v>
      </c>
      <c r="M816" s="7">
        <v>-1.3977157224916621E-5</v>
      </c>
      <c r="N816" s="7">
        <v>7.9631479779620324E-4</v>
      </c>
      <c r="O816" s="7">
        <v>2.4780710484650505E-2</v>
      </c>
      <c r="P816" s="11">
        <f t="shared" si="50"/>
        <v>3.1940791136408797</v>
      </c>
    </row>
    <row r="817" spans="1:10" x14ac:dyDescent="0.25">
      <c r="A817" s="11">
        <v>8.0500000000000007</v>
      </c>
      <c r="B817" s="7">
        <v>6.75</v>
      </c>
      <c r="C817" s="11">
        <v>-1.0944565390944813E-4</v>
      </c>
      <c r="D817" s="11">
        <v>2.6920269702771296E-3</v>
      </c>
      <c r="E817" s="11">
        <v>-2.0739229161565641E-2</v>
      </c>
      <c r="F817" s="11">
        <v>7.9015240430281408E-2</v>
      </c>
      <c r="G817" s="3">
        <f t="shared" si="48"/>
        <v>2.9421089921952234E-2</v>
      </c>
      <c r="H817" s="11"/>
      <c r="I817" s="17"/>
      <c r="J817" s="18"/>
    </row>
    <row r="818" spans="1:10" x14ac:dyDescent="0.25">
      <c r="A818" s="11">
        <v>8.06</v>
      </c>
      <c r="B818" s="7">
        <v>6.75</v>
      </c>
      <c r="C818" s="11">
        <v>-1.0944565390944813E-4</v>
      </c>
      <c r="D818" s="11">
        <v>2.6920269702771296E-3</v>
      </c>
      <c r="E818" s="11">
        <v>-2.0739229161565641E-2</v>
      </c>
      <c r="F818" s="11">
        <v>7.9015240430281408E-2</v>
      </c>
      <c r="G818" s="3">
        <f t="shared" si="48"/>
        <v>2.9434348194924381E-2</v>
      </c>
      <c r="H818" s="11"/>
      <c r="I818" s="17"/>
      <c r="J818" s="18"/>
    </row>
    <row r="819" spans="1:10" x14ac:dyDescent="0.25">
      <c r="A819" s="11">
        <v>8.07</v>
      </c>
      <c r="B819" s="7">
        <v>6.75</v>
      </c>
      <c r="C819" s="11">
        <v>-1.0944565390944813E-4</v>
      </c>
      <c r="D819" s="11">
        <v>2.6920269702771296E-3</v>
      </c>
      <c r="E819" s="11">
        <v>-2.0739229161565641E-2</v>
      </c>
      <c r="F819" s="11">
        <v>7.9015240430281408E-2</v>
      </c>
      <c r="G819" s="3">
        <f t="shared" si="48"/>
        <v>2.9447615594108273E-2</v>
      </c>
      <c r="H819" s="11"/>
      <c r="I819" s="17"/>
      <c r="J819" s="18"/>
    </row>
    <row r="820" spans="1:10" x14ac:dyDescent="0.25">
      <c r="A820" s="11">
        <v>8.08</v>
      </c>
      <c r="B820" s="7">
        <v>6.75</v>
      </c>
      <c r="C820" s="11">
        <v>-1.0944565390944813E-4</v>
      </c>
      <c r="D820" s="11">
        <v>2.6920269702771296E-3</v>
      </c>
      <c r="E820" s="11">
        <v>-2.0739229161565641E-2</v>
      </c>
      <c r="F820" s="11">
        <v>7.9015240430281408E-2</v>
      </c>
      <c r="G820" s="3">
        <f t="shared" si="48"/>
        <v>2.9460891462829986E-2</v>
      </c>
      <c r="H820" s="11"/>
      <c r="I820" s="17"/>
      <c r="J820" s="18"/>
    </row>
    <row r="821" spans="1:10" x14ac:dyDescent="0.25">
      <c r="A821" s="11">
        <v>8.09</v>
      </c>
      <c r="B821" s="7">
        <v>6.75</v>
      </c>
      <c r="C821" s="11">
        <v>-1.0944565390944813E-4</v>
      </c>
      <c r="D821" s="11">
        <v>2.6920269702771296E-3</v>
      </c>
      <c r="E821" s="11">
        <v>-2.0739229161565641E-2</v>
      </c>
      <c r="F821" s="11">
        <v>7.9015240430281408E-2</v>
      </c>
      <c r="G821" s="3">
        <f t="shared" si="48"/>
        <v>2.9474175144415596E-2</v>
      </c>
      <c r="H821" s="11"/>
      <c r="I821" s="17"/>
      <c r="J821" s="18"/>
    </row>
    <row r="822" spans="1:10" x14ac:dyDescent="0.25">
      <c r="A822" s="11">
        <v>8.1</v>
      </c>
      <c r="B822" s="7">
        <v>6.75</v>
      </c>
      <c r="C822" s="11">
        <v>-1.0944565390944813E-4</v>
      </c>
      <c r="D822" s="11">
        <v>2.6920269702771296E-3</v>
      </c>
      <c r="E822" s="11">
        <v>-2.0739229161565641E-2</v>
      </c>
      <c r="F822" s="11">
        <v>7.9015240430281408E-2</v>
      </c>
      <c r="G822" s="3">
        <f t="shared" si="48"/>
        <v>2.9487465982191194E-2</v>
      </c>
      <c r="H822" s="11"/>
      <c r="I822" s="17"/>
      <c r="J822" s="18"/>
    </row>
    <row r="823" spans="1:10" x14ac:dyDescent="0.25">
      <c r="A823" s="11">
        <v>8.11</v>
      </c>
      <c r="B823" s="7">
        <v>6.75</v>
      </c>
      <c r="C823" s="11">
        <v>-1.0944565390944813E-4</v>
      </c>
      <c r="D823" s="11">
        <v>2.6920269702771296E-3</v>
      </c>
      <c r="E823" s="11">
        <v>-2.0739229161565641E-2</v>
      </c>
      <c r="F823" s="11">
        <v>7.9015240430281408E-2</v>
      </c>
      <c r="G823" s="3">
        <f t="shared" si="48"/>
        <v>2.9500763319482814E-2</v>
      </c>
      <c r="H823" s="11"/>
      <c r="I823" s="17"/>
      <c r="J823" s="18"/>
    </row>
    <row r="824" spans="1:10" x14ac:dyDescent="0.25">
      <c r="A824" s="11">
        <v>8.1199999999999992</v>
      </c>
      <c r="B824" s="7">
        <v>6.75</v>
      </c>
      <c r="C824" s="11">
        <v>-1.0944565390944813E-4</v>
      </c>
      <c r="D824" s="11">
        <v>2.6920269702771296E-3</v>
      </c>
      <c r="E824" s="11">
        <v>-2.0739229161565641E-2</v>
      </c>
      <c r="F824" s="11">
        <v>7.9015240430281408E-2</v>
      </c>
      <c r="G824" s="3">
        <f t="shared" si="48"/>
        <v>2.9514066499616576E-2</v>
      </c>
      <c r="H824" s="11"/>
      <c r="I824" s="17"/>
      <c r="J824" s="18"/>
    </row>
    <row r="825" spans="1:10" x14ac:dyDescent="0.25">
      <c r="A825" s="11">
        <v>8.1300000000000008</v>
      </c>
      <c r="B825" s="7">
        <v>6.75</v>
      </c>
      <c r="C825" s="11">
        <v>-1.0944565390944813E-4</v>
      </c>
      <c r="D825" s="11">
        <v>2.6920269702771296E-3</v>
      </c>
      <c r="E825" s="11">
        <v>-2.0739229161565641E-2</v>
      </c>
      <c r="F825" s="11">
        <v>7.9015240430281408E-2</v>
      </c>
      <c r="G825" s="3">
        <f t="shared" si="48"/>
        <v>2.9527374865918582E-2</v>
      </c>
      <c r="H825" s="11"/>
      <c r="I825" s="17"/>
      <c r="J825" s="18"/>
    </row>
    <row r="826" spans="1:10" x14ac:dyDescent="0.25">
      <c r="A826" s="11">
        <v>8.14</v>
      </c>
      <c r="B826" s="7">
        <v>6.75</v>
      </c>
      <c r="C826" s="11">
        <v>-1.0944565390944813E-4</v>
      </c>
      <c r="D826" s="11">
        <v>2.6920269702771296E-3</v>
      </c>
      <c r="E826" s="11">
        <v>-2.0739229161565641E-2</v>
      </c>
      <c r="F826" s="11">
        <v>7.9015240430281408E-2</v>
      </c>
      <c r="G826" s="3">
        <f t="shared" si="48"/>
        <v>2.954068776171484E-2</v>
      </c>
      <c r="H826" s="11"/>
      <c r="I826" s="17"/>
      <c r="J826" s="18"/>
    </row>
    <row r="827" spans="1:10" x14ac:dyDescent="0.25">
      <c r="A827" s="11">
        <v>8.15</v>
      </c>
      <c r="B827" s="7">
        <v>6.75</v>
      </c>
      <c r="C827" s="11">
        <v>-1.0944565390944813E-4</v>
      </c>
      <c r="D827" s="11">
        <v>2.6920269702771296E-3</v>
      </c>
      <c r="E827" s="11">
        <v>-2.0739229161565641E-2</v>
      </c>
      <c r="F827" s="11">
        <v>7.9015240430281408E-2</v>
      </c>
      <c r="G827" s="3">
        <f t="shared" si="48"/>
        <v>2.9554004530331468E-2</v>
      </c>
      <c r="H827" s="11"/>
      <c r="I827" s="17"/>
      <c r="J827" s="18"/>
    </row>
    <row r="828" spans="1:10" x14ac:dyDescent="0.25">
      <c r="A828" s="11">
        <v>8.16</v>
      </c>
      <c r="B828" s="7">
        <v>6.75</v>
      </c>
      <c r="C828" s="11">
        <v>-1.0944565390944813E-4</v>
      </c>
      <c r="D828" s="11">
        <v>2.6920269702771296E-3</v>
      </c>
      <c r="E828" s="11">
        <v>-2.0739229161565641E-2</v>
      </c>
      <c r="F828" s="11">
        <v>7.9015240430281408E-2</v>
      </c>
      <c r="G828" s="3">
        <f t="shared" si="48"/>
        <v>2.9567324515094556E-2</v>
      </c>
      <c r="H828" s="11"/>
      <c r="I828" s="17"/>
      <c r="J828" s="18"/>
    </row>
    <row r="829" spans="1:10" x14ac:dyDescent="0.25">
      <c r="A829" s="11">
        <v>8.17</v>
      </c>
      <c r="B829" s="7">
        <v>6.75</v>
      </c>
      <c r="C829" s="11">
        <v>-1.0944565390944813E-4</v>
      </c>
      <c r="D829" s="11">
        <v>2.6920269702771296E-3</v>
      </c>
      <c r="E829" s="11">
        <v>-2.0739229161565641E-2</v>
      </c>
      <c r="F829" s="11">
        <v>7.9015240430281408E-2</v>
      </c>
      <c r="G829" s="3">
        <f t="shared" si="48"/>
        <v>2.958064705933014E-2</v>
      </c>
      <c r="H829" s="11"/>
      <c r="I829" s="17"/>
      <c r="J829" s="18"/>
    </row>
    <row r="830" spans="1:10" x14ac:dyDescent="0.25">
      <c r="A830" s="11">
        <v>8.18</v>
      </c>
      <c r="B830" s="7">
        <v>6.75</v>
      </c>
      <c r="C830" s="11">
        <v>-1.0944565390944813E-4</v>
      </c>
      <c r="D830" s="11">
        <v>2.6920269702771296E-3</v>
      </c>
      <c r="E830" s="11">
        <v>-2.0739229161565641E-2</v>
      </c>
      <c r="F830" s="11">
        <v>7.9015240430281408E-2</v>
      </c>
      <c r="G830" s="3">
        <f t="shared" si="48"/>
        <v>2.9593971506364308E-2</v>
      </c>
      <c r="H830" s="11"/>
      <c r="I830" s="17"/>
      <c r="J830" s="18"/>
    </row>
    <row r="831" spans="1:10" x14ac:dyDescent="0.25">
      <c r="A831" s="11">
        <v>8.19</v>
      </c>
      <c r="B831" s="7">
        <v>6.75</v>
      </c>
      <c r="C831" s="11">
        <v>-1.0944565390944813E-4</v>
      </c>
      <c r="D831" s="11">
        <v>2.6920269702771296E-3</v>
      </c>
      <c r="E831" s="11">
        <v>-2.0739229161565641E-2</v>
      </c>
      <c r="F831" s="11">
        <v>7.9015240430281408E-2</v>
      </c>
      <c r="G831" s="3">
        <f t="shared" si="48"/>
        <v>2.9607297199523153E-2</v>
      </c>
      <c r="H831" s="11"/>
      <c r="I831" s="17"/>
      <c r="J831" s="18"/>
    </row>
    <row r="832" spans="1:10" x14ac:dyDescent="0.25">
      <c r="A832" s="11">
        <v>8.1999999999999993</v>
      </c>
      <c r="B832" s="7">
        <v>6.75</v>
      </c>
      <c r="C832" s="11">
        <v>-1.0944565390944813E-4</v>
      </c>
      <c r="D832" s="11">
        <v>2.6920269702771296E-3</v>
      </c>
      <c r="E832" s="11">
        <v>-2.0739229161565641E-2</v>
      </c>
      <c r="F832" s="11">
        <v>7.9015240430281408E-2</v>
      </c>
      <c r="G832" s="3">
        <f t="shared" si="48"/>
        <v>2.9620623482132749E-2</v>
      </c>
      <c r="H832" s="11"/>
      <c r="I832" s="17"/>
      <c r="J832" s="18"/>
    </row>
    <row r="833" spans="1:10" x14ac:dyDescent="0.25">
      <c r="A833" s="11">
        <v>8.2100000000000009</v>
      </c>
      <c r="B833" s="7">
        <v>6.75</v>
      </c>
      <c r="C833" s="11">
        <v>-1.0944565390944813E-4</v>
      </c>
      <c r="D833" s="11">
        <v>2.6920269702771296E-3</v>
      </c>
      <c r="E833" s="11">
        <v>-2.0739229161565641E-2</v>
      </c>
      <c r="F833" s="11">
        <v>7.9015240430281408E-2</v>
      </c>
      <c r="G833" s="3">
        <f t="shared" si="48"/>
        <v>2.9633949697519174E-2</v>
      </c>
      <c r="H833" s="11"/>
      <c r="I833" s="17"/>
      <c r="J833" s="18"/>
    </row>
    <row r="834" spans="1:10" x14ac:dyDescent="0.25">
      <c r="A834" s="11">
        <v>8.2200000000000006</v>
      </c>
      <c r="B834" s="7">
        <v>6.75</v>
      </c>
      <c r="C834" s="11">
        <v>-1.0944565390944813E-4</v>
      </c>
      <c r="D834" s="11">
        <v>2.6920269702771296E-3</v>
      </c>
      <c r="E834" s="11">
        <v>-2.0739229161565641E-2</v>
      </c>
      <c r="F834" s="11">
        <v>7.9015240430281408E-2</v>
      </c>
      <c r="G834" s="3">
        <f t="shared" si="48"/>
        <v>2.9647275189008476E-2</v>
      </c>
      <c r="H834" s="11"/>
      <c r="I834" s="17"/>
      <c r="J834" s="18"/>
    </row>
    <row r="835" spans="1:10" x14ac:dyDescent="0.25">
      <c r="A835" s="11">
        <v>8.23</v>
      </c>
      <c r="B835" s="7">
        <v>6.75</v>
      </c>
      <c r="C835" s="11">
        <v>-1.0944565390944813E-4</v>
      </c>
      <c r="D835" s="11">
        <v>2.6920269702771296E-3</v>
      </c>
      <c r="E835" s="11">
        <v>-2.0739229161565641E-2</v>
      </c>
      <c r="F835" s="11">
        <v>7.9015240430281408E-2</v>
      </c>
      <c r="G835" s="3">
        <f t="shared" si="48"/>
        <v>2.9660599299926746E-2</v>
      </c>
      <c r="H835" s="11"/>
      <c r="I835" s="17"/>
      <c r="J835" s="18"/>
    </row>
    <row r="836" spans="1:10" x14ac:dyDescent="0.25">
      <c r="A836" s="11">
        <v>8.24</v>
      </c>
      <c r="B836" s="7">
        <v>6.75</v>
      </c>
      <c r="C836" s="11">
        <v>-1.0944565390944813E-4</v>
      </c>
      <c r="D836" s="11">
        <v>2.6920269702771296E-3</v>
      </c>
      <c r="E836" s="11">
        <v>-2.0739229161565641E-2</v>
      </c>
      <c r="F836" s="11">
        <v>7.9015240430281408E-2</v>
      </c>
      <c r="G836" s="3">
        <f t="shared" si="48"/>
        <v>2.9673921373600073E-2</v>
      </c>
      <c r="H836" s="11"/>
      <c r="I836" s="17"/>
      <c r="J836" s="18"/>
    </row>
    <row r="837" spans="1:10" x14ac:dyDescent="0.25">
      <c r="A837" s="11">
        <v>8.25</v>
      </c>
      <c r="B837" s="7">
        <v>6.75</v>
      </c>
      <c r="C837" s="11">
        <v>-1.0944565390944813E-4</v>
      </c>
      <c r="D837" s="11">
        <v>2.6920269702771296E-3</v>
      </c>
      <c r="E837" s="11">
        <v>-2.0739229161565641E-2</v>
      </c>
      <c r="F837" s="11">
        <v>7.9015240430281408E-2</v>
      </c>
      <c r="G837" s="3">
        <f t="shared" si="48"/>
        <v>2.9687240753354549E-2</v>
      </c>
      <c r="H837" s="11"/>
      <c r="I837" s="17"/>
      <c r="J837" s="18"/>
    </row>
    <row r="838" spans="1:10" x14ac:dyDescent="0.25">
      <c r="A838" s="11">
        <v>8.26</v>
      </c>
      <c r="B838" s="7">
        <v>6.75</v>
      </c>
      <c r="C838" s="11">
        <v>-1.0944565390944813E-4</v>
      </c>
      <c r="D838" s="11">
        <v>2.6920269702771296E-3</v>
      </c>
      <c r="E838" s="11">
        <v>-2.0739229161565641E-2</v>
      </c>
      <c r="F838" s="11">
        <v>7.9015240430281408E-2</v>
      </c>
      <c r="G838" s="3">
        <f t="shared" si="48"/>
        <v>2.9700556782516194E-2</v>
      </c>
      <c r="H838" s="11"/>
      <c r="I838" s="17"/>
      <c r="J838" s="18"/>
    </row>
    <row r="839" spans="1:10" x14ac:dyDescent="0.25">
      <c r="A839" s="11">
        <v>8.27</v>
      </c>
      <c r="B839" s="7">
        <v>6.75</v>
      </c>
      <c r="C839" s="11">
        <v>-1.0944565390944813E-4</v>
      </c>
      <c r="D839" s="11">
        <v>2.6920269702771296E-3</v>
      </c>
      <c r="E839" s="11">
        <v>-2.0739229161565641E-2</v>
      </c>
      <c r="F839" s="11">
        <v>7.9015240430281408E-2</v>
      </c>
      <c r="G839" s="3">
        <f t="shared" si="48"/>
        <v>2.9713868804411153E-2</v>
      </c>
      <c r="H839" s="11"/>
      <c r="I839" s="17"/>
      <c r="J839" s="18"/>
    </row>
    <row r="840" spans="1:10" x14ac:dyDescent="0.25">
      <c r="A840" s="11">
        <v>8.2799999999999994</v>
      </c>
      <c r="B840" s="7">
        <v>6.75</v>
      </c>
      <c r="C840" s="11">
        <v>-1.0944565390944813E-4</v>
      </c>
      <c r="D840" s="11">
        <v>2.6920269702771296E-3</v>
      </c>
      <c r="E840" s="11">
        <v>-2.0739229161565641E-2</v>
      </c>
      <c r="F840" s="11">
        <v>7.9015240430281408E-2</v>
      </c>
      <c r="G840" s="3">
        <f t="shared" si="48"/>
        <v>2.9727176162365476E-2</v>
      </c>
      <c r="H840" s="11"/>
      <c r="I840" s="17"/>
      <c r="J840" s="18"/>
    </row>
    <row r="841" spans="1:10" x14ac:dyDescent="0.25">
      <c r="A841" s="11">
        <v>8.2899999999999991</v>
      </c>
      <c r="B841" s="7">
        <v>6.75</v>
      </c>
      <c r="C841" s="11">
        <v>-1.0944565390944813E-4</v>
      </c>
      <c r="D841" s="11">
        <v>2.6920269702771296E-3</v>
      </c>
      <c r="E841" s="11">
        <v>-2.0739229161565641E-2</v>
      </c>
      <c r="F841" s="11">
        <v>7.9015240430281408E-2</v>
      </c>
      <c r="G841" s="3">
        <f t="shared" si="48"/>
        <v>2.9740478199705198E-2</v>
      </c>
      <c r="H841" s="11"/>
      <c r="I841" s="17"/>
      <c r="J841" s="18"/>
    </row>
    <row r="842" spans="1:10" x14ac:dyDescent="0.25">
      <c r="A842" s="11">
        <v>8.3000000000000007</v>
      </c>
      <c r="B842" s="7">
        <v>6.75</v>
      </c>
      <c r="C842" s="11">
        <v>-1.0944565390944813E-4</v>
      </c>
      <c r="D842" s="11">
        <v>2.6920269702771296E-3</v>
      </c>
      <c r="E842" s="11">
        <v>-2.0739229161565641E-2</v>
      </c>
      <c r="F842" s="11">
        <v>7.9015240430281408E-2</v>
      </c>
      <c r="G842" s="3">
        <f t="shared" si="48"/>
        <v>2.9753774259756435E-2</v>
      </c>
      <c r="H842" s="11"/>
      <c r="I842" s="17"/>
      <c r="J842" s="18"/>
    </row>
    <row r="843" spans="1:10" x14ac:dyDescent="0.25">
      <c r="A843" s="11">
        <v>8.31</v>
      </c>
      <c r="B843" s="7">
        <v>6.75</v>
      </c>
      <c r="C843" s="11">
        <v>-1.0944565390944813E-4</v>
      </c>
      <c r="D843" s="11">
        <v>2.6920269702771296E-3</v>
      </c>
      <c r="E843" s="11">
        <v>-2.0739229161565641E-2</v>
      </c>
      <c r="F843" s="11">
        <v>7.9015240430281408E-2</v>
      </c>
      <c r="G843" s="3">
        <f t="shared" si="48"/>
        <v>2.9767063685845266E-2</v>
      </c>
      <c r="H843" s="11"/>
      <c r="I843" s="17"/>
      <c r="J843" s="18"/>
    </row>
    <row r="844" spans="1:10" x14ac:dyDescent="0.25">
      <c r="A844" s="11">
        <v>8.32</v>
      </c>
      <c r="B844" s="7">
        <v>6.75</v>
      </c>
      <c r="C844" s="11">
        <v>-1.0944565390944813E-4</v>
      </c>
      <c r="D844" s="11">
        <v>2.6920269702771296E-3</v>
      </c>
      <c r="E844" s="11">
        <v>-2.0739229161565641E-2</v>
      </c>
      <c r="F844" s="11">
        <v>7.9015240430281408E-2</v>
      </c>
      <c r="G844" s="3">
        <f t="shared" si="48"/>
        <v>2.9780345821297752E-2</v>
      </c>
      <c r="H844" s="11"/>
      <c r="I844" s="17"/>
      <c r="J844" s="18"/>
    </row>
    <row r="845" spans="1:10" x14ac:dyDescent="0.25">
      <c r="A845" s="11">
        <v>8.33</v>
      </c>
      <c r="B845" s="7">
        <v>6.75</v>
      </c>
      <c r="C845" s="11">
        <v>-1.0944565390944813E-4</v>
      </c>
      <c r="D845" s="11">
        <v>2.6920269702771296E-3</v>
      </c>
      <c r="E845" s="11">
        <v>-2.0739229161565641E-2</v>
      </c>
      <c r="F845" s="11">
        <v>7.9015240430281408E-2</v>
      </c>
      <c r="G845" s="3">
        <f t="shared" ref="G845:G908" si="52">C845*A845^3 + D845*A845^2 + E845*A845 + F845</f>
        <v>2.9793620009440011E-2</v>
      </c>
      <c r="H845" s="11"/>
      <c r="I845" s="17"/>
      <c r="J845" s="18"/>
    </row>
    <row r="846" spans="1:10" x14ac:dyDescent="0.25">
      <c r="A846" s="11">
        <v>8.34</v>
      </c>
      <c r="B846" s="7">
        <v>6.75</v>
      </c>
      <c r="C846" s="11">
        <v>-1.0944565390944813E-4</v>
      </c>
      <c r="D846" s="11">
        <v>2.6920269702771296E-3</v>
      </c>
      <c r="E846" s="11">
        <v>-2.0739229161565641E-2</v>
      </c>
      <c r="F846" s="11">
        <v>7.9015240430281408E-2</v>
      </c>
      <c r="G846" s="3">
        <f t="shared" si="52"/>
        <v>2.9806885593598037E-2</v>
      </c>
      <c r="H846" s="11"/>
      <c r="I846" s="17"/>
      <c r="J846" s="18"/>
    </row>
    <row r="847" spans="1:10" x14ac:dyDescent="0.25">
      <c r="A847" s="11">
        <v>8.35</v>
      </c>
      <c r="B847" s="7">
        <v>6.75</v>
      </c>
      <c r="C847" s="11">
        <v>-1.0944565390944813E-4</v>
      </c>
      <c r="D847" s="11">
        <v>2.6920269702771296E-3</v>
      </c>
      <c r="E847" s="11">
        <v>-2.0739229161565641E-2</v>
      </c>
      <c r="F847" s="11">
        <v>7.9015240430281408E-2</v>
      </c>
      <c r="G847" s="3">
        <f t="shared" si="52"/>
        <v>2.9820141917097975E-2</v>
      </c>
      <c r="H847" s="11"/>
      <c r="I847" s="17"/>
      <c r="J847" s="18"/>
    </row>
    <row r="848" spans="1:10" x14ac:dyDescent="0.25">
      <c r="A848" s="11">
        <v>8.36</v>
      </c>
      <c r="B848" s="7">
        <v>6.75</v>
      </c>
      <c r="C848" s="11">
        <v>-1.0944565390944813E-4</v>
      </c>
      <c r="D848" s="11">
        <v>2.6920269702771296E-3</v>
      </c>
      <c r="E848" s="11">
        <v>-2.0739229161565641E-2</v>
      </c>
      <c r="F848" s="11">
        <v>7.9015240430281408E-2</v>
      </c>
      <c r="G848" s="3">
        <f t="shared" si="52"/>
        <v>2.9833388323265889E-2</v>
      </c>
      <c r="H848" s="11"/>
      <c r="I848" s="17"/>
      <c r="J848" s="18"/>
    </row>
    <row r="849" spans="1:10" x14ac:dyDescent="0.25">
      <c r="A849" s="11">
        <v>8.3699999999999992</v>
      </c>
      <c r="B849" s="7">
        <v>6.75</v>
      </c>
      <c r="C849" s="11">
        <v>-1.0944565390944813E-4</v>
      </c>
      <c r="D849" s="11">
        <v>2.6920269702771296E-3</v>
      </c>
      <c r="E849" s="11">
        <v>-2.0739229161565641E-2</v>
      </c>
      <c r="F849" s="11">
        <v>7.9015240430281408E-2</v>
      </c>
      <c r="G849" s="3">
        <f t="shared" si="52"/>
        <v>2.9846624155427839E-2</v>
      </c>
      <c r="H849" s="11"/>
      <c r="I849" s="17"/>
      <c r="J849" s="18"/>
    </row>
    <row r="850" spans="1:10" x14ac:dyDescent="0.25">
      <c r="A850" s="11">
        <v>8.3800000000000008</v>
      </c>
      <c r="B850" s="7">
        <v>6.75</v>
      </c>
      <c r="C850" s="11">
        <v>-1.0944565390944813E-4</v>
      </c>
      <c r="D850" s="11">
        <v>2.6920269702771296E-3</v>
      </c>
      <c r="E850" s="11">
        <v>-2.0739229161565641E-2</v>
      </c>
      <c r="F850" s="11">
        <v>7.9015240430281408E-2</v>
      </c>
      <c r="G850" s="3">
        <f t="shared" si="52"/>
        <v>2.9859848756909932E-2</v>
      </c>
      <c r="H850" s="11"/>
      <c r="I850" s="17"/>
      <c r="J850" s="18"/>
    </row>
    <row r="851" spans="1:10" x14ac:dyDescent="0.25">
      <c r="A851" s="11">
        <v>8.39</v>
      </c>
      <c r="B851" s="7">
        <v>6.75</v>
      </c>
      <c r="C851" s="11">
        <v>-1.0944565390944813E-4</v>
      </c>
      <c r="D851" s="11">
        <v>2.6920269702771296E-3</v>
      </c>
      <c r="E851" s="11">
        <v>-2.0739229161565641E-2</v>
      </c>
      <c r="F851" s="11">
        <v>7.9015240430281408E-2</v>
      </c>
      <c r="G851" s="3">
        <f t="shared" si="52"/>
        <v>2.9873061471038201E-2</v>
      </c>
      <c r="H851" s="11"/>
      <c r="I851" s="17"/>
      <c r="J851" s="18"/>
    </row>
    <row r="852" spans="1:10" x14ac:dyDescent="0.25">
      <c r="A852" s="11">
        <v>8.4</v>
      </c>
      <c r="B852" s="7">
        <v>6.75</v>
      </c>
      <c r="C852" s="11">
        <v>-1.0944565390944813E-4</v>
      </c>
      <c r="D852" s="11">
        <v>2.6920269702771296E-3</v>
      </c>
      <c r="E852" s="11">
        <v>-2.0739229161565641E-2</v>
      </c>
      <c r="F852" s="11">
        <v>7.9015240430281408E-2</v>
      </c>
      <c r="G852" s="3">
        <f t="shared" si="52"/>
        <v>2.988626164113875E-2</v>
      </c>
      <c r="H852" s="11"/>
      <c r="I852" s="17"/>
      <c r="J852" s="18"/>
    </row>
    <row r="853" spans="1:10" x14ac:dyDescent="0.25">
      <c r="A853" s="11">
        <v>8.41</v>
      </c>
      <c r="B853" s="7">
        <v>6.75</v>
      </c>
      <c r="C853" s="11">
        <v>-1.0944565390944813E-4</v>
      </c>
      <c r="D853" s="11">
        <v>2.6920269702771296E-3</v>
      </c>
      <c r="E853" s="11">
        <v>-2.0739229161565641E-2</v>
      </c>
      <c r="F853" s="11">
        <v>7.9015240430281408E-2</v>
      </c>
      <c r="G853" s="3">
        <f t="shared" si="52"/>
        <v>2.9899448610537643E-2</v>
      </c>
      <c r="H853" s="11"/>
      <c r="I853" s="17"/>
      <c r="J853" s="18"/>
    </row>
    <row r="854" spans="1:10" x14ac:dyDescent="0.25">
      <c r="A854" s="11">
        <v>8.42</v>
      </c>
      <c r="B854" s="7">
        <v>6.75</v>
      </c>
      <c r="C854" s="11">
        <v>-1.0944565390944813E-4</v>
      </c>
      <c r="D854" s="11">
        <v>2.6920269702771296E-3</v>
      </c>
      <c r="E854" s="11">
        <v>-2.0739229161565641E-2</v>
      </c>
      <c r="F854" s="11">
        <v>7.9015240430281408E-2</v>
      </c>
      <c r="G854" s="3">
        <f t="shared" si="52"/>
        <v>2.9912621722561011E-2</v>
      </c>
      <c r="H854" s="11"/>
      <c r="I854" s="17"/>
      <c r="J854" s="18"/>
    </row>
    <row r="855" spans="1:10" x14ac:dyDescent="0.25">
      <c r="A855" s="11">
        <v>8.43</v>
      </c>
      <c r="B855" s="7">
        <v>6.75</v>
      </c>
      <c r="C855" s="11">
        <v>-1.0944565390944813E-4</v>
      </c>
      <c r="D855" s="11">
        <v>2.6920269702771296E-3</v>
      </c>
      <c r="E855" s="11">
        <v>-2.0739229161565641E-2</v>
      </c>
      <c r="F855" s="11">
        <v>7.9015240430281408E-2</v>
      </c>
      <c r="G855" s="3">
        <f t="shared" si="52"/>
        <v>2.9925780320534806E-2</v>
      </c>
      <c r="H855" s="11"/>
      <c r="I855" s="17"/>
      <c r="J855" s="18"/>
    </row>
    <row r="856" spans="1:10" x14ac:dyDescent="0.25">
      <c r="A856" s="11">
        <v>8.44</v>
      </c>
      <c r="B856" s="7">
        <v>6.75</v>
      </c>
      <c r="C856" s="11">
        <v>-1.0944565390944813E-4</v>
      </c>
      <c r="D856" s="11">
        <v>2.6920269702771296E-3</v>
      </c>
      <c r="E856" s="11">
        <v>-2.0739229161565641E-2</v>
      </c>
      <c r="F856" s="11">
        <v>7.9015240430281408E-2</v>
      </c>
      <c r="G856" s="3">
        <f t="shared" si="52"/>
        <v>2.9938923747785257E-2</v>
      </c>
      <c r="H856" s="11"/>
      <c r="I856" s="17"/>
      <c r="J856" s="18"/>
    </row>
    <row r="857" spans="1:10" x14ac:dyDescent="0.25">
      <c r="A857" s="11">
        <v>8.4499999999999993</v>
      </c>
      <c r="B857" s="7">
        <v>6.75</v>
      </c>
      <c r="C857" s="11">
        <v>-1.0944565390944813E-4</v>
      </c>
      <c r="D857" s="11">
        <v>2.6920269702771296E-3</v>
      </c>
      <c r="E857" s="11">
        <v>-2.0739229161565641E-2</v>
      </c>
      <c r="F857" s="11">
        <v>7.9015240430281408E-2</v>
      </c>
      <c r="G857" s="3">
        <f t="shared" si="52"/>
        <v>2.9952051347638287E-2</v>
      </c>
      <c r="H857" s="11"/>
      <c r="I857" s="17"/>
      <c r="J857" s="18"/>
    </row>
    <row r="858" spans="1:10" x14ac:dyDescent="0.25">
      <c r="A858" s="11">
        <v>8.4600000000000009</v>
      </c>
      <c r="B858" s="7">
        <v>6.75</v>
      </c>
      <c r="C858" s="11">
        <v>-1.0944565390944813E-4</v>
      </c>
      <c r="D858" s="11">
        <v>2.6920269702771296E-3</v>
      </c>
      <c r="E858" s="11">
        <v>-2.0739229161565641E-2</v>
      </c>
      <c r="F858" s="11">
        <v>7.9015240430281408E-2</v>
      </c>
      <c r="G858" s="3">
        <f t="shared" si="52"/>
        <v>2.9965162463420125E-2</v>
      </c>
      <c r="H858" s="11"/>
      <c r="I858" s="17"/>
      <c r="J858" s="18"/>
    </row>
    <row r="859" spans="1:10" x14ac:dyDescent="0.25">
      <c r="A859" s="11">
        <v>8.4700000000000006</v>
      </c>
      <c r="B859" s="7">
        <v>6.75</v>
      </c>
      <c r="C859" s="11">
        <v>-1.0944565390944813E-4</v>
      </c>
      <c r="D859" s="11">
        <v>2.6920269702771296E-3</v>
      </c>
      <c r="E859" s="11">
        <v>-2.0739229161565641E-2</v>
      </c>
      <c r="F859" s="11">
        <v>7.9015240430281408E-2</v>
      </c>
      <c r="G859" s="3">
        <f t="shared" si="52"/>
        <v>2.9978256438456752E-2</v>
      </c>
      <c r="H859" s="11"/>
      <c r="I859" s="17"/>
      <c r="J859" s="18"/>
    </row>
    <row r="860" spans="1:10" x14ac:dyDescent="0.25">
      <c r="A860" s="11">
        <v>8.48</v>
      </c>
      <c r="B860" s="7">
        <v>6.75</v>
      </c>
      <c r="C860" s="11">
        <v>-1.0944565390944813E-4</v>
      </c>
      <c r="D860" s="11">
        <v>2.6920269702771296E-3</v>
      </c>
      <c r="E860" s="11">
        <v>-2.0739229161565641E-2</v>
      </c>
      <c r="F860" s="11">
        <v>7.9015240430281408E-2</v>
      </c>
      <c r="G860" s="3">
        <f t="shared" si="52"/>
        <v>2.9991332616074257E-2</v>
      </c>
      <c r="H860" s="11"/>
      <c r="I860" s="17"/>
      <c r="J860" s="18"/>
    </row>
    <row r="861" spans="1:10" x14ac:dyDescent="0.25">
      <c r="A861" s="11">
        <v>8.49</v>
      </c>
      <c r="B861" s="7">
        <v>6.75</v>
      </c>
      <c r="C861" s="11">
        <v>-1.0944565390944813E-4</v>
      </c>
      <c r="D861" s="11">
        <v>2.6920269702771296E-3</v>
      </c>
      <c r="E861" s="11">
        <v>-2.0739229161565641E-2</v>
      </c>
      <c r="F861" s="11">
        <v>7.9015240430281408E-2</v>
      </c>
      <c r="G861" s="3">
        <f t="shared" si="52"/>
        <v>3.0004390339598758E-2</v>
      </c>
      <c r="H861" s="11"/>
      <c r="I861" s="17"/>
      <c r="J861" s="18"/>
    </row>
    <row r="862" spans="1:10" x14ac:dyDescent="0.25">
      <c r="A862" s="11">
        <v>8.5</v>
      </c>
      <c r="B862" s="7">
        <v>6.75</v>
      </c>
      <c r="C862" s="11">
        <v>-1.0944565390944813E-4</v>
      </c>
      <c r="D862" s="11">
        <v>2.6920269702771296E-3</v>
      </c>
      <c r="E862" s="11">
        <v>-2.0739229161565641E-2</v>
      </c>
      <c r="F862" s="11">
        <v>7.9015240430281408E-2</v>
      </c>
      <c r="G862" s="3">
        <f t="shared" si="52"/>
        <v>3.0017428952356262E-2</v>
      </c>
      <c r="H862" s="11"/>
      <c r="I862" s="17"/>
      <c r="J862" s="18"/>
    </row>
    <row r="863" spans="1:10" x14ac:dyDescent="0.25">
      <c r="A863" s="11">
        <v>8.51</v>
      </c>
      <c r="B863" s="7">
        <v>6.75</v>
      </c>
      <c r="C863" s="11">
        <v>-1.0944565390944813E-4</v>
      </c>
      <c r="D863" s="11">
        <v>2.6920269702771296E-3</v>
      </c>
      <c r="E863" s="11">
        <v>-2.0739229161565641E-2</v>
      </c>
      <c r="F863" s="11">
        <v>7.9015240430281408E-2</v>
      </c>
      <c r="G863" s="3">
        <f t="shared" si="52"/>
        <v>3.0030447797672888E-2</v>
      </c>
      <c r="H863" s="11"/>
      <c r="I863" s="17"/>
      <c r="J863" s="18"/>
    </row>
    <row r="864" spans="1:10" x14ac:dyDescent="0.25">
      <c r="A864" s="11">
        <v>8.52</v>
      </c>
      <c r="B864" s="7">
        <v>6.75</v>
      </c>
      <c r="C864" s="11">
        <v>-1.0944565390944813E-4</v>
      </c>
      <c r="D864" s="11">
        <v>2.6920269702771296E-3</v>
      </c>
      <c r="E864" s="11">
        <v>-2.0739229161565641E-2</v>
      </c>
      <c r="F864" s="11">
        <v>7.9015240430281408E-2</v>
      </c>
      <c r="G864" s="3">
        <f t="shared" si="52"/>
        <v>3.004344621887467E-2</v>
      </c>
      <c r="H864" s="11"/>
      <c r="I864" s="17"/>
      <c r="J864" s="18"/>
    </row>
    <row r="865" spans="1:10" x14ac:dyDescent="0.25">
      <c r="A865" s="11">
        <v>8.5299999999999994</v>
      </c>
      <c r="B865" s="7">
        <v>6.75</v>
      </c>
      <c r="C865" s="11">
        <v>-1.0944565390944813E-4</v>
      </c>
      <c r="D865" s="11">
        <v>2.6920269702771296E-3</v>
      </c>
      <c r="E865" s="11">
        <v>-2.0739229161565641E-2</v>
      </c>
      <c r="F865" s="11">
        <v>7.9015240430281408E-2</v>
      </c>
      <c r="G865" s="3">
        <f t="shared" si="52"/>
        <v>3.0056423559287782E-2</v>
      </c>
      <c r="H865" s="11"/>
      <c r="I865" s="17"/>
      <c r="J865" s="18"/>
    </row>
    <row r="866" spans="1:10" x14ac:dyDescent="0.25">
      <c r="A866" s="11">
        <v>8.5399999999999991</v>
      </c>
      <c r="B866" s="7">
        <v>6.75</v>
      </c>
      <c r="C866" s="11">
        <v>-1.0944565390944813E-4</v>
      </c>
      <c r="D866" s="11">
        <v>2.6920269702771296E-3</v>
      </c>
      <c r="E866" s="11">
        <v>-2.0739229161565641E-2</v>
      </c>
      <c r="F866" s="11">
        <v>7.9015240430281408E-2</v>
      </c>
      <c r="G866" s="3">
        <f t="shared" si="52"/>
        <v>3.006937916223823E-2</v>
      </c>
      <c r="H866" s="11"/>
      <c r="I866" s="17"/>
      <c r="J866" s="18"/>
    </row>
    <row r="867" spans="1:10" x14ac:dyDescent="0.25">
      <c r="A867" s="11">
        <v>8.5500000000000007</v>
      </c>
      <c r="B867" s="7">
        <v>6.75</v>
      </c>
      <c r="C867" s="11">
        <v>-1.0944565390944813E-4</v>
      </c>
      <c r="D867" s="11">
        <v>2.6920269702771296E-3</v>
      </c>
      <c r="E867" s="11">
        <v>-2.0739229161565641E-2</v>
      </c>
      <c r="F867" s="11">
        <v>7.9015240430281408E-2</v>
      </c>
      <c r="G867" s="3">
        <f t="shared" si="52"/>
        <v>3.0082312371052106E-2</v>
      </c>
      <c r="H867" s="11"/>
      <c r="I867" s="17"/>
      <c r="J867" s="18"/>
    </row>
    <row r="868" spans="1:10" x14ac:dyDescent="0.25">
      <c r="A868" s="11">
        <v>8.56</v>
      </c>
      <c r="B868" s="7">
        <v>6.75</v>
      </c>
      <c r="C868" s="11">
        <v>-1.0944565390944813E-4</v>
      </c>
      <c r="D868" s="11">
        <v>2.6920269702771296E-3</v>
      </c>
      <c r="E868" s="11">
        <v>-2.0739229161565641E-2</v>
      </c>
      <c r="F868" s="11">
        <v>7.9015240430281408E-2</v>
      </c>
      <c r="G868" s="3">
        <f t="shared" si="52"/>
        <v>3.0095222529055471E-2</v>
      </c>
      <c r="H868" s="11"/>
      <c r="I868" s="17"/>
      <c r="J868" s="18"/>
    </row>
    <row r="869" spans="1:10" x14ac:dyDescent="0.25">
      <c r="A869" s="11">
        <v>8.57</v>
      </c>
      <c r="B869" s="7">
        <v>6.75</v>
      </c>
      <c r="C869" s="11">
        <v>-1.0944565390944813E-4</v>
      </c>
      <c r="D869" s="11">
        <v>2.6920269702771296E-3</v>
      </c>
      <c r="E869" s="11">
        <v>-2.0739229161565641E-2</v>
      </c>
      <c r="F869" s="11">
        <v>7.9015240430281408E-2</v>
      </c>
      <c r="G869" s="3">
        <f t="shared" si="52"/>
        <v>3.0108108979574416E-2</v>
      </c>
      <c r="H869" s="11"/>
      <c r="I869" s="17"/>
      <c r="J869" s="18"/>
    </row>
    <row r="870" spans="1:10" x14ac:dyDescent="0.25">
      <c r="A870" s="11">
        <v>8.58</v>
      </c>
      <c r="B870" s="7">
        <v>6.75</v>
      </c>
      <c r="C870" s="11">
        <v>-1.0944565390944813E-4</v>
      </c>
      <c r="D870" s="11">
        <v>2.6920269702771296E-3</v>
      </c>
      <c r="E870" s="11">
        <v>-2.0739229161565641E-2</v>
      </c>
      <c r="F870" s="11">
        <v>7.9015240430281408E-2</v>
      </c>
      <c r="G870" s="3">
        <f t="shared" si="52"/>
        <v>3.0120971065935004E-2</v>
      </c>
      <c r="H870" s="11"/>
      <c r="I870" s="17"/>
      <c r="J870" s="18"/>
    </row>
    <row r="871" spans="1:10" x14ac:dyDescent="0.25">
      <c r="A871" s="11">
        <v>8.59</v>
      </c>
      <c r="B871" s="7">
        <v>6.75</v>
      </c>
      <c r="C871" s="11">
        <v>-1.0944565390944813E-4</v>
      </c>
      <c r="D871" s="11">
        <v>2.6920269702771296E-3</v>
      </c>
      <c r="E871" s="11">
        <v>-2.0739229161565641E-2</v>
      </c>
      <c r="F871" s="11">
        <v>7.9015240430281408E-2</v>
      </c>
      <c r="G871" s="3">
        <f t="shared" si="52"/>
        <v>3.0133808131463324E-2</v>
      </c>
      <c r="H871" s="11"/>
      <c r="I871" s="17"/>
      <c r="J871" s="18"/>
    </row>
    <row r="872" spans="1:10" x14ac:dyDescent="0.25">
      <c r="A872" s="11">
        <v>8.6</v>
      </c>
      <c r="B872" s="7">
        <v>6.75</v>
      </c>
      <c r="C872" s="11">
        <v>-1.0944565390944813E-4</v>
      </c>
      <c r="D872" s="11">
        <v>2.6920269702771296E-3</v>
      </c>
      <c r="E872" s="11">
        <v>-2.0739229161565641E-2</v>
      </c>
      <c r="F872" s="11">
        <v>7.9015240430281408E-2</v>
      </c>
      <c r="G872" s="3">
        <f t="shared" si="52"/>
        <v>3.014661951948544E-2</v>
      </c>
      <c r="H872" s="11"/>
      <c r="I872" s="17"/>
      <c r="J872" s="18"/>
    </row>
    <row r="873" spans="1:10" x14ac:dyDescent="0.25">
      <c r="A873" s="11">
        <v>8.61</v>
      </c>
      <c r="B873" s="7">
        <v>6.75</v>
      </c>
      <c r="C873" s="11">
        <v>-1.0944565390944813E-4</v>
      </c>
      <c r="D873" s="11">
        <v>2.6920269702771296E-3</v>
      </c>
      <c r="E873" s="11">
        <v>-2.0739229161565641E-2</v>
      </c>
      <c r="F873" s="11">
        <v>7.9015240430281408E-2</v>
      </c>
      <c r="G873" s="3">
        <f t="shared" si="52"/>
        <v>3.015940457332747E-2</v>
      </c>
      <c r="H873" s="11"/>
      <c r="I873" s="17"/>
      <c r="J873" s="18"/>
    </row>
    <row r="874" spans="1:10" x14ac:dyDescent="0.25">
      <c r="A874" s="11">
        <v>8.6199999999999992</v>
      </c>
      <c r="B874" s="7">
        <v>6.75</v>
      </c>
      <c r="C874" s="11">
        <v>-1.0944565390944813E-4</v>
      </c>
      <c r="D874" s="11">
        <v>2.6920269702771296E-3</v>
      </c>
      <c r="E874" s="11">
        <v>-2.0739229161565641E-2</v>
      </c>
      <c r="F874" s="11">
        <v>7.9015240430281408E-2</v>
      </c>
      <c r="G874" s="3">
        <f t="shared" si="52"/>
        <v>3.0172162636315447E-2</v>
      </c>
      <c r="H874" s="11"/>
      <c r="I874" s="17"/>
      <c r="J874" s="18"/>
    </row>
    <row r="875" spans="1:10" x14ac:dyDescent="0.25">
      <c r="A875" s="11">
        <v>8.6300000000000008</v>
      </c>
      <c r="B875" s="7">
        <v>6.75</v>
      </c>
      <c r="C875" s="11">
        <v>-1.0944565390944813E-4</v>
      </c>
      <c r="D875" s="11">
        <v>2.6920269702771296E-3</v>
      </c>
      <c r="E875" s="11">
        <v>-2.0739229161565641E-2</v>
      </c>
      <c r="F875" s="11">
        <v>7.9015240430281408E-2</v>
      </c>
      <c r="G875" s="3">
        <f t="shared" si="52"/>
        <v>3.0184893051775463E-2</v>
      </c>
      <c r="H875" s="11"/>
      <c r="I875" s="17"/>
      <c r="J875" s="18"/>
    </row>
    <row r="876" spans="1:10" x14ac:dyDescent="0.25">
      <c r="A876" s="11">
        <v>8.64</v>
      </c>
      <c r="B876" s="7">
        <v>6.75</v>
      </c>
      <c r="C876" s="11">
        <v>-1.0944565390944813E-4</v>
      </c>
      <c r="D876" s="11">
        <v>2.6920269702771296E-3</v>
      </c>
      <c r="E876" s="11">
        <v>-2.0739229161565641E-2</v>
      </c>
      <c r="F876" s="11">
        <v>7.9015240430281408E-2</v>
      </c>
      <c r="G876" s="3">
        <f t="shared" si="52"/>
        <v>3.0197595163033553E-2</v>
      </c>
      <c r="H876" s="11"/>
      <c r="I876" s="17"/>
      <c r="J876" s="18"/>
    </row>
    <row r="877" spans="1:10" x14ac:dyDescent="0.25">
      <c r="A877" s="11">
        <v>8.65</v>
      </c>
      <c r="B877" s="7">
        <v>6.75</v>
      </c>
      <c r="C877" s="11">
        <v>-1.0944565390944813E-4</v>
      </c>
      <c r="D877" s="11">
        <v>2.6920269702771296E-3</v>
      </c>
      <c r="E877" s="11">
        <v>-2.0739229161565641E-2</v>
      </c>
      <c r="F877" s="11">
        <v>7.9015240430281408E-2</v>
      </c>
      <c r="G877" s="3">
        <f t="shared" si="52"/>
        <v>3.0210268313415889E-2</v>
      </c>
      <c r="H877" s="11"/>
      <c r="I877" s="17"/>
      <c r="J877" s="18"/>
    </row>
    <row r="878" spans="1:10" x14ac:dyDescent="0.25">
      <c r="A878" s="11">
        <v>8.66</v>
      </c>
      <c r="B878" s="7">
        <v>6.75</v>
      </c>
      <c r="C878" s="11">
        <v>-1.0944565390944813E-4</v>
      </c>
      <c r="D878" s="11">
        <v>2.6920269702771296E-3</v>
      </c>
      <c r="E878" s="11">
        <v>-2.0739229161565641E-2</v>
      </c>
      <c r="F878" s="11">
        <v>7.9015240430281408E-2</v>
      </c>
      <c r="G878" s="3">
        <f t="shared" si="52"/>
        <v>3.0222911846248424E-2</v>
      </c>
      <c r="H878" s="11"/>
      <c r="I878" s="17"/>
      <c r="J878" s="18"/>
    </row>
    <row r="879" spans="1:10" x14ac:dyDescent="0.25">
      <c r="A879" s="11">
        <v>8.67</v>
      </c>
      <c r="B879" s="7">
        <v>6.75</v>
      </c>
      <c r="C879" s="11">
        <v>-1.0944565390944813E-4</v>
      </c>
      <c r="D879" s="11">
        <v>2.6920269702771296E-3</v>
      </c>
      <c r="E879" s="11">
        <v>-2.0739229161565641E-2</v>
      </c>
      <c r="F879" s="11">
        <v>7.9015240430281408E-2</v>
      </c>
      <c r="G879" s="3">
        <f t="shared" si="52"/>
        <v>3.0235525104857386E-2</v>
      </c>
      <c r="H879" s="11"/>
      <c r="I879" s="17"/>
      <c r="J879" s="18"/>
    </row>
    <row r="880" spans="1:10" x14ac:dyDescent="0.25">
      <c r="A880" s="11">
        <v>8.68</v>
      </c>
      <c r="B880" s="7">
        <v>6.75</v>
      </c>
      <c r="C880" s="11">
        <v>-1.0944565390944813E-4</v>
      </c>
      <c r="D880" s="11">
        <v>2.6920269702771296E-3</v>
      </c>
      <c r="E880" s="11">
        <v>-2.0739229161565641E-2</v>
      </c>
      <c r="F880" s="11">
        <v>7.9015240430281408E-2</v>
      </c>
      <c r="G880" s="3">
        <f t="shared" si="52"/>
        <v>3.0248107432568727E-2</v>
      </c>
      <c r="H880" s="11"/>
      <c r="I880" s="17"/>
      <c r="J880" s="18"/>
    </row>
    <row r="881" spans="1:10" x14ac:dyDescent="0.25">
      <c r="A881" s="11">
        <v>8.69</v>
      </c>
      <c r="B881" s="7">
        <v>6.75</v>
      </c>
      <c r="C881" s="11">
        <v>-1.0944565390944813E-4</v>
      </c>
      <c r="D881" s="11">
        <v>2.6920269702771296E-3</v>
      </c>
      <c r="E881" s="11">
        <v>-2.0739229161565641E-2</v>
      </c>
      <c r="F881" s="11">
        <v>7.9015240430281408E-2</v>
      </c>
      <c r="G881" s="3">
        <f t="shared" si="52"/>
        <v>3.0260658172708566E-2</v>
      </c>
      <c r="H881" s="11"/>
      <c r="I881" s="17"/>
      <c r="J881" s="18"/>
    </row>
    <row r="882" spans="1:10" x14ac:dyDescent="0.25">
      <c r="A882" s="11">
        <v>8.6999999999999993</v>
      </c>
      <c r="B882" s="7">
        <v>6.75</v>
      </c>
      <c r="C882" s="11">
        <v>-1.0944565390944813E-4</v>
      </c>
      <c r="D882" s="11">
        <v>2.6920269702771296E-3</v>
      </c>
      <c r="E882" s="11">
        <v>-2.0739229161565641E-2</v>
      </c>
      <c r="F882" s="11">
        <v>7.9015240430281408E-2</v>
      </c>
      <c r="G882" s="3">
        <f t="shared" si="52"/>
        <v>3.0273176668602936E-2</v>
      </c>
      <c r="H882" s="11"/>
      <c r="I882" s="17"/>
      <c r="J882" s="18"/>
    </row>
    <row r="883" spans="1:10" x14ac:dyDescent="0.25">
      <c r="A883" s="11">
        <v>8.7100000000000009</v>
      </c>
      <c r="B883" s="7">
        <v>6.75</v>
      </c>
      <c r="C883" s="11">
        <v>-1.0944565390944813E-4</v>
      </c>
      <c r="D883" s="11">
        <v>2.6920269702771296E-3</v>
      </c>
      <c r="E883" s="11">
        <v>-2.0739229161565641E-2</v>
      </c>
      <c r="F883" s="11">
        <v>7.9015240430281408E-2</v>
      </c>
      <c r="G883" s="3">
        <f t="shared" si="52"/>
        <v>3.0285662263577984E-2</v>
      </c>
      <c r="H883" s="11"/>
      <c r="I883" s="17"/>
      <c r="J883" s="18"/>
    </row>
    <row r="884" spans="1:10" x14ac:dyDescent="0.25">
      <c r="A884" s="11">
        <v>8.7200000000000006</v>
      </c>
      <c r="B884" s="7">
        <v>6.75</v>
      </c>
      <c r="C884" s="11">
        <v>-1.0944565390944813E-4</v>
      </c>
      <c r="D884" s="11">
        <v>2.6920269702771296E-3</v>
      </c>
      <c r="E884" s="11">
        <v>-2.0739229161565641E-2</v>
      </c>
      <c r="F884" s="11">
        <v>7.9015240430281408E-2</v>
      </c>
      <c r="G884" s="3">
        <f t="shared" si="52"/>
        <v>3.0298114300959772E-2</v>
      </c>
      <c r="H884" s="11"/>
      <c r="I884" s="17"/>
      <c r="J884" s="18"/>
    </row>
    <row r="885" spans="1:10" x14ac:dyDescent="0.25">
      <c r="A885" s="11">
        <v>8.73</v>
      </c>
      <c r="B885" s="7">
        <v>6.75</v>
      </c>
      <c r="C885" s="11">
        <v>-1.0944565390944813E-4</v>
      </c>
      <c r="D885" s="11">
        <v>2.6920269702771296E-3</v>
      </c>
      <c r="E885" s="11">
        <v>-2.0739229161565641E-2</v>
      </c>
      <c r="F885" s="11">
        <v>7.9015240430281408E-2</v>
      </c>
      <c r="G885" s="3">
        <f t="shared" si="52"/>
        <v>3.0310532124074363E-2</v>
      </c>
      <c r="H885" s="11"/>
      <c r="I885" s="17"/>
      <c r="J885" s="18"/>
    </row>
    <row r="886" spans="1:10" x14ac:dyDescent="0.25">
      <c r="A886" s="11">
        <v>8.74</v>
      </c>
      <c r="B886" s="7">
        <v>6.75</v>
      </c>
      <c r="C886" s="11">
        <v>-1.0944565390944813E-4</v>
      </c>
      <c r="D886" s="11">
        <v>2.6920269702771296E-3</v>
      </c>
      <c r="E886" s="11">
        <v>-2.0739229161565641E-2</v>
      </c>
      <c r="F886" s="11">
        <v>7.9015240430281408E-2</v>
      </c>
      <c r="G886" s="3">
        <f t="shared" si="52"/>
        <v>3.0322915076247792E-2</v>
      </c>
      <c r="H886" s="11"/>
      <c r="I886" s="17"/>
      <c r="J886" s="18"/>
    </row>
    <row r="887" spans="1:10" x14ac:dyDescent="0.25">
      <c r="A887" s="11">
        <v>8.75</v>
      </c>
      <c r="B887" s="7">
        <v>6.75</v>
      </c>
      <c r="C887" s="11">
        <v>-1.0944565390944813E-4</v>
      </c>
      <c r="D887" s="11">
        <v>2.6920269702771296E-3</v>
      </c>
      <c r="E887" s="11">
        <v>-2.0739229161565641E-2</v>
      </c>
      <c r="F887" s="11">
        <v>7.9015240430281408E-2</v>
      </c>
      <c r="G887" s="3">
        <f t="shared" si="52"/>
        <v>3.0335262500806204E-2</v>
      </c>
      <c r="H887" s="11"/>
      <c r="I887" s="17"/>
      <c r="J887" s="18"/>
    </row>
    <row r="888" spans="1:10" x14ac:dyDescent="0.25">
      <c r="A888" s="11">
        <v>8.76</v>
      </c>
      <c r="B888" s="7">
        <v>6.75</v>
      </c>
      <c r="C888" s="11">
        <v>-1.0944565390944813E-4</v>
      </c>
      <c r="D888" s="11">
        <v>2.6920269702771296E-3</v>
      </c>
      <c r="E888" s="11">
        <v>-2.0739229161565641E-2</v>
      </c>
      <c r="F888" s="11">
        <v>7.9015240430281408E-2</v>
      </c>
      <c r="G888" s="3">
        <f t="shared" si="52"/>
        <v>3.0347573741075662E-2</v>
      </c>
      <c r="H888" s="11"/>
      <c r="I888" s="17"/>
      <c r="J888" s="18"/>
    </row>
    <row r="889" spans="1:10" x14ac:dyDescent="0.25">
      <c r="A889" s="11">
        <v>8.77</v>
      </c>
      <c r="B889" s="7">
        <v>6.75</v>
      </c>
      <c r="C889" s="11">
        <v>-1.0944565390944813E-4</v>
      </c>
      <c r="D889" s="11">
        <v>2.6920269702771296E-3</v>
      </c>
      <c r="E889" s="11">
        <v>-2.0739229161565641E-2</v>
      </c>
      <c r="F889" s="11">
        <v>7.9015240430281408E-2</v>
      </c>
      <c r="G889" s="3">
        <f t="shared" si="52"/>
        <v>3.0359848140382201E-2</v>
      </c>
      <c r="H889" s="11"/>
      <c r="I889" s="17"/>
      <c r="J889" s="18"/>
    </row>
    <row r="890" spans="1:10" x14ac:dyDescent="0.25">
      <c r="A890" s="11">
        <v>8.7799999999999994</v>
      </c>
      <c r="B890" s="7">
        <v>6.75</v>
      </c>
      <c r="C890" s="11">
        <v>-1.0944565390944813E-4</v>
      </c>
      <c r="D890" s="11">
        <v>2.6920269702771296E-3</v>
      </c>
      <c r="E890" s="11">
        <v>-2.0739229161565641E-2</v>
      </c>
      <c r="F890" s="11">
        <v>7.9015240430281408E-2</v>
      </c>
      <c r="G890" s="3">
        <f t="shared" si="52"/>
        <v>3.0372085042051966E-2</v>
      </c>
      <c r="H890" s="11"/>
      <c r="I890" s="17"/>
      <c r="J890" s="18"/>
    </row>
    <row r="891" spans="1:10" x14ac:dyDescent="0.25">
      <c r="A891" s="11">
        <v>8.7899999999999991</v>
      </c>
      <c r="B891" s="7">
        <v>6.75</v>
      </c>
      <c r="C891" s="11">
        <v>-1.0944565390944813E-4</v>
      </c>
      <c r="D891" s="11">
        <v>2.6920269702771296E-3</v>
      </c>
      <c r="E891" s="11">
        <v>-2.0739229161565641E-2</v>
      </c>
      <c r="F891" s="11">
        <v>7.9015240430281408E-2</v>
      </c>
      <c r="G891" s="3">
        <f t="shared" si="52"/>
        <v>3.0384283789410937E-2</v>
      </c>
      <c r="H891" s="11"/>
      <c r="I891" s="17"/>
      <c r="J891" s="18"/>
    </row>
    <row r="892" spans="1:10" x14ac:dyDescent="0.25">
      <c r="A892" s="11">
        <v>8.8000000000000007</v>
      </c>
      <c r="B892" s="7">
        <v>6.75</v>
      </c>
      <c r="C892" s="11">
        <v>-1.0944565390944813E-4</v>
      </c>
      <c r="D892" s="11">
        <v>2.6920269702771296E-3</v>
      </c>
      <c r="E892" s="11">
        <v>-2.0739229161565641E-2</v>
      </c>
      <c r="F892" s="11">
        <v>7.9015240430281408E-2</v>
      </c>
      <c r="G892" s="3">
        <f t="shared" si="52"/>
        <v>3.039644372578526E-2</v>
      </c>
      <c r="H892" s="11"/>
      <c r="I892" s="17"/>
      <c r="J892" s="18"/>
    </row>
    <row r="893" spans="1:10" x14ac:dyDescent="0.25">
      <c r="A893" s="11">
        <v>8.81</v>
      </c>
      <c r="B893" s="7">
        <v>6.75</v>
      </c>
      <c r="C893" s="11">
        <v>-1.0944565390944813E-4</v>
      </c>
      <c r="D893" s="11">
        <v>2.6920269702771296E-3</v>
      </c>
      <c r="E893" s="11">
        <v>-2.0739229161565641E-2</v>
      </c>
      <c r="F893" s="11">
        <v>7.9015240430281408E-2</v>
      </c>
      <c r="G893" s="3">
        <f t="shared" si="52"/>
        <v>3.0408564194500998E-2</v>
      </c>
      <c r="H893" s="11"/>
      <c r="I893" s="17"/>
      <c r="J893" s="18"/>
    </row>
    <row r="894" spans="1:10" x14ac:dyDescent="0.25">
      <c r="A894" s="11">
        <v>8.82</v>
      </c>
      <c r="B894" s="7">
        <v>6.75</v>
      </c>
      <c r="C894" s="11">
        <v>-1.0944565390944813E-4</v>
      </c>
      <c r="D894" s="11">
        <v>2.6920269702771296E-3</v>
      </c>
      <c r="E894" s="11">
        <v>-2.0739229161565641E-2</v>
      </c>
      <c r="F894" s="11">
        <v>7.9015240430281408E-2</v>
      </c>
      <c r="G894" s="3">
        <f t="shared" si="52"/>
        <v>3.0420644538884212E-2</v>
      </c>
      <c r="H894" s="11"/>
      <c r="I894" s="17"/>
      <c r="J894" s="18"/>
    </row>
    <row r="895" spans="1:10" x14ac:dyDescent="0.25">
      <c r="A895" s="11">
        <v>8.83</v>
      </c>
      <c r="B895" s="7">
        <v>6.75</v>
      </c>
      <c r="C895" s="11">
        <v>-1.0944565390944813E-4</v>
      </c>
      <c r="D895" s="11">
        <v>2.6920269702771296E-3</v>
      </c>
      <c r="E895" s="11">
        <v>-2.0739229161565641E-2</v>
      </c>
      <c r="F895" s="11">
        <v>7.9015240430281408E-2</v>
      </c>
      <c r="G895" s="3">
        <f t="shared" si="52"/>
        <v>3.0432684102261021E-2</v>
      </c>
      <c r="H895" s="11"/>
      <c r="I895" s="17"/>
      <c r="J895" s="18"/>
    </row>
    <row r="896" spans="1:10" x14ac:dyDescent="0.25">
      <c r="A896" s="11">
        <v>8.84</v>
      </c>
      <c r="B896" s="7">
        <v>6.75</v>
      </c>
      <c r="C896" s="11">
        <v>-1.0944565390944813E-4</v>
      </c>
      <c r="D896" s="11">
        <v>2.6920269702771296E-3</v>
      </c>
      <c r="E896" s="11">
        <v>-2.0739229161565641E-2</v>
      </c>
      <c r="F896" s="11">
        <v>7.9015240430281408E-2</v>
      </c>
      <c r="G896" s="3">
        <f t="shared" si="52"/>
        <v>3.0444682227957487E-2</v>
      </c>
      <c r="H896" s="11"/>
      <c r="I896" s="17"/>
      <c r="J896" s="18"/>
    </row>
    <row r="897" spans="1:10" x14ac:dyDescent="0.25">
      <c r="A897" s="11">
        <v>8.85</v>
      </c>
      <c r="B897" s="7">
        <v>6.75</v>
      </c>
      <c r="C897" s="11">
        <v>-1.0944565390944813E-4</v>
      </c>
      <c r="D897" s="11">
        <v>2.6920269702771296E-3</v>
      </c>
      <c r="E897" s="11">
        <v>-2.0739229161565641E-2</v>
      </c>
      <c r="F897" s="11">
        <v>7.9015240430281408E-2</v>
      </c>
      <c r="G897" s="3">
        <f t="shared" si="52"/>
        <v>3.0456638259299618E-2</v>
      </c>
      <c r="H897" s="11"/>
      <c r="I897" s="17"/>
      <c r="J897" s="18"/>
    </row>
    <row r="898" spans="1:10" x14ac:dyDescent="0.25">
      <c r="A898" s="11">
        <v>8.86</v>
      </c>
      <c r="B898" s="7">
        <v>6.75</v>
      </c>
      <c r="C898" s="11">
        <v>-1.0944565390944813E-4</v>
      </c>
      <c r="D898" s="11">
        <v>2.6920269702771296E-3</v>
      </c>
      <c r="E898" s="11">
        <v>-2.0739229161565641E-2</v>
      </c>
      <c r="F898" s="11">
        <v>7.9015240430281408E-2</v>
      </c>
      <c r="G898" s="3">
        <f t="shared" si="52"/>
        <v>3.0468551539613559E-2</v>
      </c>
      <c r="H898" s="11"/>
      <c r="I898" s="17"/>
      <c r="J898" s="18"/>
    </row>
    <row r="899" spans="1:10" x14ac:dyDescent="0.25">
      <c r="A899" s="11">
        <v>8.8699999999999992</v>
      </c>
      <c r="B899" s="7">
        <v>6.75</v>
      </c>
      <c r="C899" s="11">
        <v>-1.0944565390944813E-4</v>
      </c>
      <c r="D899" s="11">
        <v>2.6920269702771296E-3</v>
      </c>
      <c r="E899" s="11">
        <v>-2.0739229161565641E-2</v>
      </c>
      <c r="F899" s="11">
        <v>7.9015240430281408E-2</v>
      </c>
      <c r="G899" s="3">
        <f t="shared" si="52"/>
        <v>3.0480421412225372E-2</v>
      </c>
      <c r="H899" s="11"/>
      <c r="I899" s="17"/>
      <c r="J899" s="18"/>
    </row>
    <row r="900" spans="1:10" x14ac:dyDescent="0.25">
      <c r="A900" s="11">
        <v>8.8800000000000008</v>
      </c>
      <c r="B900" s="7">
        <v>6.75</v>
      </c>
      <c r="C900" s="11">
        <v>-1.0944565390944813E-4</v>
      </c>
      <c r="D900" s="11">
        <v>2.6920269702771296E-3</v>
      </c>
      <c r="E900" s="11">
        <v>-2.0739229161565641E-2</v>
      </c>
      <c r="F900" s="11">
        <v>7.9015240430281408E-2</v>
      </c>
      <c r="G900" s="3">
        <f t="shared" si="52"/>
        <v>3.0492247220461205E-2</v>
      </c>
      <c r="H900" s="11"/>
      <c r="I900" s="17"/>
      <c r="J900" s="18"/>
    </row>
    <row r="901" spans="1:10" x14ac:dyDescent="0.25">
      <c r="A901" s="11">
        <v>8.89</v>
      </c>
      <c r="B901" s="7">
        <v>6.75</v>
      </c>
      <c r="C901" s="11">
        <v>-1.0944565390944813E-4</v>
      </c>
      <c r="D901" s="11">
        <v>2.6920269702771296E-3</v>
      </c>
      <c r="E901" s="11">
        <v>-2.0739229161565641E-2</v>
      </c>
      <c r="F901" s="11">
        <v>7.9015240430281408E-2</v>
      </c>
      <c r="G901" s="3">
        <f t="shared" si="52"/>
        <v>3.0504028307647008E-2</v>
      </c>
      <c r="H901" s="11"/>
      <c r="I901" s="17"/>
      <c r="J901" s="18"/>
    </row>
    <row r="902" spans="1:10" x14ac:dyDescent="0.25">
      <c r="A902" s="11">
        <v>8.9</v>
      </c>
      <c r="B902" s="7">
        <v>6.75</v>
      </c>
      <c r="C902" s="11">
        <v>-1.0944565390944813E-4</v>
      </c>
      <c r="D902" s="11">
        <v>2.6920269702771296E-3</v>
      </c>
      <c r="E902" s="11">
        <v>-2.0739229161565641E-2</v>
      </c>
      <c r="F902" s="11">
        <v>7.9015240430281408E-2</v>
      </c>
      <c r="G902" s="3">
        <f t="shared" si="52"/>
        <v>3.0515764017108926E-2</v>
      </c>
      <c r="H902" s="11"/>
      <c r="I902" s="17"/>
      <c r="J902" s="18"/>
    </row>
    <row r="903" spans="1:10" x14ac:dyDescent="0.25">
      <c r="A903" s="11">
        <v>8.91</v>
      </c>
      <c r="B903" s="7">
        <v>6.75</v>
      </c>
      <c r="C903" s="11">
        <v>-1.0944565390944813E-4</v>
      </c>
      <c r="D903" s="11">
        <v>2.6920269702771296E-3</v>
      </c>
      <c r="E903" s="11">
        <v>-2.0739229161565641E-2</v>
      </c>
      <c r="F903" s="11">
        <v>7.9015240430281408E-2</v>
      </c>
      <c r="G903" s="3">
        <f t="shared" si="52"/>
        <v>3.0527453692173023E-2</v>
      </c>
      <c r="H903" s="11"/>
      <c r="I903" s="17"/>
      <c r="J903" s="18"/>
    </row>
    <row r="904" spans="1:10" x14ac:dyDescent="0.25">
      <c r="A904" s="11">
        <v>8.92</v>
      </c>
      <c r="B904" s="7">
        <v>6.75</v>
      </c>
      <c r="C904" s="11">
        <v>-1.0944565390944813E-4</v>
      </c>
      <c r="D904" s="11">
        <v>2.6920269702771296E-3</v>
      </c>
      <c r="E904" s="11">
        <v>-2.0739229161565641E-2</v>
      </c>
      <c r="F904" s="11">
        <v>7.9015240430281408E-2</v>
      </c>
      <c r="G904" s="3">
        <f t="shared" si="52"/>
        <v>3.0539096676165306E-2</v>
      </c>
      <c r="H904" s="11"/>
      <c r="I904" s="17"/>
      <c r="J904" s="18"/>
    </row>
    <row r="905" spans="1:10" x14ac:dyDescent="0.25">
      <c r="A905" s="11">
        <v>8.93</v>
      </c>
      <c r="B905" s="7">
        <v>6.75</v>
      </c>
      <c r="C905" s="11">
        <v>-1.0944565390944813E-4</v>
      </c>
      <c r="D905" s="11">
        <v>2.6920269702771296E-3</v>
      </c>
      <c r="E905" s="11">
        <v>-2.0739229161565641E-2</v>
      </c>
      <c r="F905" s="11">
        <v>7.9015240430281408E-2</v>
      </c>
      <c r="G905" s="3">
        <f t="shared" si="52"/>
        <v>3.0550692312412003E-2</v>
      </c>
      <c r="H905" s="11"/>
      <c r="I905" s="17"/>
      <c r="J905" s="18"/>
    </row>
    <row r="906" spans="1:10" x14ac:dyDescent="0.25">
      <c r="A906" s="11">
        <v>8.94</v>
      </c>
      <c r="B906" s="7">
        <v>6.75</v>
      </c>
      <c r="C906" s="11">
        <v>-1.0944565390944813E-4</v>
      </c>
      <c r="D906" s="11">
        <v>2.6920269702771296E-3</v>
      </c>
      <c r="E906" s="11">
        <v>-2.0739229161565641E-2</v>
      </c>
      <c r="F906" s="11">
        <v>7.9015240430281408E-2</v>
      </c>
      <c r="G906" s="3">
        <f t="shared" si="52"/>
        <v>3.0562239944239095E-2</v>
      </c>
      <c r="H906" s="11"/>
      <c r="I906" s="17"/>
      <c r="J906" s="18"/>
    </row>
    <row r="907" spans="1:10" x14ac:dyDescent="0.25">
      <c r="A907" s="11">
        <v>8.9499999999999993</v>
      </c>
      <c r="B907" s="7">
        <v>6.75</v>
      </c>
      <c r="C907" s="11">
        <v>-1.0944565390944813E-4</v>
      </c>
      <c r="D907" s="11">
        <v>2.6920269702771296E-3</v>
      </c>
      <c r="E907" s="11">
        <v>-2.0739229161565641E-2</v>
      </c>
      <c r="F907" s="11">
        <v>7.9015240430281408E-2</v>
      </c>
      <c r="G907" s="3">
        <f t="shared" si="52"/>
        <v>3.057373891497267E-2</v>
      </c>
      <c r="H907" s="11"/>
      <c r="I907" s="17"/>
      <c r="J907" s="18"/>
    </row>
    <row r="908" spans="1:10" x14ac:dyDescent="0.25">
      <c r="A908" s="11">
        <v>8.9600000000000009</v>
      </c>
      <c r="B908" s="7">
        <v>6.75</v>
      </c>
      <c r="C908" s="11">
        <v>-1.0944565390944813E-4</v>
      </c>
      <c r="D908" s="11">
        <v>2.6920269702771296E-3</v>
      </c>
      <c r="E908" s="11">
        <v>-2.0739229161565641E-2</v>
      </c>
      <c r="F908" s="11">
        <v>7.9015240430281408E-2</v>
      </c>
      <c r="G908" s="3">
        <f t="shared" si="52"/>
        <v>3.0585188567938792E-2</v>
      </c>
      <c r="H908" s="11"/>
      <c r="I908" s="17"/>
      <c r="J908" s="18"/>
    </row>
    <row r="909" spans="1:10" x14ac:dyDescent="0.25">
      <c r="A909" s="11">
        <v>8.9700000000000006</v>
      </c>
      <c r="B909" s="7">
        <v>6.75</v>
      </c>
      <c r="C909" s="11">
        <v>-1.0944565390944813E-4</v>
      </c>
      <c r="D909" s="11">
        <v>2.6920269702771296E-3</v>
      </c>
      <c r="E909" s="11">
        <v>-2.0739229161565641E-2</v>
      </c>
      <c r="F909" s="11">
        <v>7.9015240430281408E-2</v>
      </c>
      <c r="G909" s="3">
        <f t="shared" ref="G909:G972" si="53">C909*A909^3 + D909*A909^2 + E909*A909 + F909</f>
        <v>3.0596588246463552E-2</v>
      </c>
      <c r="H909" s="11"/>
      <c r="I909" s="17"/>
      <c r="J909" s="18"/>
    </row>
    <row r="910" spans="1:10" x14ac:dyDescent="0.25">
      <c r="A910" s="11">
        <v>8.98</v>
      </c>
      <c r="B910" s="7">
        <v>6.75</v>
      </c>
      <c r="C910" s="11">
        <v>-1.0944565390944813E-4</v>
      </c>
      <c r="D910" s="11">
        <v>2.6920269702771296E-3</v>
      </c>
      <c r="E910" s="11">
        <v>-2.0739229161565641E-2</v>
      </c>
      <c r="F910" s="11">
        <v>7.9015240430281408E-2</v>
      </c>
      <c r="G910" s="3">
        <f t="shared" si="53"/>
        <v>3.0607937293873039E-2</v>
      </c>
      <c r="H910" s="11"/>
      <c r="I910" s="17"/>
      <c r="J910" s="18"/>
    </row>
    <row r="911" spans="1:10" x14ac:dyDescent="0.25">
      <c r="A911" s="11">
        <v>8.99</v>
      </c>
      <c r="B911" s="7">
        <v>6.75</v>
      </c>
      <c r="C911" s="11">
        <v>-1.0944565390944813E-4</v>
      </c>
      <c r="D911" s="11">
        <v>2.6920269702771296E-3</v>
      </c>
      <c r="E911" s="11">
        <v>-2.0739229161565641E-2</v>
      </c>
      <c r="F911" s="11">
        <v>7.9015240430281408E-2</v>
      </c>
      <c r="G911" s="3">
        <f t="shared" si="53"/>
        <v>3.0619235053493316E-2</v>
      </c>
      <c r="H911" s="11"/>
      <c r="I911" s="17"/>
      <c r="J911" s="18"/>
    </row>
    <row r="912" spans="1:10" x14ac:dyDescent="0.25">
      <c r="A912" s="11">
        <v>9</v>
      </c>
      <c r="B912" s="7">
        <v>6.75</v>
      </c>
      <c r="C912" s="11">
        <v>-1.0944565390944813E-4</v>
      </c>
      <c r="D912" s="11">
        <v>2.6920269702771296E-3</v>
      </c>
      <c r="E912" s="11">
        <v>-2.0739229161565641E-2</v>
      </c>
      <c r="F912" s="11">
        <v>7.9015240430281408E-2</v>
      </c>
      <c r="G912" s="3">
        <f t="shared" si="53"/>
        <v>3.0630480868650417E-2</v>
      </c>
      <c r="H912" s="11"/>
      <c r="I912" s="17"/>
      <c r="J912" s="18"/>
    </row>
    <row r="913" spans="1:10" x14ac:dyDescent="0.25">
      <c r="A913" s="11">
        <v>9.01</v>
      </c>
      <c r="B913" s="7">
        <v>6.75</v>
      </c>
      <c r="C913" s="11">
        <v>-1.0944565390944813E-4</v>
      </c>
      <c r="D913" s="11">
        <v>2.6920269702771296E-3</v>
      </c>
      <c r="E913" s="11">
        <v>-2.0739229161565641E-2</v>
      </c>
      <c r="F913" s="11">
        <v>7.9015240430281408E-2</v>
      </c>
      <c r="G913" s="3">
        <f t="shared" si="53"/>
        <v>3.0641674082670517E-2</v>
      </c>
      <c r="H913" s="11"/>
      <c r="I913" s="17"/>
      <c r="J913" s="18"/>
    </row>
    <row r="914" spans="1:10" x14ac:dyDescent="0.25">
      <c r="A914" s="11">
        <v>9.02</v>
      </c>
      <c r="B914" s="7">
        <v>6.75</v>
      </c>
      <c r="C914" s="11">
        <v>-1.0944565390944813E-4</v>
      </c>
      <c r="D914" s="11">
        <v>2.6920269702771296E-3</v>
      </c>
      <c r="E914" s="11">
        <v>-2.0739229161565641E-2</v>
      </c>
      <c r="F914" s="11">
        <v>7.9015240430281408E-2</v>
      </c>
      <c r="G914" s="3">
        <f t="shared" si="53"/>
        <v>3.0652814038879678E-2</v>
      </c>
      <c r="H914" s="11"/>
      <c r="I914" s="17"/>
      <c r="J914" s="18"/>
    </row>
    <row r="915" spans="1:10" x14ac:dyDescent="0.25">
      <c r="A915" s="11">
        <v>9.0299999999999994</v>
      </c>
      <c r="B915" s="7">
        <v>6.75</v>
      </c>
      <c r="C915" s="11">
        <v>-1.0944565390944813E-4</v>
      </c>
      <c r="D915" s="11">
        <v>2.6920269702771296E-3</v>
      </c>
      <c r="E915" s="11">
        <v>-2.0739229161565641E-2</v>
      </c>
      <c r="F915" s="11">
        <v>7.9015240430281408E-2</v>
      </c>
      <c r="G915" s="3">
        <f t="shared" si="53"/>
        <v>3.0663900080603851E-2</v>
      </c>
      <c r="H915" s="11"/>
      <c r="I915" s="17"/>
      <c r="J915" s="18"/>
    </row>
    <row r="916" spans="1:10" x14ac:dyDescent="0.25">
      <c r="A916" s="11">
        <v>9.0399999999999991</v>
      </c>
      <c r="B916" s="7">
        <v>6.75</v>
      </c>
      <c r="C916" s="11">
        <v>-1.0944565390944813E-4</v>
      </c>
      <c r="D916" s="11">
        <v>2.6920269702771296E-3</v>
      </c>
      <c r="E916" s="11">
        <v>-2.0739229161565641E-2</v>
      </c>
      <c r="F916" s="11">
        <v>7.9015240430281408E-2</v>
      </c>
      <c r="G916" s="3">
        <f t="shared" si="53"/>
        <v>3.0674931551169238E-2</v>
      </c>
      <c r="H916" s="11"/>
      <c r="I916" s="17"/>
      <c r="J916" s="18"/>
    </row>
    <row r="917" spans="1:10" x14ac:dyDescent="0.25">
      <c r="A917" s="11">
        <v>9.0500000000000007</v>
      </c>
      <c r="B917" s="7">
        <v>6.75</v>
      </c>
      <c r="C917" s="11">
        <v>-1.0944565390944813E-4</v>
      </c>
      <c r="D917" s="11">
        <v>2.6920269702771296E-3</v>
      </c>
      <c r="E917" s="11">
        <v>-2.0739229161565641E-2</v>
      </c>
      <c r="F917" s="11">
        <v>7.9015240430281408E-2</v>
      </c>
      <c r="G917" s="3">
        <f t="shared" si="53"/>
        <v>3.0685907793901845E-2</v>
      </c>
      <c r="H917" s="11"/>
      <c r="I917" s="17"/>
      <c r="J917" s="18"/>
    </row>
    <row r="918" spans="1:10" x14ac:dyDescent="0.25">
      <c r="A918" s="11">
        <v>9.06</v>
      </c>
      <c r="B918" s="7">
        <v>6.75</v>
      </c>
      <c r="C918" s="11">
        <v>-1.0944565390944813E-4</v>
      </c>
      <c r="D918" s="11">
        <v>2.6920269702771296E-3</v>
      </c>
      <c r="E918" s="11">
        <v>-2.0739229161565641E-2</v>
      </c>
      <c r="F918" s="11">
        <v>7.9015240430281408E-2</v>
      </c>
      <c r="G918" s="3">
        <f t="shared" si="53"/>
        <v>3.0696828152127792E-2</v>
      </c>
      <c r="H918" s="11"/>
      <c r="I918" s="17"/>
      <c r="J918" s="18"/>
    </row>
    <row r="919" spans="1:10" x14ac:dyDescent="0.25">
      <c r="A919" s="11">
        <v>9.07</v>
      </c>
      <c r="B919" s="7">
        <v>6.75</v>
      </c>
      <c r="C919" s="11">
        <v>-1.0944565390944813E-4</v>
      </c>
      <c r="D919" s="11">
        <v>2.6920269702771296E-3</v>
      </c>
      <c r="E919" s="11">
        <v>-2.0739229161565641E-2</v>
      </c>
      <c r="F919" s="11">
        <v>7.9015240430281408E-2</v>
      </c>
      <c r="G919" s="3">
        <f t="shared" si="53"/>
        <v>3.0707691969173195E-2</v>
      </c>
      <c r="H919" s="11"/>
      <c r="I919" s="17"/>
      <c r="J919" s="18"/>
    </row>
    <row r="920" spans="1:10" x14ac:dyDescent="0.25">
      <c r="A920" s="11">
        <v>9.08</v>
      </c>
      <c r="B920" s="7">
        <v>6.75</v>
      </c>
      <c r="C920" s="11">
        <v>-1.0944565390944813E-4</v>
      </c>
      <c r="D920" s="11">
        <v>2.6920269702771296E-3</v>
      </c>
      <c r="E920" s="11">
        <v>-2.0739229161565641E-2</v>
      </c>
      <c r="F920" s="11">
        <v>7.9015240430281408E-2</v>
      </c>
      <c r="G920" s="3">
        <f t="shared" si="53"/>
        <v>3.0718498588364007E-2</v>
      </c>
      <c r="H920" s="11"/>
      <c r="I920" s="17"/>
      <c r="J920" s="18"/>
    </row>
    <row r="921" spans="1:10" x14ac:dyDescent="0.25">
      <c r="A921" s="11">
        <v>9.09</v>
      </c>
      <c r="B921" s="7">
        <v>6.75</v>
      </c>
      <c r="C921" s="11">
        <v>-1.0944565390944813E-4</v>
      </c>
      <c r="D921" s="11">
        <v>2.6920269702771296E-3</v>
      </c>
      <c r="E921" s="11">
        <v>-2.0739229161565641E-2</v>
      </c>
      <c r="F921" s="11">
        <v>7.9015240430281408E-2</v>
      </c>
      <c r="G921" s="3">
        <f t="shared" si="53"/>
        <v>3.0729247353026429E-2</v>
      </c>
      <c r="H921" s="11"/>
      <c r="I921" s="17"/>
      <c r="J921" s="18"/>
    </row>
    <row r="922" spans="1:10" x14ac:dyDescent="0.25">
      <c r="A922" s="11">
        <v>9.1</v>
      </c>
      <c r="B922" s="7">
        <v>6.75</v>
      </c>
      <c r="C922" s="11">
        <v>-1.0944565390944813E-4</v>
      </c>
      <c r="D922" s="11">
        <v>2.6920269702771296E-3</v>
      </c>
      <c r="E922" s="11">
        <v>-2.0739229161565641E-2</v>
      </c>
      <c r="F922" s="11">
        <v>7.9015240430281408E-2</v>
      </c>
      <c r="G922" s="3">
        <f t="shared" si="53"/>
        <v>3.0739937606486439E-2</v>
      </c>
      <c r="H922" s="11"/>
      <c r="I922" s="17"/>
      <c r="J922" s="18"/>
    </row>
    <row r="923" spans="1:10" x14ac:dyDescent="0.25">
      <c r="A923" s="11">
        <v>9.11</v>
      </c>
      <c r="B923" s="7">
        <v>6.75</v>
      </c>
      <c r="C923" s="11">
        <v>-1.0944565390944813E-4</v>
      </c>
      <c r="D923" s="11">
        <v>2.6920269702771296E-3</v>
      </c>
      <c r="E923" s="11">
        <v>-2.0739229161565641E-2</v>
      </c>
      <c r="F923" s="11">
        <v>7.9015240430281408E-2</v>
      </c>
      <c r="G923" s="3">
        <f t="shared" si="53"/>
        <v>3.0750568692070185E-2</v>
      </c>
      <c r="H923" s="11"/>
      <c r="I923" s="17"/>
      <c r="J923" s="18"/>
    </row>
    <row r="924" spans="1:10" x14ac:dyDescent="0.25">
      <c r="A924" s="11">
        <v>9.1199999999999992</v>
      </c>
      <c r="B924" s="7">
        <v>6.75</v>
      </c>
      <c r="C924" s="11">
        <v>-1.0944565390944813E-4</v>
      </c>
      <c r="D924" s="11">
        <v>2.6920269702771296E-3</v>
      </c>
      <c r="E924" s="11">
        <v>-2.0739229161565641E-2</v>
      </c>
      <c r="F924" s="11">
        <v>7.9015240430281408E-2</v>
      </c>
      <c r="G924" s="3">
        <f t="shared" si="53"/>
        <v>3.0761139953103728E-2</v>
      </c>
      <c r="H924" s="11"/>
      <c r="I924" s="17"/>
      <c r="J924" s="18"/>
    </row>
    <row r="925" spans="1:10" x14ac:dyDescent="0.25">
      <c r="A925" s="11">
        <v>9.1300000000000008</v>
      </c>
      <c r="B925" s="7">
        <v>6.75</v>
      </c>
      <c r="C925" s="11">
        <v>-1.0944565390944813E-4</v>
      </c>
      <c r="D925" s="11">
        <v>2.6920269702771296E-3</v>
      </c>
      <c r="E925" s="11">
        <v>-2.0739229161565641E-2</v>
      </c>
      <c r="F925" s="11">
        <v>7.9015240430281408E-2</v>
      </c>
      <c r="G925" s="3">
        <f t="shared" si="53"/>
        <v>3.0771650732913075E-2</v>
      </c>
      <c r="H925" s="11"/>
      <c r="I925" s="17"/>
      <c r="J925" s="18"/>
    </row>
    <row r="926" spans="1:10" x14ac:dyDescent="0.25">
      <c r="A926" s="11">
        <v>9.14</v>
      </c>
      <c r="B926" s="7">
        <v>6.75</v>
      </c>
      <c r="C926" s="11">
        <v>-1.0944565390944813E-4</v>
      </c>
      <c r="D926" s="11">
        <v>2.6920269702771296E-3</v>
      </c>
      <c r="E926" s="11">
        <v>-2.0739229161565641E-2</v>
      </c>
      <c r="F926" s="11">
        <v>7.9015240430281408E-2</v>
      </c>
      <c r="G926" s="3">
        <f t="shared" si="53"/>
        <v>3.07821003748244E-2</v>
      </c>
      <c r="H926" s="11"/>
      <c r="I926" s="17"/>
      <c r="J926" s="18"/>
    </row>
    <row r="927" spans="1:10" x14ac:dyDescent="0.25">
      <c r="A927" s="11">
        <v>9.15</v>
      </c>
      <c r="B927" s="7">
        <v>6.75</v>
      </c>
      <c r="C927" s="11">
        <v>-1.0944565390944813E-4</v>
      </c>
      <c r="D927" s="11">
        <v>2.6920269702771296E-3</v>
      </c>
      <c r="E927" s="11">
        <v>-2.0739229161565641E-2</v>
      </c>
      <c r="F927" s="11">
        <v>7.9015240430281408E-2</v>
      </c>
      <c r="G927" s="3">
        <f t="shared" si="53"/>
        <v>3.0792488222163794E-2</v>
      </c>
      <c r="H927" s="11"/>
      <c r="I927" s="17"/>
      <c r="J927" s="18"/>
    </row>
    <row r="928" spans="1:10" x14ac:dyDescent="0.25">
      <c r="A928" s="11">
        <v>9.16</v>
      </c>
      <c r="B928" s="7">
        <v>6.75</v>
      </c>
      <c r="C928" s="11">
        <v>-1.0944565390944813E-4</v>
      </c>
      <c r="D928" s="11">
        <v>2.6920269702771296E-3</v>
      </c>
      <c r="E928" s="11">
        <v>-2.0739229161565641E-2</v>
      </c>
      <c r="F928" s="11">
        <v>7.9015240430281408E-2</v>
      </c>
      <c r="G928" s="3">
        <f t="shared" si="53"/>
        <v>3.0802813618257235E-2</v>
      </c>
      <c r="H928" s="11"/>
      <c r="I928" s="17"/>
      <c r="J928" s="18"/>
    </row>
    <row r="929" spans="1:10" x14ac:dyDescent="0.25">
      <c r="A929" s="11">
        <v>9.17</v>
      </c>
      <c r="B929" s="7">
        <v>6.75</v>
      </c>
      <c r="C929" s="11">
        <v>-1.0944565390944813E-4</v>
      </c>
      <c r="D929" s="11">
        <v>2.6920269702771296E-3</v>
      </c>
      <c r="E929" s="11">
        <v>-2.0739229161565641E-2</v>
      </c>
      <c r="F929" s="11">
        <v>7.9015240430281408E-2</v>
      </c>
      <c r="G929" s="3">
        <f t="shared" si="53"/>
        <v>3.0813075906430815E-2</v>
      </c>
      <c r="H929" s="11"/>
      <c r="I929" s="17"/>
      <c r="J929" s="18"/>
    </row>
    <row r="930" spans="1:10" x14ac:dyDescent="0.25">
      <c r="A930" s="11">
        <v>9.18</v>
      </c>
      <c r="B930" s="7">
        <v>6.75</v>
      </c>
      <c r="C930" s="11">
        <v>-1.0944565390944813E-4</v>
      </c>
      <c r="D930" s="11">
        <v>2.6920269702771296E-3</v>
      </c>
      <c r="E930" s="11">
        <v>-2.0739229161565641E-2</v>
      </c>
      <c r="F930" s="11">
        <v>7.9015240430281408E-2</v>
      </c>
      <c r="G930" s="3">
        <f t="shared" si="53"/>
        <v>3.0823274430010678E-2</v>
      </c>
      <c r="H930" s="11"/>
      <c r="I930" s="17"/>
      <c r="J930" s="18"/>
    </row>
    <row r="931" spans="1:10" x14ac:dyDescent="0.25">
      <c r="A931" s="11">
        <v>9.19</v>
      </c>
      <c r="B931" s="7">
        <v>6.75</v>
      </c>
      <c r="C931" s="11">
        <v>-1.0944565390944813E-4</v>
      </c>
      <c r="D931" s="11">
        <v>2.6920269702771296E-3</v>
      </c>
      <c r="E931" s="11">
        <v>-2.0739229161565641E-2</v>
      </c>
      <c r="F931" s="11">
        <v>7.9015240430281408E-2</v>
      </c>
      <c r="G931" s="3">
        <f t="shared" si="53"/>
        <v>3.0833408532322859E-2</v>
      </c>
      <c r="H931" s="11"/>
      <c r="I931" s="17"/>
      <c r="J931" s="18"/>
    </row>
    <row r="932" spans="1:10" x14ac:dyDescent="0.25">
      <c r="A932" s="11">
        <v>9.1999999999999993</v>
      </c>
      <c r="B932" s="7">
        <v>6.75</v>
      </c>
      <c r="C932" s="11">
        <v>-1.0944565390944813E-4</v>
      </c>
      <c r="D932" s="11">
        <v>2.6920269702771296E-3</v>
      </c>
      <c r="E932" s="11">
        <v>-2.0739229161565641E-2</v>
      </c>
      <c r="F932" s="11">
        <v>7.9015240430281408E-2</v>
      </c>
      <c r="G932" s="3">
        <f t="shared" si="53"/>
        <v>3.0843477556693422E-2</v>
      </c>
      <c r="H932" s="11"/>
      <c r="I932" s="17"/>
      <c r="J932" s="18"/>
    </row>
    <row r="933" spans="1:10" x14ac:dyDescent="0.25">
      <c r="A933" s="11">
        <v>9.2100000000000009</v>
      </c>
      <c r="B933" s="7">
        <v>6.75</v>
      </c>
      <c r="C933" s="11">
        <v>-1.0944565390944813E-4</v>
      </c>
      <c r="D933" s="11">
        <v>2.6920269702771296E-3</v>
      </c>
      <c r="E933" s="11">
        <v>-2.0739229161565641E-2</v>
      </c>
      <c r="F933" s="11">
        <v>7.9015240430281408E-2</v>
      </c>
      <c r="G933" s="3">
        <f t="shared" si="53"/>
        <v>3.0853480846448456E-2</v>
      </c>
      <c r="H933" s="11"/>
      <c r="I933" s="17"/>
      <c r="J933" s="18"/>
    </row>
    <row r="934" spans="1:10" x14ac:dyDescent="0.25">
      <c r="A934" s="11">
        <v>9.2200000000000006</v>
      </c>
      <c r="B934" s="7">
        <v>6.75</v>
      </c>
      <c r="C934" s="11">
        <v>-1.0944565390944813E-4</v>
      </c>
      <c r="D934" s="11">
        <v>2.6920269702771296E-3</v>
      </c>
      <c r="E934" s="11">
        <v>-2.0739229161565641E-2</v>
      </c>
      <c r="F934" s="11">
        <v>7.9015240430281408E-2</v>
      </c>
      <c r="G934" s="3">
        <f t="shared" si="53"/>
        <v>3.0863417744914051E-2</v>
      </c>
      <c r="H934" s="11"/>
      <c r="I934" s="17"/>
      <c r="J934" s="18"/>
    </row>
    <row r="935" spans="1:10" x14ac:dyDescent="0.25">
      <c r="A935" s="11">
        <v>9.23</v>
      </c>
      <c r="B935" s="7">
        <v>6.75</v>
      </c>
      <c r="C935" s="11">
        <v>-1.0944565390944813E-4</v>
      </c>
      <c r="D935" s="11">
        <v>2.6920269702771296E-3</v>
      </c>
      <c r="E935" s="11">
        <v>-2.0739229161565641E-2</v>
      </c>
      <c r="F935" s="11">
        <v>7.9015240430281408E-2</v>
      </c>
      <c r="G935" s="3">
        <f t="shared" si="53"/>
        <v>3.0873287595416271E-2</v>
      </c>
      <c r="H935" s="11"/>
      <c r="I935" s="17"/>
      <c r="J935" s="18"/>
    </row>
    <row r="936" spans="1:10" x14ac:dyDescent="0.25">
      <c r="A936" s="11">
        <v>9.24</v>
      </c>
      <c r="B936" s="7">
        <v>6.75</v>
      </c>
      <c r="C936" s="11">
        <v>-1.0944565390944813E-4</v>
      </c>
      <c r="D936" s="11">
        <v>2.6920269702771296E-3</v>
      </c>
      <c r="E936" s="11">
        <v>-2.0739229161565641E-2</v>
      </c>
      <c r="F936" s="11">
        <v>7.9015240430281408E-2</v>
      </c>
      <c r="G936" s="3">
        <f t="shared" si="53"/>
        <v>3.0883089741281233E-2</v>
      </c>
      <c r="H936" s="11"/>
      <c r="I936" s="17"/>
      <c r="J936" s="18"/>
    </row>
    <row r="937" spans="1:10" x14ac:dyDescent="0.25">
      <c r="A937" s="11">
        <v>9.25</v>
      </c>
      <c r="B937" s="7">
        <v>6.75</v>
      </c>
      <c r="C937" s="11">
        <v>-1.0944565390944813E-4</v>
      </c>
      <c r="D937" s="11">
        <v>2.6920269702771296E-3</v>
      </c>
      <c r="E937" s="11">
        <v>-2.0739229161565641E-2</v>
      </c>
      <c r="F937" s="11">
        <v>7.9015240430281408E-2</v>
      </c>
      <c r="G937" s="3">
        <f t="shared" si="53"/>
        <v>3.0892823525834973E-2</v>
      </c>
      <c r="H937" s="11"/>
      <c r="I937" s="17"/>
      <c r="J937" s="18"/>
    </row>
    <row r="938" spans="1:10" x14ac:dyDescent="0.25">
      <c r="A938" s="11">
        <v>9.26</v>
      </c>
      <c r="B938" s="7">
        <v>6.75</v>
      </c>
      <c r="C938" s="11">
        <v>-1.0944565390944813E-4</v>
      </c>
      <c r="D938" s="11">
        <v>2.6920269702771296E-3</v>
      </c>
      <c r="E938" s="11">
        <v>-2.0739229161565641E-2</v>
      </c>
      <c r="F938" s="11">
        <v>7.9015240430281408E-2</v>
      </c>
      <c r="G938" s="3">
        <f t="shared" si="53"/>
        <v>3.0902488292403496E-2</v>
      </c>
      <c r="H938" s="11"/>
      <c r="I938" s="17"/>
      <c r="J938" s="18"/>
    </row>
    <row r="939" spans="1:10" x14ac:dyDescent="0.25">
      <c r="A939" s="11">
        <v>9.27</v>
      </c>
      <c r="B939" s="7">
        <v>6.75</v>
      </c>
      <c r="C939" s="11">
        <v>-1.0944565390944813E-4</v>
      </c>
      <c r="D939" s="11">
        <v>2.6920269702771296E-3</v>
      </c>
      <c r="E939" s="11">
        <v>-2.0739229161565641E-2</v>
      </c>
      <c r="F939" s="11">
        <v>7.9015240430281408E-2</v>
      </c>
      <c r="G939" s="3">
        <f t="shared" si="53"/>
        <v>3.0912083384313005E-2</v>
      </c>
      <c r="H939" s="11"/>
      <c r="I939" s="17"/>
      <c r="J939" s="18"/>
    </row>
    <row r="940" spans="1:10" x14ac:dyDescent="0.25">
      <c r="A940" s="11">
        <v>9.2799999999999994</v>
      </c>
      <c r="B940" s="7">
        <v>6.75</v>
      </c>
      <c r="C940" s="11">
        <v>-1.0944565390944813E-4</v>
      </c>
      <c r="D940" s="11">
        <v>2.6920269702771296E-3</v>
      </c>
      <c r="E940" s="11">
        <v>-2.0739229161565641E-2</v>
      </c>
      <c r="F940" s="11">
        <v>7.9015240430281408E-2</v>
      </c>
      <c r="G940" s="3">
        <f t="shared" si="53"/>
        <v>3.0921608144889534E-2</v>
      </c>
      <c r="H940" s="11"/>
      <c r="I940" s="17"/>
      <c r="J940" s="18"/>
    </row>
    <row r="941" spans="1:10" x14ac:dyDescent="0.25">
      <c r="A941" s="11">
        <v>9.2899999999999991</v>
      </c>
      <c r="B941" s="7">
        <v>6.75</v>
      </c>
      <c r="C941" s="11">
        <v>-1.0944565390944813E-4</v>
      </c>
      <c r="D941" s="11">
        <v>2.6920269702771296E-3</v>
      </c>
      <c r="E941" s="11">
        <v>-2.0739229161565641E-2</v>
      </c>
      <c r="F941" s="11">
        <v>7.9015240430281408E-2</v>
      </c>
      <c r="G941" s="3">
        <f t="shared" si="53"/>
        <v>3.0931061917459146E-2</v>
      </c>
      <c r="H941" s="11"/>
      <c r="I941" s="17"/>
      <c r="J941" s="18"/>
    </row>
    <row r="942" spans="1:10" x14ac:dyDescent="0.25">
      <c r="A942" s="11">
        <v>9.3000000000000007</v>
      </c>
      <c r="B942" s="7">
        <v>6.75</v>
      </c>
      <c r="C942" s="11">
        <v>-1.0944565390944813E-4</v>
      </c>
      <c r="D942" s="11">
        <v>2.6920269702771296E-3</v>
      </c>
      <c r="E942" s="11">
        <v>-2.0739229161565641E-2</v>
      </c>
      <c r="F942" s="11">
        <v>7.9015240430281408E-2</v>
      </c>
      <c r="G942" s="3">
        <f t="shared" si="53"/>
        <v>3.0940444045347931E-2</v>
      </c>
      <c r="H942" s="11"/>
      <c r="I942" s="17"/>
      <c r="J942" s="18"/>
    </row>
    <row r="943" spans="1:10" x14ac:dyDescent="0.25">
      <c r="A943" s="11">
        <v>9.31</v>
      </c>
      <c r="B943" s="7">
        <v>6.75</v>
      </c>
      <c r="C943" s="11">
        <v>-1.0944565390944813E-4</v>
      </c>
      <c r="D943" s="11">
        <v>2.6920269702771296E-3</v>
      </c>
      <c r="E943" s="11">
        <v>-2.0739229161565641E-2</v>
      </c>
      <c r="F943" s="11">
        <v>7.9015240430281408E-2</v>
      </c>
      <c r="G943" s="3">
        <f t="shared" si="53"/>
        <v>3.0949753871881924E-2</v>
      </c>
      <c r="H943" s="11"/>
      <c r="I943" s="17"/>
      <c r="J943" s="18"/>
    </row>
    <row r="944" spans="1:10" x14ac:dyDescent="0.25">
      <c r="A944" s="11">
        <v>9.32</v>
      </c>
      <c r="B944" s="7">
        <v>6.75</v>
      </c>
      <c r="C944" s="11">
        <v>-1.0944565390944813E-4</v>
      </c>
      <c r="D944" s="11">
        <v>2.6920269702771296E-3</v>
      </c>
      <c r="E944" s="11">
        <v>-2.0739229161565641E-2</v>
      </c>
      <c r="F944" s="11">
        <v>7.9015240430281408E-2</v>
      </c>
      <c r="G944" s="3">
        <f t="shared" si="53"/>
        <v>3.0958990740387271E-2</v>
      </c>
      <c r="H944" s="11"/>
      <c r="I944" s="17"/>
      <c r="J944" s="18"/>
    </row>
    <row r="945" spans="1:10" x14ac:dyDescent="0.25">
      <c r="A945" s="11">
        <v>9.33</v>
      </c>
      <c r="B945" s="7">
        <v>6.75</v>
      </c>
      <c r="C945" s="11">
        <v>-1.0944565390944813E-4</v>
      </c>
      <c r="D945" s="11">
        <v>2.6920269702771296E-3</v>
      </c>
      <c r="E945" s="11">
        <v>-2.0739229161565641E-2</v>
      </c>
      <c r="F945" s="11">
        <v>7.9015240430281408E-2</v>
      </c>
      <c r="G945" s="3">
        <f t="shared" si="53"/>
        <v>3.0968153994189979E-2</v>
      </c>
      <c r="H945" s="11"/>
      <c r="I945" s="17"/>
      <c r="J945" s="18"/>
    </row>
    <row r="946" spans="1:10" x14ac:dyDescent="0.25">
      <c r="A946" s="11">
        <v>9.34</v>
      </c>
      <c r="B946" s="7">
        <v>6.75</v>
      </c>
      <c r="C946" s="11">
        <v>-1.0944565390944813E-4</v>
      </c>
      <c r="D946" s="11">
        <v>2.6920269702771296E-3</v>
      </c>
      <c r="E946" s="11">
        <v>-2.0739229161565641E-2</v>
      </c>
      <c r="F946" s="11">
        <v>7.9015240430281408E-2</v>
      </c>
      <c r="G946" s="3">
        <f t="shared" si="53"/>
        <v>3.0977242976616137E-2</v>
      </c>
      <c r="H946" s="11"/>
      <c r="I946" s="17"/>
      <c r="J946" s="18"/>
    </row>
    <row r="947" spans="1:10" x14ac:dyDescent="0.25">
      <c r="A947" s="11">
        <v>9.35</v>
      </c>
      <c r="B947" s="7">
        <v>6.75</v>
      </c>
      <c r="C947" s="11">
        <v>-1.0944565390944813E-4</v>
      </c>
      <c r="D947" s="11">
        <v>2.6920269702771296E-3</v>
      </c>
      <c r="E947" s="11">
        <v>-2.0739229161565641E-2</v>
      </c>
      <c r="F947" s="11">
        <v>7.9015240430281408E-2</v>
      </c>
      <c r="G947" s="3">
        <f t="shared" si="53"/>
        <v>3.0986257030991893E-2</v>
      </c>
      <c r="H947" s="11"/>
      <c r="I947" s="17"/>
      <c r="J947" s="18"/>
    </row>
    <row r="948" spans="1:10" x14ac:dyDescent="0.25">
      <c r="A948" s="11">
        <v>9.36</v>
      </c>
      <c r="B948" s="7">
        <v>6.75</v>
      </c>
      <c r="C948" s="11">
        <v>-1.0944565390944813E-4</v>
      </c>
      <c r="D948" s="11">
        <v>2.6920269702771296E-3</v>
      </c>
      <c r="E948" s="11">
        <v>-2.0739229161565641E-2</v>
      </c>
      <c r="F948" s="11">
        <v>7.9015240430281408E-2</v>
      </c>
      <c r="G948" s="3">
        <f t="shared" si="53"/>
        <v>3.0995195500643252E-2</v>
      </c>
      <c r="H948" s="11"/>
      <c r="I948" s="17"/>
      <c r="J948" s="18"/>
    </row>
    <row r="949" spans="1:10" x14ac:dyDescent="0.25">
      <c r="A949" s="11">
        <v>9.3699999999999992</v>
      </c>
      <c r="B949" s="7">
        <v>6.75</v>
      </c>
      <c r="C949" s="11">
        <v>-1.0944565390944813E-4</v>
      </c>
      <c r="D949" s="11">
        <v>2.6920269702771296E-3</v>
      </c>
      <c r="E949" s="11">
        <v>-2.0739229161565641E-2</v>
      </c>
      <c r="F949" s="11">
        <v>7.9015240430281408E-2</v>
      </c>
      <c r="G949" s="3">
        <f t="shared" si="53"/>
        <v>3.1004057728896361E-2</v>
      </c>
      <c r="H949" s="11"/>
      <c r="I949" s="17"/>
      <c r="J949" s="18"/>
    </row>
    <row r="950" spans="1:10" x14ac:dyDescent="0.25">
      <c r="A950" s="11">
        <v>9.3800000000000008</v>
      </c>
      <c r="B950" s="7">
        <v>6.75</v>
      </c>
      <c r="C950" s="11">
        <v>-1.0944565390944813E-4</v>
      </c>
      <c r="D950" s="11">
        <v>2.6920269702771296E-3</v>
      </c>
      <c r="E950" s="11">
        <v>-2.0739229161565641E-2</v>
      </c>
      <c r="F950" s="11">
        <v>7.9015240430281408E-2</v>
      </c>
      <c r="G950" s="3">
        <f t="shared" si="53"/>
        <v>3.1012843059077172E-2</v>
      </c>
      <c r="H950" s="11"/>
      <c r="I950" s="17"/>
      <c r="J950" s="18"/>
    </row>
    <row r="951" spans="1:10" x14ac:dyDescent="0.25">
      <c r="A951" s="11">
        <v>9.39</v>
      </c>
      <c r="B951" s="7">
        <v>6.75</v>
      </c>
      <c r="C951" s="11">
        <v>-1.0944565390944813E-4</v>
      </c>
      <c r="D951" s="11">
        <v>2.6920269702771296E-3</v>
      </c>
      <c r="E951" s="11">
        <v>-2.0739229161565641E-2</v>
      </c>
      <c r="F951" s="11">
        <v>7.9015240430281408E-2</v>
      </c>
      <c r="G951" s="3">
        <f t="shared" si="53"/>
        <v>3.1021550834511857E-2</v>
      </c>
      <c r="H951" s="11"/>
      <c r="I951" s="17"/>
      <c r="J951" s="18"/>
    </row>
    <row r="952" spans="1:10" x14ac:dyDescent="0.25">
      <c r="A952" s="11">
        <v>9.4</v>
      </c>
      <c r="B952" s="7">
        <v>6.75</v>
      </c>
      <c r="C952" s="11">
        <v>-1.0944565390944813E-4</v>
      </c>
      <c r="D952" s="11">
        <v>2.6920269702771296E-3</v>
      </c>
      <c r="E952" s="11">
        <v>-2.0739229161565641E-2</v>
      </c>
      <c r="F952" s="11">
        <v>7.9015240430281408E-2</v>
      </c>
      <c r="G952" s="3">
        <f t="shared" si="53"/>
        <v>3.103018039852648E-2</v>
      </c>
      <c r="H952" s="11"/>
      <c r="I952" s="17"/>
      <c r="J952" s="18"/>
    </row>
    <row r="953" spans="1:10" x14ac:dyDescent="0.25">
      <c r="A953" s="11">
        <v>9.41</v>
      </c>
      <c r="B953" s="7">
        <v>6.75</v>
      </c>
      <c r="C953" s="11">
        <v>-1.0944565390944813E-4</v>
      </c>
      <c r="D953" s="11">
        <v>2.6920269702771296E-3</v>
      </c>
      <c r="E953" s="11">
        <v>-2.0739229161565641E-2</v>
      </c>
      <c r="F953" s="11">
        <v>7.9015240430281408E-2</v>
      </c>
      <c r="G953" s="3">
        <f t="shared" si="53"/>
        <v>3.1038731094447103E-2</v>
      </c>
      <c r="H953" s="11"/>
      <c r="I953" s="17"/>
      <c r="J953" s="18"/>
    </row>
    <row r="954" spans="1:10" x14ac:dyDescent="0.25">
      <c r="A954" s="11">
        <v>9.42</v>
      </c>
      <c r="B954" s="7">
        <v>6.75</v>
      </c>
      <c r="C954" s="11">
        <v>-1.0944565390944813E-4</v>
      </c>
      <c r="D954" s="11">
        <v>2.6920269702771296E-3</v>
      </c>
      <c r="E954" s="11">
        <v>-2.0739229161565641E-2</v>
      </c>
      <c r="F954" s="11">
        <v>7.9015240430281408E-2</v>
      </c>
      <c r="G954" s="3">
        <f t="shared" si="53"/>
        <v>3.1047202265599844E-2</v>
      </c>
      <c r="H954" s="11"/>
      <c r="I954" s="17"/>
      <c r="J954" s="18"/>
    </row>
    <row r="955" spans="1:10" x14ac:dyDescent="0.25">
      <c r="A955" s="11">
        <v>9.43</v>
      </c>
      <c r="B955" s="7">
        <v>6.75</v>
      </c>
      <c r="C955" s="11">
        <v>-1.0944565390944813E-4</v>
      </c>
      <c r="D955" s="11">
        <v>2.6920269702771296E-3</v>
      </c>
      <c r="E955" s="11">
        <v>-2.0739229161565641E-2</v>
      </c>
      <c r="F955" s="11">
        <v>7.9015240430281408E-2</v>
      </c>
      <c r="G955" s="3">
        <f t="shared" si="53"/>
        <v>3.1055593255310709E-2</v>
      </c>
      <c r="H955" s="11"/>
      <c r="I955" s="17"/>
      <c r="J955" s="18"/>
    </row>
    <row r="956" spans="1:10" x14ac:dyDescent="0.25">
      <c r="A956" s="11">
        <v>9.44</v>
      </c>
      <c r="B956" s="7">
        <v>6.75</v>
      </c>
      <c r="C956" s="11">
        <v>-1.0944565390944813E-4</v>
      </c>
      <c r="D956" s="11">
        <v>2.6920269702771296E-3</v>
      </c>
      <c r="E956" s="11">
        <v>-2.0739229161565641E-2</v>
      </c>
      <c r="F956" s="11">
        <v>7.9015240430281408E-2</v>
      </c>
      <c r="G956" s="3">
        <f t="shared" si="53"/>
        <v>3.1063903406905818E-2</v>
      </c>
      <c r="H956" s="11"/>
      <c r="I956" s="17"/>
      <c r="J956" s="18"/>
    </row>
    <row r="957" spans="1:10" x14ac:dyDescent="0.25">
      <c r="A957" s="11">
        <v>9.4499999999999993</v>
      </c>
      <c r="B957" s="7">
        <v>6.75</v>
      </c>
      <c r="C957" s="11">
        <v>-1.0944565390944813E-4</v>
      </c>
      <c r="D957" s="11">
        <v>2.6920269702771296E-3</v>
      </c>
      <c r="E957" s="11">
        <v>-2.0739229161565641E-2</v>
      </c>
      <c r="F957" s="11">
        <v>7.9015240430281408E-2</v>
      </c>
      <c r="G957" s="3">
        <f t="shared" si="53"/>
        <v>3.1072132063711233E-2</v>
      </c>
      <c r="H957" s="11"/>
      <c r="I957" s="17"/>
      <c r="J957" s="18"/>
    </row>
    <row r="958" spans="1:10" x14ac:dyDescent="0.25">
      <c r="A958" s="11">
        <v>9.4600000000000009</v>
      </c>
      <c r="B958" s="7">
        <v>6.75</v>
      </c>
      <c r="C958" s="11">
        <v>-1.0944565390944813E-4</v>
      </c>
      <c r="D958" s="11">
        <v>2.6920269702771296E-3</v>
      </c>
      <c r="E958" s="11">
        <v>-2.0739229161565641E-2</v>
      </c>
      <c r="F958" s="11">
        <v>7.9015240430281408E-2</v>
      </c>
      <c r="G958" s="3">
        <f t="shared" si="53"/>
        <v>3.1080278569053044E-2</v>
      </c>
      <c r="H958" s="11"/>
      <c r="I958" s="17"/>
      <c r="J958" s="18"/>
    </row>
    <row r="959" spans="1:10" x14ac:dyDescent="0.25">
      <c r="A959" s="11">
        <v>9.4700000000000006</v>
      </c>
      <c r="B959" s="7">
        <v>6.75</v>
      </c>
      <c r="C959" s="11">
        <v>-1.0944565390944813E-4</v>
      </c>
      <c r="D959" s="11">
        <v>2.6920269702771296E-3</v>
      </c>
      <c r="E959" s="11">
        <v>-2.0739229161565641E-2</v>
      </c>
      <c r="F959" s="11">
        <v>7.9015240430281408E-2</v>
      </c>
      <c r="G959" s="3">
        <f t="shared" si="53"/>
        <v>3.1088342266257285E-2</v>
      </c>
      <c r="H959" s="11"/>
      <c r="I959" s="17"/>
      <c r="J959" s="18"/>
    </row>
    <row r="960" spans="1:10" x14ac:dyDescent="0.25">
      <c r="A960" s="11">
        <v>9.48</v>
      </c>
      <c r="B960" s="7">
        <v>6.75</v>
      </c>
      <c r="C960" s="11">
        <v>-1.0944565390944813E-4</v>
      </c>
      <c r="D960" s="11">
        <v>2.6920269702771296E-3</v>
      </c>
      <c r="E960" s="11">
        <v>-2.0739229161565641E-2</v>
      </c>
      <c r="F960" s="11">
        <v>7.9015240430281408E-2</v>
      </c>
      <c r="G960" s="3">
        <f t="shared" si="53"/>
        <v>3.1096322498650131E-2</v>
      </c>
      <c r="H960" s="11"/>
      <c r="I960" s="17"/>
      <c r="J960" s="18"/>
    </row>
    <row r="961" spans="1:10" x14ac:dyDescent="0.25">
      <c r="A961" s="11">
        <v>9.49</v>
      </c>
      <c r="B961" s="7">
        <v>6.75</v>
      </c>
      <c r="C961" s="11">
        <v>-1.0944565390944813E-4</v>
      </c>
      <c r="D961" s="11">
        <v>2.6920269702771296E-3</v>
      </c>
      <c r="E961" s="11">
        <v>-2.0739229161565641E-2</v>
      </c>
      <c r="F961" s="11">
        <v>7.9015240430281408E-2</v>
      </c>
      <c r="G961" s="3">
        <f t="shared" si="53"/>
        <v>3.110421860955756E-2</v>
      </c>
      <c r="H961" s="11"/>
      <c r="I961" s="17"/>
      <c r="J961" s="18"/>
    </row>
    <row r="962" spans="1:10" x14ac:dyDescent="0.25">
      <c r="A962" s="11">
        <v>9.5</v>
      </c>
      <c r="B962" s="7">
        <v>6.75</v>
      </c>
      <c r="C962" s="11">
        <v>-1.0944565390944813E-4</v>
      </c>
      <c r="D962" s="11">
        <v>2.6920269702771296E-3</v>
      </c>
      <c r="E962" s="11">
        <v>-2.0739229161565641E-2</v>
      </c>
      <c r="F962" s="11">
        <v>7.9015240430281408E-2</v>
      </c>
      <c r="G962" s="3">
        <f t="shared" si="53"/>
        <v>3.1112029942305663E-2</v>
      </c>
      <c r="H962" s="11"/>
      <c r="I962" s="17"/>
      <c r="J962" s="18"/>
    </row>
    <row r="963" spans="1:10" x14ac:dyDescent="0.25">
      <c r="A963" s="11">
        <v>9.51</v>
      </c>
      <c r="B963" s="7">
        <v>6.75</v>
      </c>
      <c r="C963" s="11">
        <v>-1.0944565390944813E-4</v>
      </c>
      <c r="D963" s="11">
        <v>2.6920269702771296E-3</v>
      </c>
      <c r="E963" s="11">
        <v>-2.0739229161565641E-2</v>
      </c>
      <c r="F963" s="11">
        <v>7.9015240430281408E-2</v>
      </c>
      <c r="G963" s="3">
        <f t="shared" si="53"/>
        <v>3.1119755840220586E-2</v>
      </c>
      <c r="H963" s="11"/>
      <c r="I963" s="17"/>
      <c r="J963" s="18"/>
    </row>
    <row r="964" spans="1:10" x14ac:dyDescent="0.25">
      <c r="A964" s="11">
        <v>9.52</v>
      </c>
      <c r="B964" s="7">
        <v>6.75</v>
      </c>
      <c r="C964" s="11">
        <v>-1.0944565390944813E-4</v>
      </c>
      <c r="D964" s="11">
        <v>2.6920269702771296E-3</v>
      </c>
      <c r="E964" s="11">
        <v>-2.0739229161565641E-2</v>
      </c>
      <c r="F964" s="11">
        <v>7.9015240430281408E-2</v>
      </c>
      <c r="G964" s="3">
        <f t="shared" si="53"/>
        <v>3.1127395646628336E-2</v>
      </c>
      <c r="H964" s="11"/>
      <c r="I964" s="17"/>
      <c r="J964" s="18"/>
    </row>
    <row r="965" spans="1:10" x14ac:dyDescent="0.25">
      <c r="A965" s="11">
        <v>9.5299999999999994</v>
      </c>
      <c r="B965" s="7">
        <v>6.75</v>
      </c>
      <c r="C965" s="11">
        <v>-1.0944565390944813E-4</v>
      </c>
      <c r="D965" s="11">
        <v>2.6920269702771296E-3</v>
      </c>
      <c r="E965" s="11">
        <v>-2.0739229161565641E-2</v>
      </c>
      <c r="F965" s="11">
        <v>7.9015240430281408E-2</v>
      </c>
      <c r="G965" s="3">
        <f t="shared" si="53"/>
        <v>3.1134948704855003E-2</v>
      </c>
      <c r="H965" s="11"/>
      <c r="I965" s="17"/>
      <c r="J965" s="18"/>
    </row>
    <row r="966" spans="1:10" x14ac:dyDescent="0.25">
      <c r="A966" s="11">
        <v>9.5399999999999991</v>
      </c>
      <c r="B966" s="7">
        <v>6.75</v>
      </c>
      <c r="C966" s="11">
        <v>-1.0944565390944813E-4</v>
      </c>
      <c r="D966" s="11">
        <v>2.6920269702771296E-3</v>
      </c>
      <c r="E966" s="11">
        <v>-2.0739229161565641E-2</v>
      </c>
      <c r="F966" s="11">
        <v>7.9015240430281408E-2</v>
      </c>
      <c r="G966" s="3">
        <f t="shared" si="53"/>
        <v>3.114241435822665E-2</v>
      </c>
      <c r="H966" s="11"/>
      <c r="I966" s="17"/>
      <c r="J966" s="18"/>
    </row>
    <row r="967" spans="1:10" x14ac:dyDescent="0.25">
      <c r="A967" s="11">
        <v>9.5500000000000007</v>
      </c>
      <c r="B967" s="7">
        <v>6.75</v>
      </c>
      <c r="C967" s="11">
        <v>-1.0944565390944813E-4</v>
      </c>
      <c r="D967" s="11">
        <v>2.6920269702771296E-3</v>
      </c>
      <c r="E967" s="11">
        <v>-2.0739229161565641E-2</v>
      </c>
      <c r="F967" s="11">
        <v>7.9015240430281408E-2</v>
      </c>
      <c r="G967" s="3">
        <f t="shared" si="53"/>
        <v>3.1149791950069422E-2</v>
      </c>
      <c r="H967" s="11"/>
      <c r="I967" s="17"/>
      <c r="J967" s="18"/>
    </row>
    <row r="968" spans="1:10" x14ac:dyDescent="0.25">
      <c r="A968" s="11">
        <v>9.56</v>
      </c>
      <c r="B968" s="7">
        <v>6.75</v>
      </c>
      <c r="C968" s="11">
        <v>-1.0944565390944813E-4</v>
      </c>
      <c r="D968" s="11">
        <v>2.6920269702771296E-3</v>
      </c>
      <c r="E968" s="11">
        <v>-2.0739229161565641E-2</v>
      </c>
      <c r="F968" s="11">
        <v>7.9015240430281408E-2</v>
      </c>
      <c r="G968" s="3">
        <f t="shared" si="53"/>
        <v>3.1157080823709327E-2</v>
      </c>
      <c r="H968" s="11"/>
      <c r="I968" s="17"/>
      <c r="J968" s="18"/>
    </row>
    <row r="969" spans="1:10" x14ac:dyDescent="0.25">
      <c r="A969" s="11">
        <v>9.57</v>
      </c>
      <c r="B969" s="7">
        <v>6.75</v>
      </c>
      <c r="C969" s="11">
        <v>-1.0944565390944813E-4</v>
      </c>
      <c r="D969" s="11">
        <v>2.6920269702771296E-3</v>
      </c>
      <c r="E969" s="11">
        <v>-2.0739229161565641E-2</v>
      </c>
      <c r="F969" s="11">
        <v>7.9015240430281408E-2</v>
      </c>
      <c r="G969" s="3">
        <f t="shared" si="53"/>
        <v>3.1164280322472454E-2</v>
      </c>
      <c r="H969" s="11"/>
      <c r="I969" s="17"/>
      <c r="J969" s="18"/>
    </row>
    <row r="970" spans="1:10" x14ac:dyDescent="0.25">
      <c r="A970" s="11">
        <v>9.58</v>
      </c>
      <c r="B970" s="7">
        <v>6.75</v>
      </c>
      <c r="C970" s="11">
        <v>-1.0944565390944813E-4</v>
      </c>
      <c r="D970" s="11">
        <v>2.6920269702771296E-3</v>
      </c>
      <c r="E970" s="11">
        <v>-2.0739229161565641E-2</v>
      </c>
      <c r="F970" s="11">
        <v>7.9015240430281408E-2</v>
      </c>
      <c r="G970" s="3">
        <f t="shared" si="53"/>
        <v>3.1171389789684895E-2</v>
      </c>
      <c r="H970" s="11"/>
      <c r="I970" s="17"/>
      <c r="J970" s="18"/>
    </row>
    <row r="971" spans="1:10" x14ac:dyDescent="0.25">
      <c r="A971" s="11">
        <v>9.59</v>
      </c>
      <c r="B971" s="7">
        <v>6.75</v>
      </c>
      <c r="C971" s="11">
        <v>-1.0944565390944813E-4</v>
      </c>
      <c r="D971" s="11">
        <v>2.6920269702771296E-3</v>
      </c>
      <c r="E971" s="11">
        <v>-2.0739229161565641E-2</v>
      </c>
      <c r="F971" s="11">
        <v>7.9015240430281408E-2</v>
      </c>
      <c r="G971" s="3">
        <f t="shared" si="53"/>
        <v>3.1178408568672711E-2</v>
      </c>
      <c r="H971" s="11"/>
      <c r="I971" s="17"/>
      <c r="J971" s="18"/>
    </row>
    <row r="972" spans="1:10" x14ac:dyDescent="0.25">
      <c r="A972" s="11">
        <v>9.6</v>
      </c>
      <c r="B972" s="7">
        <v>6.75</v>
      </c>
      <c r="C972" s="11">
        <v>-1.0944565390944813E-4</v>
      </c>
      <c r="D972" s="11">
        <v>2.6920269702771296E-3</v>
      </c>
      <c r="E972" s="11">
        <v>-2.0739229161565641E-2</v>
      </c>
      <c r="F972" s="11">
        <v>7.9015240430281408E-2</v>
      </c>
      <c r="G972" s="3">
        <f t="shared" si="53"/>
        <v>3.1185336002761993E-2</v>
      </c>
      <c r="H972" s="11"/>
      <c r="I972" s="17"/>
      <c r="J972" s="18"/>
    </row>
    <row r="973" spans="1:10" x14ac:dyDescent="0.25">
      <c r="A973" s="11">
        <v>9.61</v>
      </c>
      <c r="B973" s="7">
        <v>6.75</v>
      </c>
      <c r="C973" s="11">
        <v>-1.0944565390944813E-4</v>
      </c>
      <c r="D973" s="11">
        <v>2.6920269702771296E-3</v>
      </c>
      <c r="E973" s="11">
        <v>-2.0739229161565641E-2</v>
      </c>
      <c r="F973" s="11">
        <v>7.9015240430281408E-2</v>
      </c>
      <c r="G973" s="3">
        <f t="shared" ref="G973:G1012" si="54">C973*A973^3 + D973*A973^2 + E973*A973 + F973</f>
        <v>3.1192171435278832E-2</v>
      </c>
      <c r="H973" s="11"/>
      <c r="I973" s="17"/>
      <c r="J973" s="18"/>
    </row>
    <row r="974" spans="1:10" x14ac:dyDescent="0.25">
      <c r="A974" s="11">
        <v>9.6199999999999992</v>
      </c>
      <c r="B974" s="7">
        <v>6.75</v>
      </c>
      <c r="C974" s="11">
        <v>-1.0944565390944813E-4</v>
      </c>
      <c r="D974" s="11">
        <v>2.6920269702771296E-3</v>
      </c>
      <c r="E974" s="11">
        <v>-2.0739229161565641E-2</v>
      </c>
      <c r="F974" s="11">
        <v>7.9015240430281408E-2</v>
      </c>
      <c r="G974" s="3">
        <f t="shared" si="54"/>
        <v>3.1198914209549261E-2</v>
      </c>
      <c r="H974" s="11"/>
      <c r="I974" s="17"/>
      <c r="J974" s="18"/>
    </row>
    <row r="975" spans="1:10" x14ac:dyDescent="0.25">
      <c r="A975" s="11">
        <v>9.6300000000000008</v>
      </c>
      <c r="B975" s="7">
        <v>6.75</v>
      </c>
      <c r="C975" s="11">
        <v>-1.0944565390944813E-4</v>
      </c>
      <c r="D975" s="11">
        <v>2.6920269702771296E-3</v>
      </c>
      <c r="E975" s="11">
        <v>-2.0739229161565641E-2</v>
      </c>
      <c r="F975" s="11">
        <v>7.9015240430281408E-2</v>
      </c>
      <c r="G975" s="3">
        <f t="shared" si="54"/>
        <v>3.1205563668899428E-2</v>
      </c>
      <c r="H975" s="11"/>
      <c r="I975" s="17"/>
      <c r="J975" s="18"/>
    </row>
    <row r="976" spans="1:10" x14ac:dyDescent="0.25">
      <c r="A976" s="11">
        <v>9.64</v>
      </c>
      <c r="B976" s="7">
        <v>6.75</v>
      </c>
      <c r="C976" s="11">
        <v>-1.0944565390944813E-4</v>
      </c>
      <c r="D976" s="11">
        <v>2.6920269702771296E-3</v>
      </c>
      <c r="E976" s="11">
        <v>-2.0739229161565641E-2</v>
      </c>
      <c r="F976" s="11">
        <v>7.9015240430281408E-2</v>
      </c>
      <c r="G976" s="3">
        <f t="shared" si="54"/>
        <v>3.121211915665531E-2</v>
      </c>
      <c r="H976" s="11"/>
      <c r="I976" s="17"/>
      <c r="J976" s="18"/>
    </row>
    <row r="977" spans="1:10" x14ac:dyDescent="0.25">
      <c r="A977" s="11">
        <v>9.65</v>
      </c>
      <c r="B977" s="7">
        <v>6.75</v>
      </c>
      <c r="C977" s="11">
        <v>-1.0944565390944813E-4</v>
      </c>
      <c r="D977" s="11">
        <v>2.6920269702771296E-3</v>
      </c>
      <c r="E977" s="11">
        <v>-2.0739229161565641E-2</v>
      </c>
      <c r="F977" s="11">
        <v>7.9015240430281408E-2</v>
      </c>
      <c r="G977" s="3">
        <f t="shared" si="54"/>
        <v>3.1218580016143055E-2</v>
      </c>
      <c r="H977" s="11"/>
      <c r="I977" s="17"/>
      <c r="J977" s="18"/>
    </row>
    <row r="978" spans="1:10" x14ac:dyDescent="0.25">
      <c r="A978" s="11">
        <v>9.66</v>
      </c>
      <c r="B978" s="7">
        <v>6.75</v>
      </c>
      <c r="C978" s="11">
        <v>-1.0944565390944813E-4</v>
      </c>
      <c r="D978" s="11">
        <v>2.6920269702771296E-3</v>
      </c>
      <c r="E978" s="11">
        <v>-2.0739229161565641E-2</v>
      </c>
      <c r="F978" s="11">
        <v>7.9015240430281408E-2</v>
      </c>
      <c r="G978" s="3">
        <f t="shared" si="54"/>
        <v>3.1224945590688696E-2</v>
      </c>
      <c r="H978" s="11"/>
      <c r="I978" s="17"/>
      <c r="J978" s="18"/>
    </row>
    <row r="979" spans="1:10" x14ac:dyDescent="0.25">
      <c r="A979" s="11">
        <v>9.67</v>
      </c>
      <c r="B979" s="7">
        <v>6.75</v>
      </c>
      <c r="C979" s="11">
        <v>-1.0944565390944813E-4</v>
      </c>
      <c r="D979" s="11">
        <v>2.6920269702771296E-3</v>
      </c>
      <c r="E979" s="11">
        <v>-2.0739229161565641E-2</v>
      </c>
      <c r="F979" s="11">
        <v>7.9015240430281408E-2</v>
      </c>
      <c r="G979" s="3">
        <f t="shared" si="54"/>
        <v>3.1231215223618325E-2</v>
      </c>
      <c r="H979" s="11"/>
      <c r="I979" s="17"/>
      <c r="J979" s="18"/>
    </row>
    <row r="980" spans="1:10" x14ac:dyDescent="0.25">
      <c r="A980" s="11">
        <v>9.68</v>
      </c>
      <c r="B980" s="7">
        <v>6.75</v>
      </c>
      <c r="C980" s="11">
        <v>-1.0944565390944813E-4</v>
      </c>
      <c r="D980" s="11">
        <v>2.6920269702771296E-3</v>
      </c>
      <c r="E980" s="11">
        <v>-2.0739229161565641E-2</v>
      </c>
      <c r="F980" s="11">
        <v>7.9015240430281408E-2</v>
      </c>
      <c r="G980" s="3">
        <f t="shared" si="54"/>
        <v>3.1237388258258086E-2</v>
      </c>
      <c r="H980" s="11"/>
      <c r="I980" s="17"/>
      <c r="J980" s="18"/>
    </row>
    <row r="981" spans="1:10" x14ac:dyDescent="0.25">
      <c r="A981" s="11">
        <v>9.69</v>
      </c>
      <c r="B981" s="7">
        <v>6.75</v>
      </c>
      <c r="C981" s="11">
        <v>-1.0944565390944813E-4</v>
      </c>
      <c r="D981" s="11">
        <v>2.6920269702771296E-3</v>
      </c>
      <c r="E981" s="11">
        <v>-2.0739229161565641E-2</v>
      </c>
      <c r="F981" s="11">
        <v>7.9015240430281408E-2</v>
      </c>
      <c r="G981" s="3">
        <f t="shared" si="54"/>
        <v>3.1243464037933932E-2</v>
      </c>
      <c r="H981" s="11"/>
      <c r="I981" s="17"/>
      <c r="J981" s="18"/>
    </row>
    <row r="982" spans="1:10" x14ac:dyDescent="0.25">
      <c r="A982" s="11">
        <v>9.6999999999999993</v>
      </c>
      <c r="B982" s="7">
        <v>6.75</v>
      </c>
      <c r="C982" s="11">
        <v>-1.0944565390944813E-4</v>
      </c>
      <c r="D982" s="11">
        <v>2.6920269702771296E-3</v>
      </c>
      <c r="E982" s="11">
        <v>-2.0739229161565641E-2</v>
      </c>
      <c r="F982" s="11">
        <v>7.9015240430281408E-2</v>
      </c>
      <c r="G982" s="3">
        <f t="shared" si="54"/>
        <v>3.1249441905972036E-2</v>
      </c>
      <c r="H982" s="11"/>
      <c r="I982" s="17"/>
      <c r="J982" s="18"/>
    </row>
    <row r="983" spans="1:10" x14ac:dyDescent="0.25">
      <c r="A983" s="11">
        <v>9.7100000000000009</v>
      </c>
      <c r="B983" s="7">
        <v>6.75</v>
      </c>
      <c r="C983" s="11">
        <v>-1.0944565390944813E-4</v>
      </c>
      <c r="D983" s="11">
        <v>2.6920269702771296E-3</v>
      </c>
      <c r="E983" s="11">
        <v>-2.0739229161565641E-2</v>
      </c>
      <c r="F983" s="11">
        <v>7.9015240430281408E-2</v>
      </c>
      <c r="G983" s="3">
        <f t="shared" si="54"/>
        <v>3.1255321205698461E-2</v>
      </c>
      <c r="H983" s="11"/>
      <c r="I983" s="17"/>
      <c r="J983" s="18"/>
    </row>
    <row r="984" spans="1:10" x14ac:dyDescent="0.25">
      <c r="A984" s="11">
        <v>9.7200000000000006</v>
      </c>
      <c r="B984" s="7">
        <v>6.75</v>
      </c>
      <c r="C984" s="11">
        <v>-1.0944565390944813E-4</v>
      </c>
      <c r="D984" s="11">
        <v>2.6920269702771296E-3</v>
      </c>
      <c r="E984" s="11">
        <v>-2.0739229161565641E-2</v>
      </c>
      <c r="F984" s="11">
        <v>7.9015240430281408E-2</v>
      </c>
      <c r="G984" s="3">
        <f t="shared" si="54"/>
        <v>3.1261101280439269E-2</v>
      </c>
      <c r="H984" s="11"/>
      <c r="I984" s="17"/>
      <c r="J984" s="18"/>
    </row>
    <row r="985" spans="1:10" x14ac:dyDescent="0.25">
      <c r="A985" s="11">
        <v>9.73</v>
      </c>
      <c r="B985" s="7">
        <v>6.75</v>
      </c>
      <c r="C985" s="11">
        <v>-1.0944565390944813E-4</v>
      </c>
      <c r="D985" s="11">
        <v>2.6920269702771296E-3</v>
      </c>
      <c r="E985" s="11">
        <v>-2.0739229161565641E-2</v>
      </c>
      <c r="F985" s="11">
        <v>7.9015240430281408E-2</v>
      </c>
      <c r="G985" s="3">
        <f t="shared" si="54"/>
        <v>3.1266781473520466E-2</v>
      </c>
      <c r="H985" s="11"/>
      <c r="I985" s="17"/>
      <c r="J985" s="18"/>
    </row>
    <row r="986" spans="1:10" x14ac:dyDescent="0.25">
      <c r="A986" s="11">
        <v>9.74</v>
      </c>
      <c r="B986" s="7">
        <v>6.75</v>
      </c>
      <c r="C986" s="11">
        <v>-1.0944565390944813E-4</v>
      </c>
      <c r="D986" s="11">
        <v>2.6920269702771296E-3</v>
      </c>
      <c r="E986" s="11">
        <v>-2.0739229161565641E-2</v>
      </c>
      <c r="F986" s="11">
        <v>7.9015240430281408E-2</v>
      </c>
      <c r="G986" s="3">
        <f t="shared" si="54"/>
        <v>3.1272361128268256E-2</v>
      </c>
      <c r="H986" s="11"/>
      <c r="I986" s="17"/>
      <c r="J986" s="18"/>
    </row>
    <row r="987" spans="1:10" x14ac:dyDescent="0.25">
      <c r="A987" s="11">
        <v>9.75</v>
      </c>
      <c r="B987" s="7">
        <v>9.75</v>
      </c>
      <c r="C987" s="11">
        <v>6.6637221572904032E-8</v>
      </c>
      <c r="D987" s="11">
        <v>-1.3977157224916621E-5</v>
      </c>
      <c r="E987" s="11">
        <v>7.9631479779620324E-4</v>
      </c>
      <c r="F987" s="11">
        <v>2.4780710484650505E-2</v>
      </c>
      <c r="G987" s="3">
        <f t="shared" si="54"/>
        <v>3.127783958800865E-2</v>
      </c>
      <c r="H987" s="11"/>
      <c r="I987" s="17"/>
      <c r="J987" s="18"/>
    </row>
    <row r="988" spans="1:10" x14ac:dyDescent="0.25">
      <c r="A988" s="11">
        <v>9.76</v>
      </c>
      <c r="B988" s="7">
        <v>9.75</v>
      </c>
      <c r="C988" s="11">
        <v>6.6637221572904032E-8</v>
      </c>
      <c r="D988" s="11">
        <v>-1.3977157224916621E-5</v>
      </c>
      <c r="E988" s="11">
        <v>7.9631479779620324E-4</v>
      </c>
      <c r="F988" s="11">
        <v>2.4780710484650505E-2</v>
      </c>
      <c r="G988" s="3">
        <f t="shared" si="54"/>
        <v>3.1283266028618813E-2</v>
      </c>
      <c r="H988" s="11"/>
      <c r="I988" s="17"/>
      <c r="J988" s="18"/>
    </row>
    <row r="989" spans="1:10" x14ac:dyDescent="0.25">
      <c r="A989" s="11">
        <v>9.77</v>
      </c>
      <c r="B989" s="7">
        <v>9.75</v>
      </c>
      <c r="C989" s="11">
        <v>6.6637221572904032E-8</v>
      </c>
      <c r="D989" s="11">
        <v>-1.3977157224916621E-5</v>
      </c>
      <c r="E989" s="11">
        <v>7.9631479779620324E-4</v>
      </c>
      <c r="F989" s="11">
        <v>2.4780710484650505E-2</v>
      </c>
      <c r="G989" s="3">
        <f t="shared" si="54"/>
        <v>3.1288690064025099E-2</v>
      </c>
      <c r="H989" s="11"/>
      <c r="I989" s="17"/>
      <c r="J989" s="18"/>
    </row>
    <row r="990" spans="1:10" x14ac:dyDescent="0.25">
      <c r="A990" s="11">
        <v>9.7799999999999994</v>
      </c>
      <c r="B990" s="7">
        <v>9.75</v>
      </c>
      <c r="C990" s="11">
        <v>6.6637221572904032E-8</v>
      </c>
      <c r="D990" s="11">
        <v>-1.3977157224916621E-5</v>
      </c>
      <c r="E990" s="11">
        <v>7.9631479779620324E-4</v>
      </c>
      <c r="F990" s="11">
        <v>2.4780710484650505E-2</v>
      </c>
      <c r="G990" s="3">
        <f t="shared" si="54"/>
        <v>3.1294111694627341E-2</v>
      </c>
      <c r="H990" s="11"/>
      <c r="I990" s="17"/>
      <c r="J990" s="18"/>
    </row>
    <row r="991" spans="1:10" x14ac:dyDescent="0.25">
      <c r="A991" s="11">
        <v>9.7899999999999991</v>
      </c>
      <c r="B991" s="7">
        <v>9.75</v>
      </c>
      <c r="C991" s="11">
        <v>6.6637221572904032E-8</v>
      </c>
      <c r="D991" s="11">
        <v>-1.3977157224916621E-5</v>
      </c>
      <c r="E991" s="11">
        <v>7.9631479779620324E-4</v>
      </c>
      <c r="F991" s="11">
        <v>2.4780710484650505E-2</v>
      </c>
      <c r="G991" s="3">
        <f t="shared" si="54"/>
        <v>3.1299530920825346E-2</v>
      </c>
      <c r="H991" s="11"/>
      <c r="I991" s="17"/>
      <c r="J991" s="18"/>
    </row>
    <row r="992" spans="1:10" x14ac:dyDescent="0.25">
      <c r="A992" s="11">
        <v>9.8000000000000007</v>
      </c>
      <c r="B992" s="7">
        <v>9.75</v>
      </c>
      <c r="C992" s="11">
        <v>6.6637221572904032E-8</v>
      </c>
      <c r="D992" s="11">
        <v>-1.3977157224916621E-5</v>
      </c>
      <c r="E992" s="11">
        <v>7.9631479779620324E-4</v>
      </c>
      <c r="F992" s="11">
        <v>2.4780710484650505E-2</v>
      </c>
      <c r="G992" s="3">
        <f t="shared" si="54"/>
        <v>3.1304947743018952E-2</v>
      </c>
      <c r="H992" s="11"/>
      <c r="I992" s="17"/>
      <c r="J992" s="18"/>
    </row>
    <row r="993" spans="1:10" x14ac:dyDescent="0.25">
      <c r="A993" s="11">
        <v>9.81</v>
      </c>
      <c r="B993" s="7">
        <v>9.75</v>
      </c>
      <c r="C993" s="11">
        <v>6.6637221572904032E-8</v>
      </c>
      <c r="D993" s="11">
        <v>-1.3977157224916621E-5</v>
      </c>
      <c r="E993" s="11">
        <v>7.9631479779620324E-4</v>
      </c>
      <c r="F993" s="11">
        <v>2.4780710484650505E-2</v>
      </c>
      <c r="G993" s="3">
        <f t="shared" si="54"/>
        <v>3.1310362161607971E-2</v>
      </c>
      <c r="H993" s="11"/>
      <c r="I993" s="17"/>
      <c r="J993" s="18"/>
    </row>
    <row r="994" spans="1:10" x14ac:dyDescent="0.25">
      <c r="A994" s="11">
        <v>9.82</v>
      </c>
      <c r="B994" s="7">
        <v>9.75</v>
      </c>
      <c r="C994" s="11">
        <v>6.6637221572904032E-8</v>
      </c>
      <c r="D994" s="11">
        <v>-1.3977157224916621E-5</v>
      </c>
      <c r="E994" s="11">
        <v>7.9631479779620324E-4</v>
      </c>
      <c r="F994" s="11">
        <v>2.4780710484650505E-2</v>
      </c>
      <c r="G994" s="3">
        <f t="shared" si="54"/>
        <v>3.1315774176992231E-2</v>
      </c>
      <c r="H994" s="11"/>
      <c r="I994" s="17"/>
      <c r="J994" s="18"/>
    </row>
    <row r="995" spans="1:10" x14ac:dyDescent="0.25">
      <c r="A995" s="11">
        <v>9.83</v>
      </c>
      <c r="B995" s="7">
        <v>9.75</v>
      </c>
      <c r="C995" s="11">
        <v>6.6637221572904032E-8</v>
      </c>
      <c r="D995" s="11">
        <v>-1.3977157224916621E-5</v>
      </c>
      <c r="E995" s="11">
        <v>7.9631479779620324E-4</v>
      </c>
      <c r="F995" s="11">
        <v>2.4780710484650505E-2</v>
      </c>
      <c r="G995" s="3">
        <f t="shared" si="54"/>
        <v>3.1321183789571556E-2</v>
      </c>
      <c r="H995" s="11"/>
      <c r="I995" s="17"/>
      <c r="J995" s="18"/>
    </row>
    <row r="996" spans="1:10" x14ac:dyDescent="0.25">
      <c r="A996" s="11">
        <v>9.84</v>
      </c>
      <c r="B996" s="7">
        <v>9.75</v>
      </c>
      <c r="C996" s="11">
        <v>6.6637221572904032E-8</v>
      </c>
      <c r="D996" s="11">
        <v>-1.3977157224916621E-5</v>
      </c>
      <c r="E996" s="11">
        <v>7.9631479779620324E-4</v>
      </c>
      <c r="F996" s="11">
        <v>2.4780710484650505E-2</v>
      </c>
      <c r="G996" s="3">
        <f t="shared" si="54"/>
        <v>3.1326590999745774E-2</v>
      </c>
      <c r="H996" s="11"/>
      <c r="I996" s="17"/>
      <c r="J996" s="18"/>
    </row>
    <row r="997" spans="1:10" x14ac:dyDescent="0.25">
      <c r="A997" s="11">
        <v>9.85</v>
      </c>
      <c r="B997" s="7">
        <v>9.75</v>
      </c>
      <c r="C997" s="11">
        <v>6.6637221572904032E-8</v>
      </c>
      <c r="D997" s="11">
        <v>-1.3977157224916621E-5</v>
      </c>
      <c r="E997" s="11">
        <v>7.9631479779620324E-4</v>
      </c>
      <c r="F997" s="11">
        <v>2.4780710484650505E-2</v>
      </c>
      <c r="G997" s="3">
        <f t="shared" si="54"/>
        <v>3.1331995807914695E-2</v>
      </c>
      <c r="H997" s="11"/>
      <c r="I997" s="17"/>
      <c r="J997" s="18"/>
    </row>
    <row r="998" spans="1:10" x14ac:dyDescent="0.25">
      <c r="A998" s="11">
        <v>9.86</v>
      </c>
      <c r="B998" s="7">
        <v>9.75</v>
      </c>
      <c r="C998" s="11">
        <v>6.6637221572904032E-8</v>
      </c>
      <c r="D998" s="11">
        <v>-1.3977157224916621E-5</v>
      </c>
      <c r="E998" s="11">
        <v>7.9631479779620324E-4</v>
      </c>
      <c r="F998" s="11">
        <v>2.4780710484650505E-2</v>
      </c>
      <c r="G998" s="3">
        <f t="shared" si="54"/>
        <v>3.1337398214478153E-2</v>
      </c>
      <c r="H998" s="11"/>
      <c r="I998" s="17"/>
      <c r="J998" s="18"/>
    </row>
    <row r="999" spans="1:10" x14ac:dyDescent="0.25">
      <c r="A999" s="11">
        <v>9.8699999999999992</v>
      </c>
      <c r="B999" s="7">
        <v>9.75</v>
      </c>
      <c r="C999" s="11">
        <v>6.6637221572904032E-8</v>
      </c>
      <c r="D999" s="11">
        <v>-1.3977157224916621E-5</v>
      </c>
      <c r="E999" s="11">
        <v>7.9631479779620324E-4</v>
      </c>
      <c r="F999" s="11">
        <v>2.4780710484650505E-2</v>
      </c>
      <c r="G999" s="3">
        <f t="shared" si="54"/>
        <v>3.1342798219835974E-2</v>
      </c>
      <c r="H999" s="11"/>
      <c r="I999" s="17"/>
      <c r="J999" s="18"/>
    </row>
    <row r="1000" spans="1:10" x14ac:dyDescent="0.25">
      <c r="A1000" s="11">
        <v>9.8800000000000008</v>
      </c>
      <c r="B1000" s="7">
        <v>9.75</v>
      </c>
      <c r="C1000" s="11">
        <v>6.6637221572904032E-8</v>
      </c>
      <c r="D1000" s="11">
        <v>-1.3977157224916621E-5</v>
      </c>
      <c r="E1000" s="11">
        <v>7.9631479779620324E-4</v>
      </c>
      <c r="F1000" s="11">
        <v>2.4780710484650505E-2</v>
      </c>
      <c r="G1000" s="3">
        <f t="shared" si="54"/>
        <v>3.134819582438797E-2</v>
      </c>
      <c r="H1000" s="11"/>
      <c r="I1000" s="17"/>
      <c r="J1000" s="18"/>
    </row>
    <row r="1001" spans="1:10" x14ac:dyDescent="0.25">
      <c r="A1001" s="11">
        <v>9.89</v>
      </c>
      <c r="B1001" s="7">
        <v>9.75</v>
      </c>
      <c r="C1001" s="11">
        <v>6.6637221572904032E-8</v>
      </c>
      <c r="D1001" s="11">
        <v>-1.3977157224916621E-5</v>
      </c>
      <c r="E1001" s="11">
        <v>7.9631479779620324E-4</v>
      </c>
      <c r="F1001" s="11">
        <v>2.4780710484650505E-2</v>
      </c>
      <c r="G1001" s="3">
        <f t="shared" si="54"/>
        <v>3.1353591028533974E-2</v>
      </c>
      <c r="H1001" s="11"/>
      <c r="I1001" s="17"/>
      <c r="J1001" s="18"/>
    </row>
    <row r="1002" spans="1:10" x14ac:dyDescent="0.25">
      <c r="A1002" s="11">
        <v>9.9</v>
      </c>
      <c r="B1002" s="7">
        <v>9.75</v>
      </c>
      <c r="C1002" s="11">
        <v>6.6637221572904032E-8</v>
      </c>
      <c r="D1002" s="11">
        <v>-1.3977157224916621E-5</v>
      </c>
      <c r="E1002" s="11">
        <v>7.9631479779620324E-4</v>
      </c>
      <c r="F1002" s="11">
        <v>2.4780710484650505E-2</v>
      </c>
      <c r="G1002" s="3">
        <f t="shared" si="54"/>
        <v>3.1358983832673805E-2</v>
      </c>
      <c r="H1002" s="11"/>
      <c r="I1002" s="17"/>
      <c r="J1002" s="18"/>
    </row>
    <row r="1003" spans="1:10" x14ac:dyDescent="0.25">
      <c r="A1003" s="11">
        <v>9.91</v>
      </c>
      <c r="B1003" s="7">
        <v>9.75</v>
      </c>
      <c r="C1003" s="11">
        <v>6.6637221572904032E-8</v>
      </c>
      <c r="D1003" s="11">
        <v>-1.3977157224916621E-5</v>
      </c>
      <c r="E1003" s="11">
        <v>7.9631479779620324E-4</v>
      </c>
      <c r="F1003" s="11">
        <v>2.4780710484650505E-2</v>
      </c>
      <c r="G1003" s="3">
        <f t="shared" si="54"/>
        <v>3.1364374237207289E-2</v>
      </c>
      <c r="H1003" s="11"/>
      <c r="I1003" s="17"/>
      <c r="J1003" s="18"/>
    </row>
    <row r="1004" spans="1:10" x14ac:dyDescent="0.25">
      <c r="A1004" s="11">
        <v>9.92</v>
      </c>
      <c r="B1004" s="7">
        <v>9.75</v>
      </c>
      <c r="C1004" s="11">
        <v>6.6637221572904032E-8</v>
      </c>
      <c r="D1004" s="11">
        <v>-1.3977157224916621E-5</v>
      </c>
      <c r="E1004" s="11">
        <v>7.9631479779620324E-4</v>
      </c>
      <c r="F1004" s="11">
        <v>2.4780710484650505E-2</v>
      </c>
      <c r="G1004" s="3">
        <f t="shared" si="54"/>
        <v>3.1369762242534245E-2</v>
      </c>
      <c r="H1004" s="11"/>
      <c r="I1004" s="17"/>
      <c r="J1004" s="18"/>
    </row>
    <row r="1005" spans="1:10" x14ac:dyDescent="0.25">
      <c r="A1005" s="11">
        <v>9.93</v>
      </c>
      <c r="B1005" s="7">
        <v>9.75</v>
      </c>
      <c r="C1005" s="11">
        <v>6.6637221572904032E-8</v>
      </c>
      <c r="D1005" s="11">
        <v>-1.3977157224916621E-5</v>
      </c>
      <c r="E1005" s="11">
        <v>7.9631479779620324E-4</v>
      </c>
      <c r="F1005" s="11">
        <v>2.4780710484650505E-2</v>
      </c>
      <c r="G1005" s="3">
        <f t="shared" si="54"/>
        <v>3.1375147849054499E-2</v>
      </c>
      <c r="H1005" s="11"/>
      <c r="I1005" s="17"/>
      <c r="J1005" s="18"/>
    </row>
    <row r="1006" spans="1:10" x14ac:dyDescent="0.25">
      <c r="A1006" s="11">
        <v>9.94</v>
      </c>
      <c r="B1006" s="7">
        <v>9.75</v>
      </c>
      <c r="C1006" s="11">
        <v>6.6637221572904032E-8</v>
      </c>
      <c r="D1006" s="11">
        <v>-1.3977157224916621E-5</v>
      </c>
      <c r="E1006" s="11">
        <v>7.9631479779620324E-4</v>
      </c>
      <c r="F1006" s="11">
        <v>2.4780710484650505E-2</v>
      </c>
      <c r="G1006" s="3">
        <f t="shared" si="54"/>
        <v>3.1380531057167878E-2</v>
      </c>
      <c r="H1006" s="11"/>
      <c r="I1006" s="17"/>
      <c r="J1006" s="18"/>
    </row>
    <row r="1007" spans="1:10" x14ac:dyDescent="0.25">
      <c r="A1007" s="11">
        <v>9.9499999999999993</v>
      </c>
      <c r="B1007" s="7">
        <v>9.75</v>
      </c>
      <c r="C1007" s="11">
        <v>6.6637221572904032E-8</v>
      </c>
      <c r="D1007" s="11">
        <v>-1.3977157224916621E-5</v>
      </c>
      <c r="E1007" s="11">
        <v>7.9631479779620324E-4</v>
      </c>
      <c r="F1007" s="11">
        <v>2.4780710484650505E-2</v>
      </c>
      <c r="G1007" s="3">
        <f t="shared" si="54"/>
        <v>3.1385911867274192E-2</v>
      </c>
      <c r="H1007" s="11"/>
      <c r="I1007" s="17"/>
      <c r="J1007" s="18"/>
    </row>
    <row r="1008" spans="1:10" x14ac:dyDescent="0.25">
      <c r="A1008" s="11">
        <v>9.9600000000000009</v>
      </c>
      <c r="B1008" s="7">
        <v>9.75</v>
      </c>
      <c r="C1008" s="11">
        <v>6.6637221572904032E-8</v>
      </c>
      <c r="D1008" s="11">
        <v>-1.3977157224916621E-5</v>
      </c>
      <c r="E1008" s="11">
        <v>7.9631479779620324E-4</v>
      </c>
      <c r="F1008" s="11">
        <v>2.4780710484650505E-2</v>
      </c>
      <c r="G1008" s="3">
        <f t="shared" si="54"/>
        <v>3.1391290279773283E-2</v>
      </c>
      <c r="H1008" s="11"/>
      <c r="I1008" s="17"/>
      <c r="J1008" s="18"/>
    </row>
    <row r="1009" spans="1:10" x14ac:dyDescent="0.25">
      <c r="A1009" s="11">
        <v>9.9700000000000006</v>
      </c>
      <c r="B1009" s="7">
        <v>9.75</v>
      </c>
      <c r="C1009" s="11">
        <v>6.6637221572904032E-8</v>
      </c>
      <c r="D1009" s="11">
        <v>-1.3977157224916621E-5</v>
      </c>
      <c r="E1009" s="11">
        <v>7.9631479779620324E-4</v>
      </c>
      <c r="F1009" s="11">
        <v>2.4780710484650505E-2</v>
      </c>
      <c r="G1009" s="3">
        <f t="shared" si="54"/>
        <v>3.1396666295064962E-2</v>
      </c>
      <c r="H1009" s="11"/>
      <c r="I1009" s="17"/>
      <c r="J1009" s="18"/>
    </row>
    <row r="1010" spans="1:10" x14ac:dyDescent="0.25">
      <c r="A1010" s="11">
        <v>9.98</v>
      </c>
      <c r="B1010" s="7">
        <v>9.75</v>
      </c>
      <c r="C1010" s="11">
        <v>6.6637221572904032E-8</v>
      </c>
      <c r="D1010" s="11">
        <v>-1.3977157224916621E-5</v>
      </c>
      <c r="E1010" s="11">
        <v>7.9631479779620324E-4</v>
      </c>
      <c r="F1010" s="11">
        <v>2.4780710484650505E-2</v>
      </c>
      <c r="G1010" s="3">
        <f t="shared" si="54"/>
        <v>3.1402039913549055E-2</v>
      </c>
      <c r="H1010" s="11"/>
      <c r="I1010" s="17"/>
      <c r="J1010" s="18"/>
    </row>
    <row r="1011" spans="1:10" x14ac:dyDescent="0.25">
      <c r="A1011" s="11">
        <v>9.99</v>
      </c>
      <c r="B1011" s="7">
        <v>9.75</v>
      </c>
      <c r="C1011" s="11">
        <v>6.6637221572904032E-8</v>
      </c>
      <c r="D1011" s="11">
        <v>-1.3977157224916621E-5</v>
      </c>
      <c r="E1011" s="11">
        <v>7.9631479779620324E-4</v>
      </c>
      <c r="F1011" s="11">
        <v>2.4780710484650505E-2</v>
      </c>
      <c r="G1011" s="3">
        <f t="shared" si="54"/>
        <v>3.1407411135625389E-2</v>
      </c>
      <c r="H1011" s="11"/>
      <c r="I1011" s="17"/>
      <c r="J1011" s="18"/>
    </row>
    <row r="1012" spans="1:10" x14ac:dyDescent="0.25">
      <c r="A1012" s="11">
        <v>10</v>
      </c>
      <c r="B1012" s="7">
        <v>9.75</v>
      </c>
      <c r="C1012" s="11">
        <v>6.6637221572904032E-8</v>
      </c>
      <c r="D1012" s="11">
        <v>-1.3977157224916621E-5</v>
      </c>
      <c r="E1012" s="11">
        <v>7.9631479779620324E-4</v>
      </c>
      <c r="F1012" s="11">
        <v>2.4780710484650505E-2</v>
      </c>
      <c r="G1012" s="3">
        <f t="shared" si="54"/>
        <v>3.1412779961693782E-2</v>
      </c>
      <c r="H1012" s="11"/>
      <c r="I1012" s="17"/>
      <c r="J1012" s="18"/>
    </row>
    <row r="1013" spans="1:10" x14ac:dyDescent="0.25">
      <c r="I1013" s="17"/>
      <c r="J1013" s="18"/>
    </row>
    <row r="1014" spans="1:10" x14ac:dyDescent="0.25">
      <c r="I1014" s="17"/>
      <c r="J1014" s="18"/>
    </row>
    <row r="1015" spans="1:10" x14ac:dyDescent="0.25">
      <c r="I1015" s="17"/>
      <c r="J1015" s="18"/>
    </row>
    <row r="1016" spans="1:10" x14ac:dyDescent="0.25">
      <c r="I1016" s="17"/>
      <c r="J1016" s="18"/>
    </row>
    <row r="1017" spans="1:10" x14ac:dyDescent="0.25">
      <c r="I1017" s="17"/>
      <c r="J1017" s="18"/>
    </row>
    <row r="1018" spans="1:10" x14ac:dyDescent="0.25">
      <c r="I1018" s="17"/>
      <c r="J1018" s="18"/>
    </row>
    <row r="1019" spans="1:10" x14ac:dyDescent="0.25">
      <c r="I1019" s="17"/>
      <c r="J1019" s="18"/>
    </row>
    <row r="1020" spans="1:10" x14ac:dyDescent="0.25">
      <c r="I1020" s="17"/>
      <c r="J1020" s="18"/>
    </row>
    <row r="1021" spans="1:10" x14ac:dyDescent="0.25">
      <c r="I1021" s="17"/>
      <c r="J1021" s="18"/>
    </row>
    <row r="1022" spans="1:10" x14ac:dyDescent="0.25">
      <c r="I1022" s="17"/>
      <c r="J1022" s="18"/>
    </row>
    <row r="1023" spans="1:10" x14ac:dyDescent="0.25">
      <c r="I1023" s="17"/>
      <c r="J1023" s="18"/>
    </row>
    <row r="1024" spans="1:10" x14ac:dyDescent="0.25">
      <c r="I1024" s="17"/>
      <c r="J1024" s="18"/>
    </row>
    <row r="1025" spans="9:10" x14ac:dyDescent="0.25">
      <c r="I1025" s="17"/>
      <c r="J1025" s="18"/>
    </row>
    <row r="1026" spans="9:10" x14ac:dyDescent="0.25">
      <c r="I1026" s="17"/>
      <c r="J1026" s="18"/>
    </row>
    <row r="1027" spans="9:10" x14ac:dyDescent="0.25">
      <c r="I1027" s="17"/>
      <c r="J1027" s="18"/>
    </row>
    <row r="1028" spans="9:10" x14ac:dyDescent="0.25">
      <c r="I1028" s="17"/>
      <c r="J1028" s="18"/>
    </row>
    <row r="1029" spans="9:10" x14ac:dyDescent="0.25">
      <c r="I1029" s="17"/>
      <c r="J1029" s="18"/>
    </row>
    <row r="1030" spans="9:10" x14ac:dyDescent="0.25">
      <c r="I1030" s="17"/>
      <c r="J1030" s="18"/>
    </row>
    <row r="1031" spans="9:10" x14ac:dyDescent="0.25">
      <c r="I1031" s="17"/>
      <c r="J1031" s="18"/>
    </row>
    <row r="1032" spans="9:10" x14ac:dyDescent="0.25">
      <c r="I1032" s="17"/>
      <c r="J1032" s="18"/>
    </row>
    <row r="1033" spans="9:10" x14ac:dyDescent="0.25">
      <c r="I1033" s="17"/>
      <c r="J1033" s="18"/>
    </row>
    <row r="1034" spans="9:10" x14ac:dyDescent="0.25">
      <c r="I1034" s="17"/>
      <c r="J1034" s="18"/>
    </row>
    <row r="1035" spans="9:10" x14ac:dyDescent="0.25">
      <c r="I1035" s="17"/>
      <c r="J1035" s="18"/>
    </row>
    <row r="1036" spans="9:10" x14ac:dyDescent="0.25">
      <c r="I1036" s="17"/>
      <c r="J1036" s="18"/>
    </row>
    <row r="1037" spans="9:10" x14ac:dyDescent="0.25">
      <c r="I1037" s="17"/>
      <c r="J1037" s="18"/>
    </row>
    <row r="1038" spans="9:10" x14ac:dyDescent="0.25">
      <c r="I1038" s="17"/>
      <c r="J1038" s="18"/>
    </row>
    <row r="1039" spans="9:10" x14ac:dyDescent="0.25">
      <c r="I1039" s="17"/>
      <c r="J1039" s="18"/>
    </row>
    <row r="1040" spans="9:10" x14ac:dyDescent="0.25">
      <c r="I1040" s="17"/>
      <c r="J1040" s="18"/>
    </row>
    <row r="1041" spans="9:10" x14ac:dyDescent="0.25">
      <c r="I1041" s="17"/>
      <c r="J1041" s="18"/>
    </row>
    <row r="1042" spans="9:10" x14ac:dyDescent="0.25">
      <c r="I1042" s="17"/>
      <c r="J1042" s="18"/>
    </row>
    <row r="1043" spans="9:10" x14ac:dyDescent="0.25">
      <c r="I1043" s="17"/>
      <c r="J1043" s="18"/>
    </row>
    <row r="1044" spans="9:10" x14ac:dyDescent="0.25">
      <c r="I1044" s="17"/>
      <c r="J1044" s="18"/>
    </row>
    <row r="1045" spans="9:10" x14ac:dyDescent="0.25">
      <c r="I1045" s="17"/>
      <c r="J1045" s="18"/>
    </row>
    <row r="1046" spans="9:10" x14ac:dyDescent="0.25">
      <c r="I1046" s="17"/>
      <c r="J1046" s="18"/>
    </row>
    <row r="1047" spans="9:10" x14ac:dyDescent="0.25">
      <c r="I1047" s="17"/>
      <c r="J1047" s="18"/>
    </row>
    <row r="1048" spans="9:10" x14ac:dyDescent="0.25">
      <c r="I1048" s="17"/>
      <c r="J1048" s="18"/>
    </row>
    <row r="1049" spans="9:10" x14ac:dyDescent="0.25">
      <c r="I1049" s="17"/>
      <c r="J1049" s="18"/>
    </row>
    <row r="1050" spans="9:10" x14ac:dyDescent="0.25">
      <c r="I1050" s="17"/>
      <c r="J1050" s="18"/>
    </row>
    <row r="1051" spans="9:10" x14ac:dyDescent="0.25">
      <c r="I1051" s="17"/>
      <c r="J1051" s="18"/>
    </row>
    <row r="1052" spans="9:10" x14ac:dyDescent="0.25">
      <c r="I1052" s="17"/>
      <c r="J1052" s="18"/>
    </row>
    <row r="1053" spans="9:10" x14ac:dyDescent="0.25">
      <c r="I1053" s="17"/>
      <c r="J1053" s="18"/>
    </row>
    <row r="1054" spans="9:10" x14ac:dyDescent="0.25">
      <c r="I1054" s="17"/>
      <c r="J1054" s="18"/>
    </row>
    <row r="1055" spans="9:10" x14ac:dyDescent="0.25">
      <c r="I1055" s="17"/>
      <c r="J1055" s="18"/>
    </row>
    <row r="1056" spans="9:10" x14ac:dyDescent="0.25">
      <c r="I1056" s="17"/>
      <c r="J1056" s="18"/>
    </row>
    <row r="1057" spans="9:10" x14ac:dyDescent="0.25">
      <c r="I1057" s="17"/>
      <c r="J1057" s="18"/>
    </row>
    <row r="1058" spans="9:10" x14ac:dyDescent="0.25">
      <c r="I1058" s="17"/>
      <c r="J1058" s="18"/>
    </row>
    <row r="1059" spans="9:10" x14ac:dyDescent="0.25">
      <c r="I1059" s="17"/>
      <c r="J1059" s="18"/>
    </row>
    <row r="1060" spans="9:10" x14ac:dyDescent="0.25">
      <c r="I1060" s="17"/>
      <c r="J1060" s="18"/>
    </row>
    <row r="1061" spans="9:10" x14ac:dyDescent="0.25">
      <c r="I1061" s="17"/>
      <c r="J1061" s="18"/>
    </row>
    <row r="1062" spans="9:10" x14ac:dyDescent="0.25">
      <c r="I1062" s="17"/>
      <c r="J1062" s="18"/>
    </row>
    <row r="1063" spans="9:10" x14ac:dyDescent="0.25">
      <c r="I1063" s="17"/>
      <c r="J1063" s="18"/>
    </row>
    <row r="1064" spans="9:10" x14ac:dyDescent="0.25">
      <c r="I1064" s="17"/>
      <c r="J1064" s="18"/>
    </row>
    <row r="1065" spans="9:10" x14ac:dyDescent="0.25">
      <c r="I1065" s="17"/>
      <c r="J1065" s="18"/>
    </row>
    <row r="1066" spans="9:10" x14ac:dyDescent="0.25">
      <c r="I1066" s="17"/>
      <c r="J1066" s="18"/>
    </row>
    <row r="1067" spans="9:10" x14ac:dyDescent="0.25">
      <c r="I1067" s="17"/>
      <c r="J1067" s="18"/>
    </row>
    <row r="1068" spans="9:10" x14ac:dyDescent="0.25">
      <c r="I1068" s="17"/>
      <c r="J1068" s="18"/>
    </row>
    <row r="1069" spans="9:10" x14ac:dyDescent="0.25">
      <c r="I1069" s="17"/>
      <c r="J1069" s="18"/>
    </row>
    <row r="1070" spans="9:10" x14ac:dyDescent="0.25">
      <c r="I1070" s="17"/>
      <c r="J1070" s="18"/>
    </row>
    <row r="1071" spans="9:10" x14ac:dyDescent="0.25">
      <c r="I1071" s="17"/>
      <c r="J1071" s="18"/>
    </row>
    <row r="1072" spans="9:10" x14ac:dyDescent="0.25">
      <c r="I1072" s="17"/>
      <c r="J1072" s="18"/>
    </row>
    <row r="1073" spans="9:10" x14ac:dyDescent="0.25">
      <c r="I1073" s="17"/>
      <c r="J1073" s="18"/>
    </row>
    <row r="1074" spans="9:10" x14ac:dyDescent="0.25">
      <c r="I1074" s="17"/>
      <c r="J1074" s="18"/>
    </row>
    <row r="1075" spans="9:10" x14ac:dyDescent="0.25">
      <c r="I1075" s="17"/>
      <c r="J1075" s="18"/>
    </row>
    <row r="1076" spans="9:10" x14ac:dyDescent="0.25">
      <c r="I1076" s="17"/>
      <c r="J1076" s="18"/>
    </row>
    <row r="1077" spans="9:10" x14ac:dyDescent="0.25">
      <c r="I1077" s="17"/>
      <c r="J1077" s="18"/>
    </row>
    <row r="1078" spans="9:10" x14ac:dyDescent="0.25">
      <c r="I1078" s="17"/>
      <c r="J1078" s="18"/>
    </row>
    <row r="1079" spans="9:10" x14ac:dyDescent="0.25">
      <c r="I1079" s="17"/>
      <c r="J1079" s="18"/>
    </row>
    <row r="1080" spans="9:10" x14ac:dyDescent="0.25">
      <c r="I1080" s="17"/>
      <c r="J1080" s="18"/>
    </row>
    <row r="1081" spans="9:10" x14ac:dyDescent="0.25">
      <c r="I1081" s="17"/>
      <c r="J1081" s="18"/>
    </row>
    <row r="1082" spans="9:10" x14ac:dyDescent="0.25">
      <c r="I1082" s="17"/>
      <c r="J1082" s="18"/>
    </row>
    <row r="1083" spans="9:10" x14ac:dyDescent="0.25">
      <c r="I1083" s="17"/>
      <c r="J1083" s="18"/>
    </row>
    <row r="1084" spans="9:10" x14ac:dyDescent="0.25">
      <c r="I1084" s="17"/>
      <c r="J1084" s="18"/>
    </row>
    <row r="1085" spans="9:10" x14ac:dyDescent="0.25">
      <c r="I1085" s="17"/>
      <c r="J1085" s="18"/>
    </row>
    <row r="1086" spans="9:10" x14ac:dyDescent="0.25">
      <c r="I1086" s="17"/>
      <c r="J1086" s="18"/>
    </row>
    <row r="1087" spans="9:10" x14ac:dyDescent="0.25">
      <c r="I1087" s="17"/>
      <c r="J1087" s="18"/>
    </row>
    <row r="1088" spans="9:10" x14ac:dyDescent="0.25">
      <c r="I1088" s="17"/>
      <c r="J1088" s="18"/>
    </row>
    <row r="1089" spans="9:10" x14ac:dyDescent="0.25">
      <c r="I1089" s="17"/>
      <c r="J1089" s="18"/>
    </row>
    <row r="1090" spans="9:10" x14ac:dyDescent="0.25">
      <c r="I1090" s="17"/>
      <c r="J1090" s="18"/>
    </row>
    <row r="1091" spans="9:10" x14ac:dyDescent="0.25">
      <c r="I1091" s="17"/>
      <c r="J1091" s="18"/>
    </row>
    <row r="1092" spans="9:10" x14ac:dyDescent="0.25">
      <c r="I1092" s="17"/>
      <c r="J1092" s="18"/>
    </row>
    <row r="1093" spans="9:10" x14ac:dyDescent="0.25">
      <c r="I1093" s="17"/>
      <c r="J1093" s="18"/>
    </row>
    <row r="1094" spans="9:10" x14ac:dyDescent="0.25">
      <c r="I1094" s="17"/>
      <c r="J1094" s="18"/>
    </row>
    <row r="1095" spans="9:10" x14ac:dyDescent="0.25">
      <c r="I1095" s="17"/>
      <c r="J1095" s="18"/>
    </row>
    <row r="1096" spans="9:10" x14ac:dyDescent="0.25">
      <c r="I1096" s="17"/>
      <c r="J1096" s="18"/>
    </row>
    <row r="1097" spans="9:10" x14ac:dyDescent="0.25">
      <c r="I1097" s="17"/>
      <c r="J1097" s="18"/>
    </row>
    <row r="1098" spans="9:10" x14ac:dyDescent="0.25">
      <c r="I1098" s="17"/>
      <c r="J1098" s="18"/>
    </row>
    <row r="1099" spans="9:10" x14ac:dyDescent="0.25">
      <c r="I1099" s="17"/>
      <c r="J1099" s="18"/>
    </row>
    <row r="1100" spans="9:10" x14ac:dyDescent="0.25">
      <c r="I1100" s="17"/>
      <c r="J1100" s="18"/>
    </row>
    <row r="1101" spans="9:10" x14ac:dyDescent="0.25">
      <c r="I1101" s="17"/>
      <c r="J1101" s="18"/>
    </row>
    <row r="1102" spans="9:10" x14ac:dyDescent="0.25">
      <c r="I1102" s="17"/>
      <c r="J1102" s="18"/>
    </row>
    <row r="1103" spans="9:10" x14ac:dyDescent="0.25">
      <c r="I1103" s="17"/>
      <c r="J1103" s="18"/>
    </row>
    <row r="1104" spans="9:10" x14ac:dyDescent="0.25">
      <c r="I1104" s="17"/>
      <c r="J1104" s="18"/>
    </row>
    <row r="1105" spans="9:10" x14ac:dyDescent="0.25">
      <c r="I1105" s="17"/>
      <c r="J1105" s="18"/>
    </row>
    <row r="1106" spans="9:10" x14ac:dyDescent="0.25">
      <c r="I1106" s="17"/>
      <c r="J1106" s="18"/>
    </row>
    <row r="1107" spans="9:10" x14ac:dyDescent="0.25">
      <c r="I1107" s="17"/>
      <c r="J1107" s="18"/>
    </row>
    <row r="1108" spans="9:10" x14ac:dyDescent="0.25">
      <c r="I1108" s="17"/>
      <c r="J1108" s="18"/>
    </row>
    <row r="1109" spans="9:10" x14ac:dyDescent="0.25">
      <c r="I1109" s="17"/>
      <c r="J1109" s="18"/>
    </row>
    <row r="1110" spans="9:10" x14ac:dyDescent="0.25">
      <c r="I1110" s="17"/>
      <c r="J1110" s="18"/>
    </row>
    <row r="1111" spans="9:10" x14ac:dyDescent="0.25">
      <c r="I1111" s="17"/>
      <c r="J1111" s="18"/>
    </row>
    <row r="1112" spans="9:10" x14ac:dyDescent="0.25">
      <c r="I1112" s="17"/>
      <c r="J1112" s="18"/>
    </row>
    <row r="1113" spans="9:10" x14ac:dyDescent="0.25">
      <c r="I1113" s="17"/>
      <c r="J1113" s="18"/>
    </row>
    <row r="1114" spans="9:10" x14ac:dyDescent="0.25">
      <c r="I1114" s="17"/>
      <c r="J1114" s="18"/>
    </row>
    <row r="1115" spans="9:10" x14ac:dyDescent="0.25">
      <c r="I1115" s="17"/>
      <c r="J1115" s="18"/>
    </row>
    <row r="1116" spans="9:10" x14ac:dyDescent="0.25">
      <c r="I1116" s="17"/>
      <c r="J1116" s="18"/>
    </row>
    <row r="1117" spans="9:10" x14ac:dyDescent="0.25">
      <c r="I1117" s="17"/>
      <c r="J1117" s="18"/>
    </row>
    <row r="1118" spans="9:10" x14ac:dyDescent="0.25">
      <c r="I1118" s="17"/>
      <c r="J1118" s="18"/>
    </row>
    <row r="1119" spans="9:10" x14ac:dyDescent="0.25">
      <c r="I1119" s="17"/>
      <c r="J1119" s="18"/>
    </row>
    <row r="1120" spans="9:10" x14ac:dyDescent="0.25">
      <c r="I1120" s="17"/>
      <c r="J1120" s="18"/>
    </row>
    <row r="1121" spans="9:10" x14ac:dyDescent="0.25">
      <c r="I1121" s="17"/>
      <c r="J1121" s="18"/>
    </row>
    <row r="1122" spans="9:10" x14ac:dyDescent="0.25">
      <c r="I1122" s="17"/>
      <c r="J1122" s="18"/>
    </row>
    <row r="1123" spans="9:10" x14ac:dyDescent="0.25">
      <c r="I1123" s="17"/>
      <c r="J1123" s="18"/>
    </row>
    <row r="1124" spans="9:10" x14ac:dyDescent="0.25">
      <c r="I1124" s="17"/>
      <c r="J1124" s="18"/>
    </row>
    <row r="1125" spans="9:10" x14ac:dyDescent="0.25">
      <c r="I1125" s="17"/>
      <c r="J1125" s="18"/>
    </row>
    <row r="1126" spans="9:10" x14ac:dyDescent="0.25">
      <c r="I1126" s="17"/>
      <c r="J1126" s="18"/>
    </row>
    <row r="1127" spans="9:10" x14ac:dyDescent="0.25">
      <c r="I1127" s="17"/>
      <c r="J1127" s="18"/>
    </row>
    <row r="1128" spans="9:10" x14ac:dyDescent="0.25">
      <c r="I1128" s="17"/>
      <c r="J1128" s="18"/>
    </row>
    <row r="1129" spans="9:10" x14ac:dyDescent="0.25">
      <c r="I1129" s="17"/>
      <c r="J1129" s="18"/>
    </row>
    <row r="1130" spans="9:10" x14ac:dyDescent="0.25">
      <c r="I1130" s="17"/>
      <c r="J1130" s="18"/>
    </row>
    <row r="1131" spans="9:10" x14ac:dyDescent="0.25">
      <c r="I1131" s="17"/>
      <c r="J1131" s="18"/>
    </row>
    <row r="1132" spans="9:10" x14ac:dyDescent="0.25">
      <c r="I1132" s="17"/>
      <c r="J1132" s="18"/>
    </row>
    <row r="1133" spans="9:10" x14ac:dyDescent="0.25">
      <c r="I1133" s="17"/>
      <c r="J1133" s="18"/>
    </row>
    <row r="1134" spans="9:10" x14ac:dyDescent="0.25">
      <c r="I1134" s="17"/>
      <c r="J1134" s="18"/>
    </row>
    <row r="1135" spans="9:10" x14ac:dyDescent="0.25">
      <c r="I1135" s="17"/>
      <c r="J1135" s="18"/>
    </row>
    <row r="1136" spans="9:10" x14ac:dyDescent="0.25">
      <c r="I1136" s="17"/>
      <c r="J1136" s="18"/>
    </row>
    <row r="1137" spans="9:10" x14ac:dyDescent="0.25">
      <c r="I1137" s="17"/>
      <c r="J1137" s="18"/>
    </row>
    <row r="1138" spans="9:10" x14ac:dyDescent="0.25">
      <c r="I1138" s="17"/>
      <c r="J1138" s="18"/>
    </row>
    <row r="1139" spans="9:10" x14ac:dyDescent="0.25">
      <c r="I1139" s="17"/>
      <c r="J1139" s="18"/>
    </row>
    <row r="1140" spans="9:10" x14ac:dyDescent="0.25">
      <c r="I1140" s="17"/>
      <c r="J1140" s="18"/>
    </row>
    <row r="1141" spans="9:10" x14ac:dyDescent="0.25">
      <c r="I1141" s="17"/>
      <c r="J1141" s="18"/>
    </row>
    <row r="1142" spans="9:10" x14ac:dyDescent="0.25">
      <c r="I1142" s="17"/>
      <c r="J1142" s="18"/>
    </row>
    <row r="1143" spans="9:10" x14ac:dyDescent="0.25">
      <c r="I1143" s="17"/>
      <c r="J1143" s="18"/>
    </row>
    <row r="1144" spans="9:10" x14ac:dyDescent="0.25">
      <c r="I1144" s="17"/>
      <c r="J1144" s="18"/>
    </row>
    <row r="1145" spans="9:10" x14ac:dyDescent="0.25">
      <c r="I1145" s="17"/>
      <c r="J1145" s="18"/>
    </row>
    <row r="1146" spans="9:10" x14ac:dyDescent="0.25">
      <c r="I1146" s="17"/>
      <c r="J1146" s="18"/>
    </row>
    <row r="1147" spans="9:10" x14ac:dyDescent="0.25">
      <c r="I1147" s="17"/>
      <c r="J1147" s="18"/>
    </row>
    <row r="1148" spans="9:10" x14ac:dyDescent="0.25">
      <c r="I1148" s="17"/>
      <c r="J1148" s="18"/>
    </row>
    <row r="1149" spans="9:10" x14ac:dyDescent="0.25">
      <c r="I1149" s="17"/>
      <c r="J1149" s="18"/>
    </row>
    <row r="1150" spans="9:10" x14ac:dyDescent="0.25">
      <c r="I1150" s="17"/>
      <c r="J1150" s="18"/>
    </row>
    <row r="1151" spans="9:10" x14ac:dyDescent="0.25">
      <c r="I1151" s="17"/>
      <c r="J1151" s="18"/>
    </row>
    <row r="1152" spans="9:10" x14ac:dyDescent="0.25">
      <c r="I1152" s="17"/>
      <c r="J1152" s="18"/>
    </row>
    <row r="1153" spans="9:10" x14ac:dyDescent="0.25">
      <c r="I1153" s="17"/>
      <c r="J1153" s="18"/>
    </row>
    <row r="1154" spans="9:10" x14ac:dyDescent="0.25">
      <c r="I1154" s="17"/>
      <c r="J1154" s="18"/>
    </row>
    <row r="1155" spans="9:10" x14ac:dyDescent="0.25">
      <c r="I1155" s="17"/>
      <c r="J1155" s="18"/>
    </row>
    <row r="1156" spans="9:10" x14ac:dyDescent="0.25">
      <c r="I1156" s="17"/>
      <c r="J1156" s="18"/>
    </row>
    <row r="1157" spans="9:10" x14ac:dyDescent="0.25">
      <c r="I1157" s="17"/>
      <c r="J1157" s="18"/>
    </row>
    <row r="1158" spans="9:10" x14ac:dyDescent="0.25">
      <c r="I1158" s="17"/>
      <c r="J1158" s="18"/>
    </row>
    <row r="1159" spans="9:10" x14ac:dyDescent="0.25">
      <c r="I1159" s="17"/>
      <c r="J1159" s="18"/>
    </row>
    <row r="1160" spans="9:10" x14ac:dyDescent="0.25">
      <c r="I1160" s="17"/>
      <c r="J1160" s="18"/>
    </row>
    <row r="1161" spans="9:10" x14ac:dyDescent="0.25">
      <c r="I1161" s="17"/>
      <c r="J1161" s="18"/>
    </row>
    <row r="1162" spans="9:10" x14ac:dyDescent="0.25">
      <c r="I1162" s="17"/>
      <c r="J1162" s="18"/>
    </row>
    <row r="1163" spans="9:10" x14ac:dyDescent="0.25">
      <c r="I1163" s="17"/>
      <c r="J1163" s="18"/>
    </row>
    <row r="1164" spans="9:10" x14ac:dyDescent="0.25">
      <c r="I1164" s="17"/>
      <c r="J1164" s="18"/>
    </row>
    <row r="1165" spans="9:10" x14ac:dyDescent="0.25">
      <c r="I1165" s="17"/>
      <c r="J1165" s="18"/>
    </row>
    <row r="1166" spans="9:10" x14ac:dyDescent="0.25">
      <c r="I1166" s="17"/>
      <c r="J1166" s="18"/>
    </row>
    <row r="1167" spans="9:10" x14ac:dyDescent="0.25">
      <c r="I1167" s="17"/>
      <c r="J1167" s="18"/>
    </row>
    <row r="1168" spans="9:10" x14ac:dyDescent="0.25">
      <c r="I1168" s="17"/>
      <c r="J1168" s="18"/>
    </row>
    <row r="1169" spans="9:10" x14ac:dyDescent="0.25">
      <c r="I1169" s="17"/>
      <c r="J1169" s="18"/>
    </row>
    <row r="1170" spans="9:10" x14ac:dyDescent="0.25">
      <c r="I1170" s="17"/>
      <c r="J1170" s="18"/>
    </row>
    <row r="1171" spans="9:10" x14ac:dyDescent="0.25">
      <c r="I1171" s="17"/>
      <c r="J1171" s="18"/>
    </row>
    <row r="1172" spans="9:10" x14ac:dyDescent="0.25">
      <c r="I1172" s="17"/>
      <c r="J1172" s="18"/>
    </row>
    <row r="1173" spans="9:10" x14ac:dyDescent="0.25">
      <c r="I1173" s="17"/>
      <c r="J1173" s="18"/>
    </row>
    <row r="1174" spans="9:10" x14ac:dyDescent="0.25">
      <c r="I1174" s="17"/>
      <c r="J1174" s="18"/>
    </row>
    <row r="1175" spans="9:10" x14ac:dyDescent="0.25">
      <c r="I1175" s="17"/>
      <c r="J1175" s="18"/>
    </row>
    <row r="1176" spans="9:10" x14ac:dyDescent="0.25">
      <c r="I1176" s="17"/>
      <c r="J1176" s="18"/>
    </row>
    <row r="1177" spans="9:10" x14ac:dyDescent="0.25">
      <c r="I1177" s="17"/>
      <c r="J1177" s="18"/>
    </row>
    <row r="1178" spans="9:10" x14ac:dyDescent="0.25">
      <c r="I1178" s="17"/>
      <c r="J1178" s="18"/>
    </row>
    <row r="1179" spans="9:10" x14ac:dyDescent="0.25">
      <c r="I1179" s="17"/>
      <c r="J1179" s="18"/>
    </row>
    <row r="1180" spans="9:10" x14ac:dyDescent="0.25">
      <c r="I1180" s="17"/>
      <c r="J1180" s="18"/>
    </row>
    <row r="1181" spans="9:10" x14ac:dyDescent="0.25">
      <c r="I1181" s="17"/>
      <c r="J1181" s="18"/>
    </row>
    <row r="1182" spans="9:10" x14ac:dyDescent="0.25">
      <c r="I1182" s="17"/>
      <c r="J1182" s="18"/>
    </row>
    <row r="1183" spans="9:10" x14ac:dyDescent="0.25">
      <c r="I1183" s="17"/>
      <c r="J1183" s="18"/>
    </row>
    <row r="1184" spans="9:10" x14ac:dyDescent="0.25">
      <c r="I1184" s="17"/>
      <c r="J1184" s="18"/>
    </row>
    <row r="1185" spans="9:10" x14ac:dyDescent="0.25">
      <c r="I1185" s="17"/>
      <c r="J1185" s="18"/>
    </row>
    <row r="1186" spans="9:10" x14ac:dyDescent="0.25">
      <c r="I1186" s="17"/>
      <c r="J1186" s="18"/>
    </row>
    <row r="1187" spans="9:10" x14ac:dyDescent="0.25">
      <c r="I1187" s="17"/>
      <c r="J1187" s="18"/>
    </row>
    <row r="1188" spans="9:10" x14ac:dyDescent="0.25">
      <c r="I1188" s="17"/>
      <c r="J1188" s="18"/>
    </row>
    <row r="1189" spans="9:10" x14ac:dyDescent="0.25">
      <c r="I1189" s="17"/>
      <c r="J1189" s="18"/>
    </row>
    <row r="1190" spans="9:10" x14ac:dyDescent="0.25">
      <c r="I1190" s="17"/>
      <c r="J1190" s="18"/>
    </row>
    <row r="1191" spans="9:10" x14ac:dyDescent="0.25">
      <c r="I1191" s="17"/>
      <c r="J1191" s="18"/>
    </row>
    <row r="1192" spans="9:10" x14ac:dyDescent="0.25">
      <c r="I1192" s="17"/>
      <c r="J1192" s="18"/>
    </row>
    <row r="1193" spans="9:10" x14ac:dyDescent="0.25">
      <c r="I1193" s="17"/>
      <c r="J1193" s="18"/>
    </row>
    <row r="1194" spans="9:10" x14ac:dyDescent="0.25">
      <c r="I1194" s="17"/>
      <c r="J1194" s="18"/>
    </row>
    <row r="1195" spans="9:10" x14ac:dyDescent="0.25">
      <c r="I1195" s="17"/>
      <c r="J1195" s="18"/>
    </row>
    <row r="1196" spans="9:10" x14ac:dyDescent="0.25">
      <c r="I1196" s="17"/>
      <c r="J1196" s="18"/>
    </row>
    <row r="1197" spans="9:10" x14ac:dyDescent="0.25">
      <c r="I1197" s="17"/>
      <c r="J1197" s="18"/>
    </row>
    <row r="1198" spans="9:10" x14ac:dyDescent="0.25">
      <c r="I1198" s="17"/>
      <c r="J1198" s="18"/>
    </row>
    <row r="1199" spans="9:10" x14ac:dyDescent="0.25">
      <c r="I1199" s="17"/>
      <c r="J1199" s="18"/>
    </row>
    <row r="1200" spans="9:10" x14ac:dyDescent="0.25">
      <c r="I1200" s="17"/>
      <c r="J1200" s="18"/>
    </row>
    <row r="1201" spans="9:10" x14ac:dyDescent="0.25">
      <c r="I1201" s="17"/>
      <c r="J1201" s="18"/>
    </row>
    <row r="1202" spans="9:10" x14ac:dyDescent="0.25">
      <c r="I1202" s="17"/>
      <c r="J1202" s="18"/>
    </row>
    <row r="1203" spans="9:10" x14ac:dyDescent="0.25">
      <c r="I1203" s="17"/>
      <c r="J1203" s="18"/>
    </row>
    <row r="1204" spans="9:10" x14ac:dyDescent="0.25">
      <c r="I1204" s="17"/>
      <c r="J1204" s="18"/>
    </row>
    <row r="1205" spans="9:10" x14ac:dyDescent="0.25">
      <c r="I1205" s="17"/>
      <c r="J1205" s="18"/>
    </row>
    <row r="1206" spans="9:10" x14ac:dyDescent="0.25">
      <c r="I1206" s="17"/>
      <c r="J1206" s="18"/>
    </row>
    <row r="1207" spans="9:10" x14ac:dyDescent="0.25">
      <c r="I1207" s="17"/>
      <c r="J1207" s="18"/>
    </row>
    <row r="1208" spans="9:10" x14ac:dyDescent="0.25">
      <c r="I1208" s="17"/>
      <c r="J1208" s="18"/>
    </row>
    <row r="1209" spans="9:10" x14ac:dyDescent="0.25">
      <c r="I1209" s="17"/>
      <c r="J1209" s="18"/>
    </row>
    <row r="1210" spans="9:10" x14ac:dyDescent="0.25">
      <c r="I1210" s="17"/>
      <c r="J1210" s="18"/>
    </row>
    <row r="1211" spans="9:10" x14ac:dyDescent="0.25">
      <c r="I1211" s="17"/>
      <c r="J1211" s="18"/>
    </row>
    <row r="1212" spans="9:10" x14ac:dyDescent="0.25">
      <c r="I1212" s="17"/>
      <c r="J1212" s="18"/>
    </row>
    <row r="1213" spans="9:10" x14ac:dyDescent="0.25">
      <c r="I1213" s="17"/>
      <c r="J1213" s="18"/>
    </row>
    <row r="1214" spans="9:10" x14ac:dyDescent="0.25">
      <c r="I1214" s="17"/>
      <c r="J1214" s="18"/>
    </row>
    <row r="1215" spans="9:10" x14ac:dyDescent="0.25">
      <c r="I1215" s="17"/>
      <c r="J1215" s="18"/>
    </row>
    <row r="1216" spans="9:10" x14ac:dyDescent="0.25">
      <c r="I1216" s="17"/>
      <c r="J1216" s="18"/>
    </row>
    <row r="1217" spans="9:10" x14ac:dyDescent="0.25">
      <c r="I1217" s="17"/>
      <c r="J1217" s="18"/>
    </row>
    <row r="1218" spans="9:10" x14ac:dyDescent="0.25">
      <c r="I1218" s="17"/>
      <c r="J1218" s="18"/>
    </row>
    <row r="1219" spans="9:10" x14ac:dyDescent="0.25">
      <c r="I1219" s="17"/>
      <c r="J1219" s="18"/>
    </row>
    <row r="1220" spans="9:10" x14ac:dyDescent="0.25">
      <c r="I1220" s="17"/>
      <c r="J1220" s="18"/>
    </row>
    <row r="1221" spans="9:10" x14ac:dyDescent="0.25">
      <c r="I1221" s="17"/>
      <c r="J1221" s="18"/>
    </row>
    <row r="1222" spans="9:10" x14ac:dyDescent="0.25">
      <c r="I1222" s="17"/>
      <c r="J1222" s="18"/>
    </row>
    <row r="1223" spans="9:10" x14ac:dyDescent="0.25">
      <c r="I1223" s="17"/>
      <c r="J1223" s="18"/>
    </row>
    <row r="1224" spans="9:10" x14ac:dyDescent="0.25">
      <c r="I1224" s="17"/>
      <c r="J1224" s="18"/>
    </row>
    <row r="1225" spans="9:10" x14ac:dyDescent="0.25">
      <c r="I1225" s="17"/>
      <c r="J1225" s="18"/>
    </row>
    <row r="1226" spans="9:10" x14ac:dyDescent="0.25">
      <c r="I1226" s="17"/>
      <c r="J1226" s="18"/>
    </row>
    <row r="1227" spans="9:10" x14ac:dyDescent="0.25">
      <c r="I1227" s="17"/>
      <c r="J1227" s="18"/>
    </row>
    <row r="1228" spans="9:10" x14ac:dyDescent="0.25">
      <c r="I1228" s="17"/>
      <c r="J1228" s="18"/>
    </row>
    <row r="1229" spans="9:10" x14ac:dyDescent="0.25">
      <c r="I1229" s="17"/>
      <c r="J1229" s="18"/>
    </row>
    <row r="1230" spans="9:10" x14ac:dyDescent="0.25">
      <c r="I1230" s="17"/>
      <c r="J1230" s="18"/>
    </row>
    <row r="1231" spans="9:10" x14ac:dyDescent="0.25">
      <c r="I1231" s="17"/>
      <c r="J1231" s="18"/>
    </row>
    <row r="1232" spans="9:10" x14ac:dyDescent="0.25">
      <c r="I1232" s="17"/>
      <c r="J1232" s="18"/>
    </row>
    <row r="1233" spans="9:10" x14ac:dyDescent="0.25">
      <c r="I1233" s="17"/>
      <c r="J1233" s="18"/>
    </row>
    <row r="1234" spans="9:10" x14ac:dyDescent="0.25">
      <c r="I1234" s="17"/>
      <c r="J1234" s="18"/>
    </row>
    <row r="1235" spans="9:10" x14ac:dyDescent="0.25">
      <c r="I1235" s="17"/>
      <c r="J1235" s="18"/>
    </row>
    <row r="1236" spans="9:10" x14ac:dyDescent="0.25">
      <c r="I1236" s="17"/>
      <c r="J1236" s="18"/>
    </row>
    <row r="1237" spans="9:10" x14ac:dyDescent="0.25">
      <c r="I1237" s="17"/>
      <c r="J1237" s="18"/>
    </row>
    <row r="1238" spans="9:10" x14ac:dyDescent="0.25">
      <c r="I1238" s="17"/>
      <c r="J1238" s="18"/>
    </row>
    <row r="1239" spans="9:10" x14ac:dyDescent="0.25">
      <c r="I1239" s="17"/>
      <c r="J1239" s="18"/>
    </row>
    <row r="1240" spans="9:10" x14ac:dyDescent="0.25">
      <c r="I1240" s="17"/>
      <c r="J1240" s="18"/>
    </row>
    <row r="1241" spans="9:10" x14ac:dyDescent="0.25">
      <c r="I1241" s="17"/>
      <c r="J1241" s="18"/>
    </row>
    <row r="1242" spans="9:10" x14ac:dyDescent="0.25">
      <c r="I1242" s="17"/>
      <c r="J1242" s="18"/>
    </row>
    <row r="1243" spans="9:10" x14ac:dyDescent="0.25">
      <c r="I1243" s="17"/>
      <c r="J1243" s="18"/>
    </row>
    <row r="1244" spans="9:10" x14ac:dyDescent="0.25">
      <c r="I1244" s="17"/>
      <c r="J1244" s="18"/>
    </row>
    <row r="1245" spans="9:10" x14ac:dyDescent="0.25">
      <c r="I1245" s="17"/>
      <c r="J1245" s="18"/>
    </row>
    <row r="1246" spans="9:10" x14ac:dyDescent="0.25">
      <c r="I1246" s="17"/>
      <c r="J1246" s="18"/>
    </row>
    <row r="1247" spans="9:10" x14ac:dyDescent="0.25">
      <c r="I1247" s="17"/>
      <c r="J1247" s="18"/>
    </row>
    <row r="1248" spans="9:10" x14ac:dyDescent="0.25">
      <c r="I1248" s="17"/>
      <c r="J1248" s="18"/>
    </row>
    <row r="1249" spans="9:10" x14ac:dyDescent="0.25">
      <c r="I1249" s="17"/>
      <c r="J1249" s="18"/>
    </row>
    <row r="1250" spans="9:10" x14ac:dyDescent="0.25">
      <c r="I1250" s="17"/>
      <c r="J1250" s="18"/>
    </row>
    <row r="1251" spans="9:10" x14ac:dyDescent="0.25">
      <c r="I1251" s="17"/>
      <c r="J1251" s="18"/>
    </row>
    <row r="1252" spans="9:10" x14ac:dyDescent="0.25">
      <c r="I1252" s="17"/>
      <c r="J1252" s="18"/>
    </row>
    <row r="1253" spans="9:10" x14ac:dyDescent="0.25">
      <c r="I1253" s="17"/>
      <c r="J1253" s="18"/>
    </row>
    <row r="1254" spans="9:10" x14ac:dyDescent="0.25">
      <c r="I1254" s="17"/>
      <c r="J1254" s="18"/>
    </row>
    <row r="1255" spans="9:10" x14ac:dyDescent="0.25">
      <c r="I1255" s="17"/>
      <c r="J1255" s="18"/>
    </row>
    <row r="1256" spans="9:10" x14ac:dyDescent="0.25">
      <c r="I1256" s="17"/>
      <c r="J1256" s="18"/>
    </row>
    <row r="1257" spans="9:10" x14ac:dyDescent="0.25">
      <c r="I1257" s="17"/>
      <c r="J1257" s="18"/>
    </row>
    <row r="1258" spans="9:10" x14ac:dyDescent="0.25">
      <c r="I1258" s="17"/>
      <c r="J1258" s="18"/>
    </row>
    <row r="1259" spans="9:10" x14ac:dyDescent="0.25">
      <c r="I1259" s="17"/>
      <c r="J1259" s="18"/>
    </row>
    <row r="1260" spans="9:10" x14ac:dyDescent="0.25">
      <c r="I1260" s="17"/>
      <c r="J1260" s="18"/>
    </row>
    <row r="1261" spans="9:10" x14ac:dyDescent="0.25">
      <c r="I1261" s="17"/>
      <c r="J1261" s="18"/>
    </row>
    <row r="1262" spans="9:10" x14ac:dyDescent="0.25">
      <c r="I1262" s="17"/>
      <c r="J1262" s="18"/>
    </row>
    <row r="1263" spans="9:10" x14ac:dyDescent="0.25">
      <c r="I1263" s="17"/>
      <c r="J1263" s="18"/>
    </row>
    <row r="1264" spans="9:10" x14ac:dyDescent="0.25">
      <c r="I1264" s="17"/>
      <c r="J1264" s="18"/>
    </row>
    <row r="1265" spans="9:10" x14ac:dyDescent="0.25">
      <c r="I1265" s="17"/>
      <c r="J1265" s="18"/>
    </row>
    <row r="1266" spans="9:10" x14ac:dyDescent="0.25">
      <c r="I1266" s="17"/>
      <c r="J1266" s="18"/>
    </row>
    <row r="1267" spans="9:10" x14ac:dyDescent="0.25">
      <c r="I1267" s="17"/>
      <c r="J1267" s="18"/>
    </row>
    <row r="1268" spans="9:10" x14ac:dyDescent="0.25">
      <c r="I1268" s="17"/>
      <c r="J1268" s="18"/>
    </row>
    <row r="1269" spans="9:10" x14ac:dyDescent="0.25">
      <c r="I1269" s="17"/>
      <c r="J1269" s="18"/>
    </row>
    <row r="1270" spans="9:10" x14ac:dyDescent="0.25">
      <c r="I1270" s="17"/>
      <c r="J1270" s="18"/>
    </row>
    <row r="1271" spans="9:10" x14ac:dyDescent="0.25">
      <c r="I1271" s="17"/>
      <c r="J1271" s="18"/>
    </row>
    <row r="1272" spans="9:10" x14ac:dyDescent="0.25">
      <c r="I1272" s="17"/>
      <c r="J1272" s="18"/>
    </row>
    <row r="1273" spans="9:10" x14ac:dyDescent="0.25">
      <c r="I1273" s="17"/>
      <c r="J1273" s="18"/>
    </row>
    <row r="1274" spans="9:10" x14ac:dyDescent="0.25">
      <c r="I1274" s="17"/>
      <c r="J1274" s="18"/>
    </row>
    <row r="1275" spans="9:10" x14ac:dyDescent="0.25">
      <c r="I1275" s="17"/>
      <c r="J1275" s="18"/>
    </row>
    <row r="1276" spans="9:10" x14ac:dyDescent="0.25">
      <c r="I1276" s="17"/>
      <c r="J1276" s="18"/>
    </row>
    <row r="1277" spans="9:10" x14ac:dyDescent="0.25">
      <c r="I1277" s="17"/>
      <c r="J1277" s="18"/>
    </row>
    <row r="1278" spans="9:10" x14ac:dyDescent="0.25">
      <c r="I1278" s="17"/>
      <c r="J1278" s="18"/>
    </row>
    <row r="1279" spans="9:10" x14ac:dyDescent="0.25">
      <c r="I1279" s="17"/>
      <c r="J1279" s="18"/>
    </row>
    <row r="1280" spans="9:10" x14ac:dyDescent="0.25">
      <c r="I1280" s="17"/>
      <c r="J1280" s="18"/>
    </row>
    <row r="1281" spans="9:10" x14ac:dyDescent="0.25">
      <c r="I1281" s="17"/>
      <c r="J1281" s="18"/>
    </row>
    <row r="1282" spans="9:10" x14ac:dyDescent="0.25">
      <c r="I1282" s="17"/>
      <c r="J1282" s="18"/>
    </row>
    <row r="1283" spans="9:10" x14ac:dyDescent="0.25">
      <c r="I1283" s="17"/>
      <c r="J1283" s="18"/>
    </row>
    <row r="1284" spans="9:10" x14ac:dyDescent="0.25">
      <c r="I1284" s="17"/>
      <c r="J1284" s="18"/>
    </row>
    <row r="1285" spans="9:10" x14ac:dyDescent="0.25">
      <c r="I1285" s="17"/>
      <c r="J1285" s="18"/>
    </row>
    <row r="1286" spans="9:10" x14ac:dyDescent="0.25">
      <c r="I1286" s="17"/>
      <c r="J1286" s="18"/>
    </row>
    <row r="1287" spans="9:10" x14ac:dyDescent="0.25">
      <c r="I1287" s="17"/>
      <c r="J1287" s="18"/>
    </row>
    <row r="1288" spans="9:10" x14ac:dyDescent="0.25">
      <c r="I1288" s="17"/>
      <c r="J1288" s="18"/>
    </row>
    <row r="1289" spans="9:10" x14ac:dyDescent="0.25">
      <c r="I1289" s="17"/>
      <c r="J1289" s="18"/>
    </row>
    <row r="1290" spans="9:10" x14ac:dyDescent="0.25">
      <c r="I1290" s="17"/>
      <c r="J1290" s="18"/>
    </row>
    <row r="1291" spans="9:10" x14ac:dyDescent="0.25">
      <c r="I1291" s="17"/>
      <c r="J1291" s="18"/>
    </row>
    <row r="1292" spans="9:10" x14ac:dyDescent="0.25">
      <c r="I1292" s="17"/>
      <c r="J1292" s="18"/>
    </row>
    <row r="1293" spans="9:10" x14ac:dyDescent="0.25">
      <c r="I1293" s="17"/>
      <c r="J1293" s="18"/>
    </row>
    <row r="1294" spans="9:10" x14ac:dyDescent="0.25">
      <c r="I1294" s="17"/>
      <c r="J1294" s="18"/>
    </row>
    <row r="1295" spans="9:10" x14ac:dyDescent="0.25">
      <c r="I1295" s="17"/>
      <c r="J1295" s="18"/>
    </row>
    <row r="1296" spans="9:10" x14ac:dyDescent="0.25">
      <c r="I1296" s="17"/>
      <c r="J1296" s="18"/>
    </row>
    <row r="1297" spans="9:10" x14ac:dyDescent="0.25">
      <c r="I1297" s="17"/>
      <c r="J1297" s="18"/>
    </row>
    <row r="1298" spans="9:10" x14ac:dyDescent="0.25">
      <c r="I1298" s="17"/>
      <c r="J1298" s="18"/>
    </row>
    <row r="1299" spans="9:10" x14ac:dyDescent="0.25">
      <c r="I1299" s="17"/>
      <c r="J1299" s="18"/>
    </row>
    <row r="1300" spans="9:10" x14ac:dyDescent="0.25">
      <c r="I1300" s="17"/>
      <c r="J1300" s="18"/>
    </row>
    <row r="1301" spans="9:10" x14ac:dyDescent="0.25">
      <c r="I1301" s="17"/>
      <c r="J1301" s="18"/>
    </row>
    <row r="1302" spans="9:10" x14ac:dyDescent="0.25">
      <c r="I1302" s="17"/>
      <c r="J1302" s="18"/>
    </row>
    <row r="1303" spans="9:10" x14ac:dyDescent="0.25">
      <c r="I1303" s="17"/>
      <c r="J1303" s="18"/>
    </row>
    <row r="1304" spans="9:10" x14ac:dyDescent="0.25">
      <c r="I1304" s="17"/>
      <c r="J1304" s="18"/>
    </row>
    <row r="1305" spans="9:10" x14ac:dyDescent="0.25">
      <c r="I1305" s="17"/>
      <c r="J1305" s="18"/>
    </row>
    <row r="1306" spans="9:10" x14ac:dyDescent="0.25">
      <c r="I1306" s="17"/>
      <c r="J1306" s="18"/>
    </row>
    <row r="1307" spans="9:10" x14ac:dyDescent="0.25">
      <c r="I1307" s="17"/>
      <c r="J1307" s="18"/>
    </row>
    <row r="1308" spans="9:10" x14ac:dyDescent="0.25">
      <c r="I1308" s="17"/>
      <c r="J1308" s="18"/>
    </row>
    <row r="1309" spans="9:10" x14ac:dyDescent="0.25">
      <c r="I1309" s="17"/>
      <c r="J1309" s="18"/>
    </row>
    <row r="1310" spans="9:10" x14ac:dyDescent="0.25">
      <c r="I1310" s="17"/>
      <c r="J1310" s="18"/>
    </row>
    <row r="1311" spans="9:10" x14ac:dyDescent="0.25">
      <c r="I1311" s="17"/>
      <c r="J1311" s="18"/>
    </row>
    <row r="1312" spans="9:10" x14ac:dyDescent="0.25">
      <c r="I1312" s="17"/>
      <c r="J1312" s="18"/>
    </row>
    <row r="1313" spans="9:10" x14ac:dyDescent="0.25">
      <c r="I1313" s="17"/>
      <c r="J1313" s="18"/>
    </row>
    <row r="1314" spans="9:10" x14ac:dyDescent="0.25">
      <c r="I1314" s="17"/>
      <c r="J1314" s="18"/>
    </row>
    <row r="1315" spans="9:10" x14ac:dyDescent="0.25">
      <c r="I1315" s="17"/>
      <c r="J1315" s="18"/>
    </row>
    <row r="1316" spans="9:10" x14ac:dyDescent="0.25">
      <c r="I1316" s="17"/>
      <c r="J1316" s="18"/>
    </row>
    <row r="1317" spans="9:10" x14ac:dyDescent="0.25">
      <c r="I1317" s="17"/>
      <c r="J1317" s="18"/>
    </row>
    <row r="1318" spans="9:10" x14ac:dyDescent="0.25">
      <c r="I1318" s="17"/>
      <c r="J1318" s="18"/>
    </row>
    <row r="1319" spans="9:10" x14ac:dyDescent="0.25">
      <c r="I1319" s="17"/>
      <c r="J1319" s="18"/>
    </row>
    <row r="1320" spans="9:10" x14ac:dyDescent="0.25">
      <c r="I1320" s="17"/>
      <c r="J1320" s="18"/>
    </row>
    <row r="1321" spans="9:10" x14ac:dyDescent="0.25">
      <c r="I1321" s="17"/>
      <c r="J1321" s="18"/>
    </row>
    <row r="1322" spans="9:10" x14ac:dyDescent="0.25">
      <c r="I1322" s="17"/>
      <c r="J1322" s="18"/>
    </row>
    <row r="1323" spans="9:10" x14ac:dyDescent="0.25">
      <c r="I1323" s="17"/>
      <c r="J1323" s="18"/>
    </row>
    <row r="1324" spans="9:10" x14ac:dyDescent="0.25">
      <c r="I1324" s="17"/>
      <c r="J1324" s="18"/>
    </row>
    <row r="1325" spans="9:10" x14ac:dyDescent="0.25">
      <c r="I1325" s="17"/>
      <c r="J1325" s="18"/>
    </row>
    <row r="1326" spans="9:10" x14ac:dyDescent="0.25">
      <c r="I1326" s="17"/>
      <c r="J1326" s="18"/>
    </row>
    <row r="1327" spans="9:10" x14ac:dyDescent="0.25">
      <c r="I1327" s="17"/>
      <c r="J1327" s="18"/>
    </row>
    <row r="1328" spans="9:10" x14ac:dyDescent="0.25">
      <c r="I1328" s="17"/>
      <c r="J1328" s="18"/>
    </row>
    <row r="1329" spans="9:10" x14ac:dyDescent="0.25">
      <c r="I1329" s="17"/>
      <c r="J1329" s="18"/>
    </row>
    <row r="1330" spans="9:10" x14ac:dyDescent="0.25">
      <c r="I1330" s="17"/>
      <c r="J1330" s="18"/>
    </row>
    <row r="1331" spans="9:10" x14ac:dyDescent="0.25">
      <c r="I1331" s="17"/>
      <c r="J1331" s="18"/>
    </row>
    <row r="1332" spans="9:10" x14ac:dyDescent="0.25">
      <c r="I1332" s="17"/>
      <c r="J1332" s="18"/>
    </row>
    <row r="1333" spans="9:10" x14ac:dyDescent="0.25">
      <c r="I1333" s="17"/>
      <c r="J1333" s="18"/>
    </row>
    <row r="1334" spans="9:10" x14ac:dyDescent="0.25">
      <c r="I1334" s="17"/>
      <c r="J1334" s="18"/>
    </row>
    <row r="1335" spans="9:10" x14ac:dyDescent="0.25">
      <c r="I1335" s="17"/>
      <c r="J1335" s="18"/>
    </row>
    <row r="1336" spans="9:10" x14ac:dyDescent="0.25">
      <c r="I1336" s="17"/>
      <c r="J1336" s="18"/>
    </row>
    <row r="1337" spans="9:10" x14ac:dyDescent="0.25">
      <c r="I1337" s="17"/>
      <c r="J1337" s="18"/>
    </row>
    <row r="1338" spans="9:10" x14ac:dyDescent="0.25">
      <c r="I1338" s="17"/>
      <c r="J1338" s="18"/>
    </row>
    <row r="1339" spans="9:10" x14ac:dyDescent="0.25">
      <c r="I1339" s="17"/>
      <c r="J1339" s="18"/>
    </row>
    <row r="1340" spans="9:10" x14ac:dyDescent="0.25">
      <c r="I1340" s="17"/>
      <c r="J1340" s="18"/>
    </row>
    <row r="1341" spans="9:10" x14ac:dyDescent="0.25">
      <c r="I1341" s="17"/>
      <c r="J1341" s="18"/>
    </row>
    <row r="1342" spans="9:10" x14ac:dyDescent="0.25">
      <c r="I1342" s="17"/>
      <c r="J1342" s="18"/>
    </row>
    <row r="1343" spans="9:10" x14ac:dyDescent="0.25">
      <c r="I1343" s="17"/>
      <c r="J1343" s="18"/>
    </row>
    <row r="1344" spans="9:10" x14ac:dyDescent="0.25">
      <c r="I1344" s="17"/>
      <c r="J1344" s="18"/>
    </row>
    <row r="1345" spans="9:10" x14ac:dyDescent="0.25">
      <c r="I1345" s="17"/>
      <c r="J1345" s="18"/>
    </row>
    <row r="1346" spans="9:10" x14ac:dyDescent="0.25">
      <c r="I1346" s="17"/>
      <c r="J1346" s="18"/>
    </row>
    <row r="1347" spans="9:10" x14ac:dyDescent="0.25">
      <c r="I1347" s="17"/>
      <c r="J1347" s="18"/>
    </row>
    <row r="1348" spans="9:10" x14ac:dyDescent="0.25">
      <c r="I1348" s="17"/>
      <c r="J1348" s="18"/>
    </row>
    <row r="1349" spans="9:10" x14ac:dyDescent="0.25">
      <c r="I1349" s="17"/>
      <c r="J1349" s="18"/>
    </row>
    <row r="1350" spans="9:10" x14ac:dyDescent="0.25">
      <c r="I1350" s="17"/>
      <c r="J1350" s="18"/>
    </row>
    <row r="1351" spans="9:10" x14ac:dyDescent="0.25">
      <c r="I1351" s="17"/>
      <c r="J1351" s="18"/>
    </row>
    <row r="1352" spans="9:10" x14ac:dyDescent="0.25">
      <c r="I1352" s="17"/>
      <c r="J1352" s="18"/>
    </row>
    <row r="1353" spans="9:10" x14ac:dyDescent="0.25">
      <c r="I1353" s="17"/>
      <c r="J1353" s="18"/>
    </row>
    <row r="1354" spans="9:10" x14ac:dyDescent="0.25">
      <c r="I1354" s="17"/>
      <c r="J1354" s="18"/>
    </row>
    <row r="1355" spans="9:10" x14ac:dyDescent="0.25">
      <c r="I1355" s="17"/>
      <c r="J1355" s="18"/>
    </row>
    <row r="1356" spans="9:10" x14ac:dyDescent="0.25">
      <c r="I1356" s="17"/>
      <c r="J1356" s="18"/>
    </row>
    <row r="1357" spans="9:10" x14ac:dyDescent="0.25">
      <c r="I1357" s="17"/>
      <c r="J1357" s="18"/>
    </row>
    <row r="1358" spans="9:10" x14ac:dyDescent="0.25">
      <c r="I1358" s="17"/>
      <c r="J1358" s="18"/>
    </row>
    <row r="1359" spans="9:10" x14ac:dyDescent="0.25">
      <c r="I1359" s="17"/>
      <c r="J1359" s="18"/>
    </row>
    <row r="1360" spans="9:10" x14ac:dyDescent="0.25">
      <c r="I1360" s="17"/>
      <c r="J1360" s="18"/>
    </row>
    <row r="1361" spans="9:10" x14ac:dyDescent="0.25">
      <c r="I1361" s="17"/>
      <c r="J1361" s="18"/>
    </row>
    <row r="1362" spans="9:10" x14ac:dyDescent="0.25">
      <c r="I1362" s="17"/>
      <c r="J1362" s="18"/>
    </row>
    <row r="1363" spans="9:10" x14ac:dyDescent="0.25">
      <c r="I1363" s="17"/>
      <c r="J1363" s="18"/>
    </row>
    <row r="1364" spans="9:10" x14ac:dyDescent="0.25">
      <c r="I1364" s="17"/>
      <c r="J1364" s="18"/>
    </row>
    <row r="1365" spans="9:10" x14ac:dyDescent="0.25">
      <c r="I1365" s="17"/>
      <c r="J1365" s="18"/>
    </row>
    <row r="1366" spans="9:10" x14ac:dyDescent="0.25">
      <c r="I1366" s="17"/>
      <c r="J1366" s="18"/>
    </row>
    <row r="1367" spans="9:10" x14ac:dyDescent="0.25">
      <c r="I1367" s="17"/>
      <c r="J1367" s="18"/>
    </row>
    <row r="1368" spans="9:10" x14ac:dyDescent="0.25">
      <c r="I1368" s="17"/>
      <c r="J1368" s="18"/>
    </row>
    <row r="1369" spans="9:10" x14ac:dyDescent="0.25">
      <c r="I1369" s="17"/>
      <c r="J1369" s="18"/>
    </row>
    <row r="1370" spans="9:10" x14ac:dyDescent="0.25">
      <c r="I1370" s="17"/>
      <c r="J1370" s="18"/>
    </row>
    <row r="1371" spans="9:10" x14ac:dyDescent="0.25">
      <c r="I1371" s="17"/>
      <c r="J1371" s="18"/>
    </row>
    <row r="1372" spans="9:10" x14ac:dyDescent="0.25">
      <c r="I1372" s="17"/>
      <c r="J1372" s="18"/>
    </row>
    <row r="1373" spans="9:10" x14ac:dyDescent="0.25">
      <c r="I1373" s="17"/>
      <c r="J1373" s="18"/>
    </row>
    <row r="1374" spans="9:10" x14ac:dyDescent="0.25">
      <c r="I1374" s="17"/>
      <c r="J1374" s="18"/>
    </row>
    <row r="1375" spans="9:10" x14ac:dyDescent="0.25">
      <c r="I1375" s="17"/>
      <c r="J1375" s="18"/>
    </row>
    <row r="1376" spans="9:10" x14ac:dyDescent="0.25">
      <c r="I1376" s="17"/>
      <c r="J1376" s="18"/>
    </row>
    <row r="1377" spans="9:10" x14ac:dyDescent="0.25">
      <c r="I1377" s="17"/>
      <c r="J1377" s="18"/>
    </row>
    <row r="1378" spans="9:10" x14ac:dyDescent="0.25">
      <c r="I1378" s="17"/>
      <c r="J1378" s="18"/>
    </row>
    <row r="1379" spans="9:10" x14ac:dyDescent="0.25">
      <c r="I1379" s="17"/>
      <c r="J1379" s="18"/>
    </row>
    <row r="1380" spans="9:10" x14ac:dyDescent="0.25">
      <c r="I1380" s="17"/>
      <c r="J1380" s="18"/>
    </row>
    <row r="1381" spans="9:10" x14ac:dyDescent="0.25">
      <c r="I1381" s="17"/>
      <c r="J1381" s="18"/>
    </row>
    <row r="1382" spans="9:10" x14ac:dyDescent="0.25">
      <c r="I1382" s="17"/>
      <c r="J1382" s="18"/>
    </row>
    <row r="1383" spans="9:10" x14ac:dyDescent="0.25">
      <c r="I1383" s="17"/>
      <c r="J1383" s="18"/>
    </row>
    <row r="1384" spans="9:10" x14ac:dyDescent="0.25">
      <c r="I1384" s="17"/>
      <c r="J1384" s="18"/>
    </row>
    <row r="1385" spans="9:10" x14ac:dyDescent="0.25">
      <c r="I1385" s="17"/>
      <c r="J1385" s="18"/>
    </row>
    <row r="1386" spans="9:10" x14ac:dyDescent="0.25">
      <c r="I1386" s="17"/>
      <c r="J1386" s="18"/>
    </row>
    <row r="1387" spans="9:10" x14ac:dyDescent="0.25">
      <c r="I1387" s="17"/>
      <c r="J1387" s="18"/>
    </row>
    <row r="1388" spans="9:10" x14ac:dyDescent="0.25">
      <c r="I1388" s="17"/>
      <c r="J1388" s="18"/>
    </row>
    <row r="1389" spans="9:10" x14ac:dyDescent="0.25">
      <c r="I1389" s="17"/>
      <c r="J1389" s="18"/>
    </row>
    <row r="1390" spans="9:10" x14ac:dyDescent="0.25">
      <c r="I1390" s="17"/>
      <c r="J1390" s="18"/>
    </row>
    <row r="1391" spans="9:10" x14ac:dyDescent="0.25">
      <c r="I1391" s="17"/>
      <c r="J1391" s="18"/>
    </row>
    <row r="1392" spans="9:10" x14ac:dyDescent="0.25">
      <c r="I1392" s="17"/>
      <c r="J1392" s="18"/>
    </row>
    <row r="1393" spans="9:10" x14ac:dyDescent="0.25">
      <c r="I1393" s="17"/>
      <c r="J1393" s="18"/>
    </row>
    <row r="1394" spans="9:10" x14ac:dyDescent="0.25">
      <c r="I1394" s="17"/>
      <c r="J1394" s="18"/>
    </row>
    <row r="1395" spans="9:10" x14ac:dyDescent="0.25">
      <c r="I1395" s="17"/>
      <c r="J1395" s="18"/>
    </row>
    <row r="1396" spans="9:10" x14ac:dyDescent="0.25">
      <c r="I1396" s="17"/>
      <c r="J1396" s="18"/>
    </row>
    <row r="1397" spans="9:10" x14ac:dyDescent="0.25">
      <c r="I1397" s="17"/>
      <c r="J1397" s="18"/>
    </row>
    <row r="1398" spans="9:10" x14ac:dyDescent="0.25">
      <c r="I1398" s="17"/>
      <c r="J1398" s="18"/>
    </row>
    <row r="1399" spans="9:10" x14ac:dyDescent="0.25">
      <c r="I1399" s="17"/>
      <c r="J1399" s="18"/>
    </row>
    <row r="1400" spans="9:10" x14ac:dyDescent="0.25">
      <c r="I1400" s="17"/>
      <c r="J1400" s="18"/>
    </row>
    <row r="1401" spans="9:10" x14ac:dyDescent="0.25">
      <c r="I1401" s="17"/>
      <c r="J1401" s="18"/>
    </row>
    <row r="1402" spans="9:10" x14ac:dyDescent="0.25">
      <c r="I1402" s="17"/>
      <c r="J1402" s="18"/>
    </row>
    <row r="1403" spans="9:10" x14ac:dyDescent="0.25">
      <c r="I1403" s="17"/>
      <c r="J1403" s="18"/>
    </row>
    <row r="1404" spans="9:10" x14ac:dyDescent="0.25">
      <c r="I1404" s="17"/>
      <c r="J1404" s="18"/>
    </row>
    <row r="1405" spans="9:10" x14ac:dyDescent="0.25">
      <c r="I1405" s="17"/>
      <c r="J1405" s="18"/>
    </row>
    <row r="1406" spans="9:10" x14ac:dyDescent="0.25">
      <c r="I1406" s="17"/>
      <c r="J1406" s="18"/>
    </row>
    <row r="1407" spans="9:10" x14ac:dyDescent="0.25">
      <c r="I1407" s="17"/>
      <c r="J1407" s="18"/>
    </row>
    <row r="1408" spans="9:10" x14ac:dyDescent="0.25">
      <c r="I1408" s="17"/>
      <c r="J1408" s="18"/>
    </row>
    <row r="1409" spans="9:10" x14ac:dyDescent="0.25">
      <c r="I1409" s="17"/>
      <c r="J1409" s="18"/>
    </row>
    <row r="1410" spans="9:10" x14ac:dyDescent="0.25">
      <c r="I1410" s="17"/>
      <c r="J1410" s="18"/>
    </row>
    <row r="1411" spans="9:10" x14ac:dyDescent="0.25">
      <c r="I1411" s="17"/>
      <c r="J1411" s="18"/>
    </row>
    <row r="1412" spans="9:10" x14ac:dyDescent="0.25">
      <c r="I1412" s="17"/>
      <c r="J1412" s="18"/>
    </row>
    <row r="1413" spans="9:10" x14ac:dyDescent="0.25">
      <c r="I1413" s="17"/>
      <c r="J1413" s="18"/>
    </row>
    <row r="1414" spans="9:10" x14ac:dyDescent="0.25">
      <c r="I1414" s="17"/>
      <c r="J1414" s="18"/>
    </row>
    <row r="1415" spans="9:10" x14ac:dyDescent="0.25">
      <c r="I1415" s="17"/>
      <c r="J1415" s="18"/>
    </row>
    <row r="1416" spans="9:10" x14ac:dyDescent="0.25">
      <c r="I1416" s="17"/>
      <c r="J1416" s="18"/>
    </row>
    <row r="1417" spans="9:10" x14ac:dyDescent="0.25">
      <c r="I1417" s="17"/>
      <c r="J1417" s="18"/>
    </row>
    <row r="1418" spans="9:10" x14ac:dyDescent="0.25">
      <c r="I1418" s="17"/>
      <c r="J1418" s="18"/>
    </row>
    <row r="1419" spans="9:10" x14ac:dyDescent="0.25">
      <c r="I1419" s="17"/>
      <c r="J1419" s="18"/>
    </row>
    <row r="1420" spans="9:10" x14ac:dyDescent="0.25">
      <c r="I1420" s="17"/>
      <c r="J1420" s="18"/>
    </row>
    <row r="1421" spans="9:10" x14ac:dyDescent="0.25">
      <c r="I1421" s="17"/>
      <c r="J1421" s="18"/>
    </row>
    <row r="1422" spans="9:10" x14ac:dyDescent="0.25">
      <c r="I1422" s="17"/>
      <c r="J1422" s="18"/>
    </row>
    <row r="1423" spans="9:10" x14ac:dyDescent="0.25">
      <c r="I1423" s="17"/>
      <c r="J1423" s="18"/>
    </row>
    <row r="1424" spans="9:10" x14ac:dyDescent="0.25">
      <c r="I1424" s="17"/>
      <c r="J1424" s="18"/>
    </row>
    <row r="1425" spans="9:10" x14ac:dyDescent="0.25">
      <c r="I1425" s="17"/>
      <c r="J1425" s="18"/>
    </row>
    <row r="1426" spans="9:10" x14ac:dyDescent="0.25">
      <c r="I1426" s="17"/>
      <c r="J1426" s="18"/>
    </row>
    <row r="1427" spans="9:10" x14ac:dyDescent="0.25">
      <c r="I1427" s="17"/>
      <c r="J1427" s="18"/>
    </row>
    <row r="1428" spans="9:10" x14ac:dyDescent="0.25">
      <c r="I1428" s="17"/>
      <c r="J1428" s="18"/>
    </row>
    <row r="1429" spans="9:10" x14ac:dyDescent="0.25">
      <c r="I1429" s="17"/>
      <c r="J1429" s="18"/>
    </row>
    <row r="1430" spans="9:10" x14ac:dyDescent="0.25">
      <c r="I1430" s="17"/>
      <c r="J1430" s="18"/>
    </row>
    <row r="1431" spans="9:10" x14ac:dyDescent="0.25">
      <c r="I1431" s="17"/>
      <c r="J1431" s="18"/>
    </row>
    <row r="1432" spans="9:10" x14ac:dyDescent="0.25">
      <c r="I1432" s="17"/>
      <c r="J1432" s="18"/>
    </row>
    <row r="1433" spans="9:10" x14ac:dyDescent="0.25">
      <c r="I1433" s="17"/>
      <c r="J1433" s="18"/>
    </row>
    <row r="1434" spans="9:10" x14ac:dyDescent="0.25">
      <c r="I1434" s="17"/>
      <c r="J1434" s="18"/>
    </row>
    <row r="1435" spans="9:10" x14ac:dyDescent="0.25">
      <c r="I1435" s="17"/>
      <c r="J1435" s="18"/>
    </row>
    <row r="1436" spans="9:10" x14ac:dyDescent="0.25">
      <c r="I1436" s="17"/>
      <c r="J1436" s="18"/>
    </row>
    <row r="1437" spans="9:10" x14ac:dyDescent="0.25">
      <c r="I1437" s="17"/>
      <c r="J1437" s="18"/>
    </row>
    <row r="1438" spans="9:10" x14ac:dyDescent="0.25">
      <c r="I1438" s="17"/>
      <c r="J1438" s="18"/>
    </row>
    <row r="1439" spans="9:10" x14ac:dyDescent="0.25">
      <c r="I1439" s="17"/>
      <c r="J1439" s="18"/>
    </row>
    <row r="1440" spans="9:10" x14ac:dyDescent="0.25">
      <c r="I1440" s="17"/>
      <c r="J1440" s="18"/>
    </row>
    <row r="1441" spans="9:10" x14ac:dyDescent="0.25">
      <c r="I1441" s="17"/>
      <c r="J1441" s="18"/>
    </row>
    <row r="1442" spans="9:10" x14ac:dyDescent="0.25">
      <c r="I1442" s="17"/>
      <c r="J1442" s="18"/>
    </row>
    <row r="1443" spans="9:10" x14ac:dyDescent="0.25">
      <c r="I1443" s="17"/>
      <c r="J1443" s="18"/>
    </row>
    <row r="1444" spans="9:10" x14ac:dyDescent="0.25">
      <c r="I1444" s="17"/>
      <c r="J1444" s="18"/>
    </row>
    <row r="1445" spans="9:10" x14ac:dyDescent="0.25">
      <c r="I1445" s="17"/>
      <c r="J1445" s="18"/>
    </row>
    <row r="1446" spans="9:10" x14ac:dyDescent="0.25">
      <c r="I1446" s="17"/>
      <c r="J1446" s="18"/>
    </row>
    <row r="1447" spans="9:10" x14ac:dyDescent="0.25">
      <c r="I1447" s="17"/>
      <c r="J1447" s="18"/>
    </row>
    <row r="1448" spans="9:10" x14ac:dyDescent="0.25">
      <c r="I1448" s="17"/>
      <c r="J1448" s="18"/>
    </row>
    <row r="1449" spans="9:10" x14ac:dyDescent="0.25">
      <c r="I1449" s="17"/>
      <c r="J1449" s="18"/>
    </row>
    <row r="1450" spans="9:10" x14ac:dyDescent="0.25">
      <c r="I1450" s="17"/>
      <c r="J1450" s="18"/>
    </row>
    <row r="1451" spans="9:10" x14ac:dyDescent="0.25">
      <c r="I1451" s="17"/>
      <c r="J1451" s="18"/>
    </row>
    <row r="1452" spans="9:10" x14ac:dyDescent="0.25">
      <c r="I1452" s="17"/>
      <c r="J1452" s="18"/>
    </row>
    <row r="1453" spans="9:10" x14ac:dyDescent="0.25">
      <c r="I1453" s="17"/>
      <c r="J1453" s="18"/>
    </row>
    <row r="1454" spans="9:10" x14ac:dyDescent="0.25">
      <c r="I1454" s="17"/>
      <c r="J1454" s="18"/>
    </row>
    <row r="1455" spans="9:10" x14ac:dyDescent="0.25">
      <c r="I1455" s="17"/>
      <c r="J1455" s="18"/>
    </row>
    <row r="1456" spans="9:10" x14ac:dyDescent="0.25">
      <c r="I1456" s="17"/>
      <c r="J1456" s="18"/>
    </row>
    <row r="1457" spans="9:10" x14ac:dyDescent="0.25">
      <c r="I1457" s="17"/>
      <c r="J1457" s="18"/>
    </row>
    <row r="1458" spans="9:10" x14ac:dyDescent="0.25">
      <c r="I1458" s="17"/>
      <c r="J1458" s="18"/>
    </row>
    <row r="1459" spans="9:10" x14ac:dyDescent="0.25">
      <c r="I1459" s="17"/>
      <c r="J1459" s="18"/>
    </row>
    <row r="1460" spans="9:10" x14ac:dyDescent="0.25">
      <c r="I1460" s="17"/>
      <c r="J1460" s="18"/>
    </row>
    <row r="1461" spans="9:10" x14ac:dyDescent="0.25">
      <c r="I1461" s="17"/>
      <c r="J1461" s="18"/>
    </row>
    <row r="1462" spans="9:10" x14ac:dyDescent="0.25">
      <c r="I1462" s="17"/>
      <c r="J1462" s="18"/>
    </row>
    <row r="1463" spans="9:10" x14ac:dyDescent="0.25">
      <c r="I1463" s="17"/>
      <c r="J1463" s="18"/>
    </row>
    <row r="1464" spans="9:10" x14ac:dyDescent="0.25">
      <c r="I1464" s="17"/>
      <c r="J1464" s="18"/>
    </row>
    <row r="1465" spans="9:10" x14ac:dyDescent="0.25">
      <c r="I1465" s="17"/>
      <c r="J1465" s="18"/>
    </row>
    <row r="1466" spans="9:10" x14ac:dyDescent="0.25">
      <c r="I1466" s="17"/>
      <c r="J1466" s="18"/>
    </row>
    <row r="1467" spans="9:10" x14ac:dyDescent="0.25">
      <c r="I1467" s="17"/>
      <c r="J1467" s="18"/>
    </row>
    <row r="1468" spans="9:10" x14ac:dyDescent="0.25">
      <c r="I1468" s="17"/>
      <c r="J1468" s="18"/>
    </row>
    <row r="1469" spans="9:10" x14ac:dyDescent="0.25">
      <c r="I1469" s="17"/>
      <c r="J1469" s="18"/>
    </row>
    <row r="1470" spans="9:10" x14ac:dyDescent="0.25">
      <c r="I1470" s="17"/>
      <c r="J1470" s="18"/>
    </row>
    <row r="1471" spans="9:10" x14ac:dyDescent="0.25">
      <c r="I1471" s="17"/>
      <c r="J1471" s="18"/>
    </row>
    <row r="1472" spans="9:10" x14ac:dyDescent="0.25">
      <c r="I1472" s="17"/>
      <c r="J1472" s="18"/>
    </row>
    <row r="1473" spans="9:10" x14ac:dyDescent="0.25">
      <c r="I1473" s="17"/>
      <c r="J1473" s="18"/>
    </row>
    <row r="1474" spans="9:10" x14ac:dyDescent="0.25">
      <c r="I1474" s="17"/>
      <c r="J1474" s="18"/>
    </row>
    <row r="1475" spans="9:10" x14ac:dyDescent="0.25">
      <c r="I1475" s="17"/>
      <c r="J1475" s="18"/>
    </row>
    <row r="1476" spans="9:10" x14ac:dyDescent="0.25">
      <c r="I1476" s="17"/>
      <c r="J1476" s="18"/>
    </row>
    <row r="1477" spans="9:10" x14ac:dyDescent="0.25">
      <c r="I1477" s="17"/>
      <c r="J1477" s="18"/>
    </row>
    <row r="1478" spans="9:10" x14ac:dyDescent="0.25">
      <c r="I1478" s="17"/>
      <c r="J1478" s="18"/>
    </row>
    <row r="1479" spans="9:10" x14ac:dyDescent="0.25">
      <c r="I1479" s="17"/>
      <c r="J1479" s="18"/>
    </row>
    <row r="1480" spans="9:10" x14ac:dyDescent="0.25">
      <c r="I1480" s="17"/>
      <c r="J1480" s="18"/>
    </row>
    <row r="1481" spans="9:10" x14ac:dyDescent="0.25">
      <c r="I1481" s="17"/>
      <c r="J1481" s="18"/>
    </row>
    <row r="1482" spans="9:10" x14ac:dyDescent="0.25">
      <c r="I1482" s="17"/>
      <c r="J1482" s="18"/>
    </row>
    <row r="1483" spans="9:10" x14ac:dyDescent="0.25">
      <c r="I1483" s="17"/>
      <c r="J1483" s="18"/>
    </row>
    <row r="1484" spans="9:10" x14ac:dyDescent="0.25">
      <c r="I1484" s="17"/>
      <c r="J1484" s="18"/>
    </row>
    <row r="1485" spans="9:10" x14ac:dyDescent="0.25">
      <c r="I1485" s="17"/>
      <c r="J1485" s="18"/>
    </row>
    <row r="1486" spans="9:10" x14ac:dyDescent="0.25">
      <c r="I1486" s="17"/>
      <c r="J1486" s="18"/>
    </row>
    <row r="1487" spans="9:10" x14ac:dyDescent="0.25">
      <c r="I1487" s="17"/>
      <c r="J1487" s="18"/>
    </row>
    <row r="1488" spans="9:10" x14ac:dyDescent="0.25">
      <c r="I1488" s="17"/>
      <c r="J1488" s="18"/>
    </row>
    <row r="1489" spans="9:10" x14ac:dyDescent="0.25">
      <c r="I1489" s="17"/>
      <c r="J1489" s="18"/>
    </row>
    <row r="1490" spans="9:10" x14ac:dyDescent="0.25">
      <c r="I1490" s="17"/>
      <c r="J1490" s="18"/>
    </row>
    <row r="1491" spans="9:10" x14ac:dyDescent="0.25">
      <c r="I1491" s="17"/>
      <c r="J1491" s="18"/>
    </row>
    <row r="1492" spans="9:10" x14ac:dyDescent="0.25">
      <c r="I1492" s="17"/>
      <c r="J1492" s="18"/>
    </row>
    <row r="1493" spans="9:10" x14ac:dyDescent="0.25">
      <c r="I1493" s="17"/>
      <c r="J1493" s="18"/>
    </row>
    <row r="1494" spans="9:10" x14ac:dyDescent="0.25">
      <c r="I1494" s="17"/>
      <c r="J1494" s="18"/>
    </row>
    <row r="1495" spans="9:10" x14ac:dyDescent="0.25">
      <c r="I1495" s="17"/>
      <c r="J1495" s="18"/>
    </row>
    <row r="1496" spans="9:10" x14ac:dyDescent="0.25">
      <c r="I1496" s="17"/>
      <c r="J1496" s="18"/>
    </row>
    <row r="1497" spans="9:10" x14ac:dyDescent="0.25">
      <c r="I1497" s="17"/>
      <c r="J1497" s="18"/>
    </row>
    <row r="1498" spans="9:10" x14ac:dyDescent="0.25">
      <c r="I1498" s="17"/>
      <c r="J1498" s="18"/>
    </row>
    <row r="1499" spans="9:10" x14ac:dyDescent="0.25">
      <c r="I1499" s="17"/>
      <c r="J1499" s="18"/>
    </row>
    <row r="1500" spans="9:10" x14ac:dyDescent="0.25">
      <c r="I1500" s="17"/>
      <c r="J1500" s="18"/>
    </row>
    <row r="1501" spans="9:10" x14ac:dyDescent="0.25">
      <c r="I1501" s="17"/>
      <c r="J1501" s="18"/>
    </row>
    <row r="1502" spans="9:10" x14ac:dyDescent="0.25">
      <c r="I1502" s="17"/>
      <c r="J1502" s="18"/>
    </row>
    <row r="1503" spans="9:10" x14ac:dyDescent="0.25">
      <c r="I1503" s="17"/>
      <c r="J1503" s="18"/>
    </row>
    <row r="1504" spans="9:10" x14ac:dyDescent="0.25">
      <c r="I1504" s="17"/>
      <c r="J1504" s="18"/>
    </row>
    <row r="1505" spans="9:10" x14ac:dyDescent="0.25">
      <c r="I1505" s="17"/>
      <c r="J1505" s="18"/>
    </row>
    <row r="1506" spans="9:10" x14ac:dyDescent="0.25">
      <c r="I1506" s="17"/>
      <c r="J1506" s="18"/>
    </row>
    <row r="1507" spans="9:10" x14ac:dyDescent="0.25">
      <c r="I1507" s="17"/>
      <c r="J1507" s="18"/>
    </row>
    <row r="1508" spans="9:10" x14ac:dyDescent="0.25">
      <c r="I1508" s="17"/>
      <c r="J1508" s="18"/>
    </row>
    <row r="1509" spans="9:10" x14ac:dyDescent="0.25">
      <c r="I1509" s="17"/>
      <c r="J1509" s="18"/>
    </row>
    <row r="1510" spans="9:10" x14ac:dyDescent="0.25">
      <c r="I1510" s="17"/>
      <c r="J1510" s="18"/>
    </row>
    <row r="1511" spans="9:10" x14ac:dyDescent="0.25">
      <c r="I1511" s="17"/>
      <c r="J1511" s="18"/>
    </row>
    <row r="1512" spans="9:10" x14ac:dyDescent="0.25">
      <c r="I1512" s="17"/>
      <c r="J1512" s="18"/>
    </row>
    <row r="1513" spans="9:10" x14ac:dyDescent="0.25">
      <c r="I1513" s="17"/>
      <c r="J1513" s="18"/>
    </row>
    <row r="1514" spans="9:10" x14ac:dyDescent="0.25">
      <c r="I1514" s="17"/>
      <c r="J1514" s="18"/>
    </row>
    <row r="1515" spans="9:10" x14ac:dyDescent="0.25">
      <c r="I1515" s="17"/>
      <c r="J1515" s="18"/>
    </row>
    <row r="1516" spans="9:10" x14ac:dyDescent="0.25">
      <c r="I1516" s="17"/>
      <c r="J1516" s="18"/>
    </row>
    <row r="1517" spans="9:10" x14ac:dyDescent="0.25">
      <c r="I1517" s="17"/>
      <c r="J1517" s="18"/>
    </row>
    <row r="1518" spans="9:10" x14ac:dyDescent="0.25">
      <c r="I1518" s="17"/>
      <c r="J1518" s="18"/>
    </row>
    <row r="1519" spans="9:10" x14ac:dyDescent="0.25">
      <c r="I1519" s="17"/>
      <c r="J1519" s="18"/>
    </row>
    <row r="1520" spans="9:10" x14ac:dyDescent="0.25">
      <c r="I1520" s="17"/>
      <c r="J1520" s="18"/>
    </row>
    <row r="1521" spans="9:10" x14ac:dyDescent="0.25">
      <c r="I1521" s="17"/>
      <c r="J1521" s="18"/>
    </row>
    <row r="1522" spans="9:10" x14ac:dyDescent="0.25">
      <c r="I1522" s="17"/>
      <c r="J1522" s="18"/>
    </row>
    <row r="1523" spans="9:10" x14ac:dyDescent="0.25">
      <c r="I1523" s="17"/>
      <c r="J1523" s="18"/>
    </row>
    <row r="1524" spans="9:10" x14ac:dyDescent="0.25">
      <c r="I1524" s="17"/>
      <c r="J1524" s="18"/>
    </row>
    <row r="1525" spans="9:10" x14ac:dyDescent="0.25">
      <c r="I1525" s="17"/>
      <c r="J1525" s="18"/>
    </row>
    <row r="1526" spans="9:10" x14ac:dyDescent="0.25">
      <c r="I1526" s="17"/>
      <c r="J1526" s="18"/>
    </row>
    <row r="1527" spans="9:10" x14ac:dyDescent="0.25">
      <c r="I1527" s="17"/>
      <c r="J1527" s="18"/>
    </row>
    <row r="1528" spans="9:10" x14ac:dyDescent="0.25">
      <c r="I1528" s="17"/>
      <c r="J1528" s="18"/>
    </row>
    <row r="1529" spans="9:10" x14ac:dyDescent="0.25">
      <c r="I1529" s="17"/>
      <c r="J1529" s="18"/>
    </row>
    <row r="1530" spans="9:10" x14ac:dyDescent="0.25">
      <c r="I1530" s="17"/>
      <c r="J1530" s="18"/>
    </row>
    <row r="1531" spans="9:10" x14ac:dyDescent="0.25">
      <c r="I1531" s="17"/>
      <c r="J1531" s="18"/>
    </row>
    <row r="1532" spans="9:10" x14ac:dyDescent="0.25">
      <c r="I1532" s="17"/>
      <c r="J1532" s="18"/>
    </row>
    <row r="1533" spans="9:10" x14ac:dyDescent="0.25">
      <c r="I1533" s="17"/>
      <c r="J1533" s="18"/>
    </row>
    <row r="1534" spans="9:10" x14ac:dyDescent="0.25">
      <c r="I1534" s="17"/>
      <c r="J1534" s="18"/>
    </row>
    <row r="1535" spans="9:10" x14ac:dyDescent="0.25">
      <c r="I1535" s="17"/>
      <c r="J1535" s="18"/>
    </row>
    <row r="1536" spans="9:10" x14ac:dyDescent="0.25">
      <c r="I1536" s="17"/>
      <c r="J1536" s="18"/>
    </row>
    <row r="1537" spans="9:10" x14ac:dyDescent="0.25">
      <c r="I1537" s="17"/>
      <c r="J1537" s="18"/>
    </row>
    <row r="1538" spans="9:10" x14ac:dyDescent="0.25">
      <c r="I1538" s="17"/>
      <c r="J1538" s="18"/>
    </row>
    <row r="1539" spans="9:10" x14ac:dyDescent="0.25">
      <c r="I1539" s="17"/>
      <c r="J1539" s="18"/>
    </row>
    <row r="1540" spans="9:10" x14ac:dyDescent="0.25">
      <c r="I1540" s="17"/>
      <c r="J1540" s="18"/>
    </row>
    <row r="1541" spans="9:10" x14ac:dyDescent="0.25">
      <c r="I1541" s="17"/>
      <c r="J1541" s="18"/>
    </row>
    <row r="1542" spans="9:10" x14ac:dyDescent="0.25">
      <c r="I1542" s="17"/>
      <c r="J1542" s="18"/>
    </row>
    <row r="1543" spans="9:10" x14ac:dyDescent="0.25">
      <c r="I1543" s="17"/>
      <c r="J1543" s="18"/>
    </row>
    <row r="1544" spans="9:10" x14ac:dyDescent="0.25">
      <c r="I1544" s="17"/>
      <c r="J1544" s="18"/>
    </row>
    <row r="1545" spans="9:10" x14ac:dyDescent="0.25">
      <c r="I1545" s="17"/>
      <c r="J1545" s="18"/>
    </row>
    <row r="1546" spans="9:10" x14ac:dyDescent="0.25">
      <c r="I1546" s="17"/>
      <c r="J1546" s="18"/>
    </row>
    <row r="1547" spans="9:10" x14ac:dyDescent="0.25">
      <c r="I1547" s="17"/>
      <c r="J1547" s="18"/>
    </row>
    <row r="1548" spans="9:10" x14ac:dyDescent="0.25">
      <c r="I1548" s="17"/>
      <c r="J1548" s="18"/>
    </row>
    <row r="1549" spans="9:10" x14ac:dyDescent="0.25">
      <c r="I1549" s="17"/>
      <c r="J1549" s="18"/>
    </row>
    <row r="1550" spans="9:10" x14ac:dyDescent="0.25">
      <c r="I1550" s="17"/>
      <c r="J1550" s="18"/>
    </row>
    <row r="1551" spans="9:10" x14ac:dyDescent="0.25">
      <c r="I1551" s="17"/>
      <c r="J1551" s="18"/>
    </row>
    <row r="1552" spans="9:10" x14ac:dyDescent="0.25">
      <c r="I1552" s="17"/>
      <c r="J1552" s="18"/>
    </row>
    <row r="1553" spans="9:10" x14ac:dyDescent="0.25">
      <c r="I1553" s="17"/>
      <c r="J1553" s="18"/>
    </row>
    <row r="1554" spans="9:10" x14ac:dyDescent="0.25">
      <c r="I1554" s="17"/>
      <c r="J1554" s="18"/>
    </row>
    <row r="1555" spans="9:10" x14ac:dyDescent="0.25">
      <c r="I1555" s="17"/>
      <c r="J1555" s="18"/>
    </row>
    <row r="1556" spans="9:10" x14ac:dyDescent="0.25">
      <c r="I1556" s="17"/>
      <c r="J1556" s="18"/>
    </row>
    <row r="1557" spans="9:10" x14ac:dyDescent="0.25">
      <c r="I1557" s="17"/>
      <c r="J1557" s="18"/>
    </row>
    <row r="1558" spans="9:10" x14ac:dyDescent="0.25">
      <c r="I1558" s="17"/>
      <c r="J1558" s="18"/>
    </row>
    <row r="1559" spans="9:10" x14ac:dyDescent="0.25">
      <c r="I1559" s="17"/>
      <c r="J1559" s="18"/>
    </row>
    <row r="1560" spans="9:10" x14ac:dyDescent="0.25">
      <c r="I1560" s="17"/>
      <c r="J1560" s="18"/>
    </row>
    <row r="1561" spans="9:10" x14ac:dyDescent="0.25">
      <c r="I1561" s="17"/>
      <c r="J1561" s="18"/>
    </row>
    <row r="1562" spans="9:10" x14ac:dyDescent="0.25">
      <c r="I1562" s="17"/>
      <c r="J1562" s="18"/>
    </row>
    <row r="1563" spans="9:10" x14ac:dyDescent="0.25">
      <c r="I1563" s="17"/>
      <c r="J1563" s="18"/>
    </row>
    <row r="1564" spans="9:10" x14ac:dyDescent="0.25">
      <c r="I1564" s="17"/>
      <c r="J1564" s="18"/>
    </row>
    <row r="1565" spans="9:10" x14ac:dyDescent="0.25">
      <c r="I1565" s="17"/>
      <c r="J1565" s="18"/>
    </row>
    <row r="1566" spans="9:10" x14ac:dyDescent="0.25">
      <c r="I1566" s="17"/>
      <c r="J1566" s="18"/>
    </row>
    <row r="1567" spans="9:10" x14ac:dyDescent="0.25">
      <c r="I1567" s="17"/>
      <c r="J1567" s="18"/>
    </row>
    <row r="1568" spans="9:10" x14ac:dyDescent="0.25">
      <c r="I1568" s="17"/>
      <c r="J1568" s="18"/>
    </row>
    <row r="1569" spans="9:10" x14ac:dyDescent="0.25">
      <c r="I1569" s="17"/>
      <c r="J1569" s="18"/>
    </row>
    <row r="1570" spans="9:10" x14ac:dyDescent="0.25">
      <c r="I1570" s="17"/>
      <c r="J1570" s="18"/>
    </row>
    <row r="1571" spans="9:10" x14ac:dyDescent="0.25">
      <c r="I1571" s="17"/>
      <c r="J1571" s="18"/>
    </row>
    <row r="1572" spans="9:10" x14ac:dyDescent="0.25">
      <c r="I1572" s="17"/>
      <c r="J1572" s="18"/>
    </row>
    <row r="1573" spans="9:10" x14ac:dyDescent="0.25">
      <c r="I1573" s="17"/>
      <c r="J1573" s="18"/>
    </row>
    <row r="1574" spans="9:10" x14ac:dyDescent="0.25">
      <c r="I1574" s="17"/>
      <c r="J1574" s="18"/>
    </row>
    <row r="1575" spans="9:10" x14ac:dyDescent="0.25">
      <c r="I1575" s="17"/>
      <c r="J1575" s="18"/>
    </row>
    <row r="1576" spans="9:10" x14ac:dyDescent="0.25">
      <c r="I1576" s="17"/>
      <c r="J1576" s="18"/>
    </row>
    <row r="1577" spans="9:10" x14ac:dyDescent="0.25">
      <c r="I1577" s="17"/>
      <c r="J1577" s="18"/>
    </row>
    <row r="1578" spans="9:10" x14ac:dyDescent="0.25">
      <c r="I1578" s="17"/>
      <c r="J1578" s="18"/>
    </row>
    <row r="1579" spans="9:10" x14ac:dyDescent="0.25">
      <c r="I1579" s="17"/>
      <c r="J1579" s="18"/>
    </row>
    <row r="1580" spans="9:10" x14ac:dyDescent="0.25">
      <c r="I1580" s="17"/>
      <c r="J1580" s="18"/>
    </row>
    <row r="1581" spans="9:10" x14ac:dyDescent="0.25">
      <c r="I1581" s="17"/>
      <c r="J1581" s="18"/>
    </row>
    <row r="1582" spans="9:10" x14ac:dyDescent="0.25">
      <c r="I1582" s="17"/>
      <c r="J1582" s="18"/>
    </row>
    <row r="1583" spans="9:10" x14ac:dyDescent="0.25">
      <c r="I1583" s="17"/>
      <c r="J1583" s="18"/>
    </row>
    <row r="1584" spans="9:10" x14ac:dyDescent="0.25">
      <c r="I1584" s="17"/>
      <c r="J1584" s="18"/>
    </row>
    <row r="1585" spans="9:10" x14ac:dyDescent="0.25">
      <c r="I1585" s="17"/>
      <c r="J1585" s="18"/>
    </row>
    <row r="1586" spans="9:10" x14ac:dyDescent="0.25">
      <c r="I1586" s="17"/>
      <c r="J1586" s="18"/>
    </row>
    <row r="1587" spans="9:10" x14ac:dyDescent="0.25">
      <c r="I1587" s="17"/>
      <c r="J1587" s="18"/>
    </row>
    <row r="1588" spans="9:10" x14ac:dyDescent="0.25">
      <c r="I1588" s="17"/>
      <c r="J1588" s="18"/>
    </row>
    <row r="1589" spans="9:10" x14ac:dyDescent="0.25">
      <c r="I1589" s="17"/>
      <c r="J1589" s="18"/>
    </row>
    <row r="1590" spans="9:10" x14ac:dyDescent="0.25">
      <c r="I1590" s="17"/>
      <c r="J1590" s="18"/>
    </row>
    <row r="1591" spans="9:10" x14ac:dyDescent="0.25">
      <c r="I1591" s="17"/>
      <c r="J1591" s="18"/>
    </row>
    <row r="1592" spans="9:10" x14ac:dyDescent="0.25">
      <c r="I1592" s="17"/>
      <c r="J1592" s="18"/>
    </row>
    <row r="1593" spans="9:10" x14ac:dyDescent="0.25">
      <c r="I1593" s="17"/>
      <c r="J1593" s="18"/>
    </row>
    <row r="1594" spans="9:10" x14ac:dyDescent="0.25">
      <c r="I1594" s="17"/>
      <c r="J1594" s="18"/>
    </row>
    <row r="1595" spans="9:10" x14ac:dyDescent="0.25">
      <c r="I1595" s="17"/>
      <c r="J1595" s="18"/>
    </row>
    <row r="1596" spans="9:10" x14ac:dyDescent="0.25">
      <c r="I1596" s="17"/>
      <c r="J1596" s="18"/>
    </row>
    <row r="1597" spans="9:10" x14ac:dyDescent="0.25">
      <c r="I1597" s="17"/>
      <c r="J1597" s="18"/>
    </row>
    <row r="1598" spans="9:10" x14ac:dyDescent="0.25">
      <c r="I1598" s="17"/>
      <c r="J1598" s="18"/>
    </row>
    <row r="1599" spans="9:10" x14ac:dyDescent="0.25">
      <c r="I1599" s="17"/>
      <c r="J1599" s="18"/>
    </row>
    <row r="1600" spans="9:10" x14ac:dyDescent="0.25">
      <c r="I1600" s="17"/>
      <c r="J1600" s="18"/>
    </row>
    <row r="1601" spans="9:10" x14ac:dyDescent="0.25">
      <c r="I1601" s="17"/>
      <c r="J1601" s="18"/>
    </row>
    <row r="1602" spans="9:10" x14ac:dyDescent="0.25">
      <c r="I1602" s="17"/>
      <c r="J1602" s="18"/>
    </row>
    <row r="1603" spans="9:10" x14ac:dyDescent="0.25">
      <c r="I1603" s="17"/>
      <c r="J1603" s="18"/>
    </row>
    <row r="1604" spans="9:10" x14ac:dyDescent="0.25">
      <c r="I1604" s="17"/>
      <c r="J1604" s="18"/>
    </row>
    <row r="1605" spans="9:10" x14ac:dyDescent="0.25">
      <c r="I1605" s="17"/>
      <c r="J1605" s="18"/>
    </row>
    <row r="1606" spans="9:10" x14ac:dyDescent="0.25">
      <c r="I1606" s="17"/>
      <c r="J1606" s="18"/>
    </row>
    <row r="1607" spans="9:10" x14ac:dyDescent="0.25">
      <c r="I1607" s="17"/>
      <c r="J1607" s="18"/>
    </row>
    <row r="1608" spans="9:10" x14ac:dyDescent="0.25">
      <c r="I1608" s="17"/>
      <c r="J1608" s="18"/>
    </row>
    <row r="1609" spans="9:10" x14ac:dyDescent="0.25">
      <c r="I1609" s="17"/>
      <c r="J1609" s="18"/>
    </row>
    <row r="1610" spans="9:10" x14ac:dyDescent="0.25">
      <c r="I1610" s="17"/>
      <c r="J1610" s="18"/>
    </row>
    <row r="1611" spans="9:10" x14ac:dyDescent="0.25">
      <c r="I1611" s="17"/>
      <c r="J1611" s="18"/>
    </row>
    <row r="1612" spans="9:10" x14ac:dyDescent="0.25">
      <c r="I1612" s="17"/>
      <c r="J1612" s="18"/>
    </row>
    <row r="1613" spans="9:10" x14ac:dyDescent="0.25">
      <c r="I1613" s="17"/>
      <c r="J1613" s="18"/>
    </row>
    <row r="1614" spans="9:10" x14ac:dyDescent="0.25">
      <c r="I1614" s="17"/>
      <c r="J1614" s="18"/>
    </row>
    <row r="1615" spans="9:10" x14ac:dyDescent="0.25">
      <c r="I1615" s="17"/>
      <c r="J1615" s="18"/>
    </row>
    <row r="1616" spans="9:10" x14ac:dyDescent="0.25">
      <c r="I1616" s="17"/>
      <c r="J1616" s="18"/>
    </row>
    <row r="1617" spans="9:10" x14ac:dyDescent="0.25">
      <c r="I1617" s="17"/>
      <c r="J1617" s="18"/>
    </row>
    <row r="1618" spans="9:10" x14ac:dyDescent="0.25">
      <c r="I1618" s="17"/>
      <c r="J1618" s="18"/>
    </row>
    <row r="1619" spans="9:10" x14ac:dyDescent="0.25">
      <c r="I1619" s="17"/>
      <c r="J1619" s="18"/>
    </row>
    <row r="1620" spans="9:10" x14ac:dyDescent="0.25">
      <c r="I1620" s="17"/>
      <c r="J1620" s="18"/>
    </row>
    <row r="1621" spans="9:10" x14ac:dyDescent="0.25">
      <c r="I1621" s="17"/>
      <c r="J1621" s="18"/>
    </row>
    <row r="1622" spans="9:10" x14ac:dyDescent="0.25">
      <c r="I1622" s="17"/>
      <c r="J1622" s="18"/>
    </row>
    <row r="1623" spans="9:10" x14ac:dyDescent="0.25">
      <c r="I1623" s="17"/>
      <c r="J1623" s="18"/>
    </row>
    <row r="1624" spans="9:10" x14ac:dyDescent="0.25">
      <c r="I1624" s="17"/>
      <c r="J1624" s="18"/>
    </row>
    <row r="1625" spans="9:10" x14ac:dyDescent="0.25">
      <c r="I1625" s="17"/>
      <c r="J1625" s="18"/>
    </row>
    <row r="1626" spans="9:10" x14ac:dyDescent="0.25">
      <c r="I1626" s="17"/>
      <c r="J1626" s="18"/>
    </row>
    <row r="1627" spans="9:10" x14ac:dyDescent="0.25">
      <c r="I1627" s="17"/>
      <c r="J1627" s="18"/>
    </row>
    <row r="1628" spans="9:10" x14ac:dyDescent="0.25">
      <c r="I1628" s="17"/>
      <c r="J1628" s="18"/>
    </row>
    <row r="1629" spans="9:10" x14ac:dyDescent="0.25">
      <c r="I1629" s="17"/>
      <c r="J1629" s="18"/>
    </row>
    <row r="1630" spans="9:10" x14ac:dyDescent="0.25">
      <c r="I1630" s="17"/>
      <c r="J1630" s="18"/>
    </row>
    <row r="1631" spans="9:10" x14ac:dyDescent="0.25">
      <c r="I1631" s="17"/>
      <c r="J1631" s="18"/>
    </row>
    <row r="1632" spans="9:10" x14ac:dyDescent="0.25">
      <c r="I1632" s="17"/>
      <c r="J1632" s="18"/>
    </row>
    <row r="1633" spans="9:10" x14ac:dyDescent="0.25">
      <c r="I1633" s="17"/>
      <c r="J1633" s="18"/>
    </row>
    <row r="1634" spans="9:10" x14ac:dyDescent="0.25">
      <c r="I1634" s="17"/>
      <c r="J1634" s="18"/>
    </row>
    <row r="1635" spans="9:10" x14ac:dyDescent="0.25">
      <c r="I1635" s="17"/>
      <c r="J1635" s="18"/>
    </row>
    <row r="1636" spans="9:10" x14ac:dyDescent="0.25">
      <c r="I1636" s="17"/>
      <c r="J1636" s="18"/>
    </row>
    <row r="1637" spans="9:10" x14ac:dyDescent="0.25">
      <c r="I1637" s="17"/>
      <c r="J1637" s="18"/>
    </row>
    <row r="1638" spans="9:10" x14ac:dyDescent="0.25">
      <c r="I1638" s="17"/>
      <c r="J1638" s="18"/>
    </row>
    <row r="1639" spans="9:10" x14ac:dyDescent="0.25">
      <c r="I1639" s="17"/>
      <c r="J1639" s="18"/>
    </row>
    <row r="1640" spans="9:10" x14ac:dyDescent="0.25">
      <c r="I1640" s="17"/>
      <c r="J1640" s="18"/>
    </row>
    <row r="1641" spans="9:10" x14ac:dyDescent="0.25">
      <c r="I1641" s="17"/>
      <c r="J1641" s="18"/>
    </row>
    <row r="1642" spans="9:10" x14ac:dyDescent="0.25">
      <c r="I1642" s="17"/>
      <c r="J1642" s="18"/>
    </row>
    <row r="1643" spans="9:10" x14ac:dyDescent="0.25">
      <c r="I1643" s="17"/>
      <c r="J1643" s="18"/>
    </row>
    <row r="1644" spans="9:10" x14ac:dyDescent="0.25">
      <c r="I1644" s="17"/>
      <c r="J1644" s="18"/>
    </row>
    <row r="1645" spans="9:10" x14ac:dyDescent="0.25">
      <c r="I1645" s="17"/>
      <c r="J1645" s="18"/>
    </row>
    <row r="1646" spans="9:10" x14ac:dyDescent="0.25">
      <c r="I1646" s="17"/>
      <c r="J1646" s="18"/>
    </row>
    <row r="1647" spans="9:10" x14ac:dyDescent="0.25">
      <c r="I1647" s="17"/>
      <c r="J1647" s="18"/>
    </row>
    <row r="1648" spans="9:10" x14ac:dyDescent="0.25">
      <c r="I1648" s="17"/>
      <c r="J1648" s="18"/>
    </row>
    <row r="1649" spans="9:10" x14ac:dyDescent="0.25">
      <c r="I1649" s="17"/>
      <c r="J1649" s="18"/>
    </row>
    <row r="1650" spans="9:10" x14ac:dyDescent="0.25">
      <c r="I1650" s="17"/>
      <c r="J1650" s="18"/>
    </row>
    <row r="1651" spans="9:10" x14ac:dyDescent="0.25">
      <c r="I1651" s="17"/>
      <c r="J1651" s="18"/>
    </row>
    <row r="1652" spans="9:10" x14ac:dyDescent="0.25">
      <c r="I1652" s="17"/>
      <c r="J1652" s="18"/>
    </row>
    <row r="1653" spans="9:10" x14ac:dyDescent="0.25">
      <c r="I1653" s="17"/>
      <c r="J1653" s="18"/>
    </row>
    <row r="1654" spans="9:10" x14ac:dyDescent="0.25">
      <c r="I1654" s="17"/>
      <c r="J1654" s="18"/>
    </row>
    <row r="1655" spans="9:10" x14ac:dyDescent="0.25">
      <c r="I1655" s="17"/>
      <c r="J1655" s="18"/>
    </row>
    <row r="1656" spans="9:10" x14ac:dyDescent="0.25">
      <c r="I1656" s="17"/>
      <c r="J1656" s="18"/>
    </row>
    <row r="1657" spans="9:10" x14ac:dyDescent="0.25">
      <c r="I1657" s="17"/>
      <c r="J1657" s="18"/>
    </row>
    <row r="1658" spans="9:10" x14ac:dyDescent="0.25">
      <c r="I1658" s="17"/>
      <c r="J1658" s="18"/>
    </row>
    <row r="1659" spans="9:10" x14ac:dyDescent="0.25">
      <c r="I1659" s="17"/>
      <c r="J1659" s="18"/>
    </row>
    <row r="1660" spans="9:10" x14ac:dyDescent="0.25">
      <c r="I1660" s="17"/>
      <c r="J1660" s="18"/>
    </row>
    <row r="1661" spans="9:10" x14ac:dyDescent="0.25">
      <c r="I1661" s="17"/>
      <c r="J1661" s="18"/>
    </row>
    <row r="1662" spans="9:10" x14ac:dyDescent="0.25">
      <c r="I1662" s="17"/>
      <c r="J1662" s="18"/>
    </row>
    <row r="1663" spans="9:10" x14ac:dyDescent="0.25">
      <c r="I1663" s="17"/>
      <c r="J1663" s="18"/>
    </row>
    <row r="1664" spans="9:10" x14ac:dyDescent="0.25">
      <c r="I1664" s="17"/>
      <c r="J1664" s="18"/>
    </row>
    <row r="1665" spans="9:10" x14ac:dyDescent="0.25">
      <c r="I1665" s="17"/>
      <c r="J1665" s="18"/>
    </row>
    <row r="1666" spans="9:10" x14ac:dyDescent="0.25">
      <c r="I1666" s="17"/>
      <c r="J1666" s="18"/>
    </row>
    <row r="1667" spans="9:10" x14ac:dyDescent="0.25">
      <c r="I1667" s="17"/>
      <c r="J1667" s="18"/>
    </row>
    <row r="1668" spans="9:10" x14ac:dyDescent="0.25">
      <c r="I1668" s="17"/>
      <c r="J1668" s="18"/>
    </row>
    <row r="1669" spans="9:10" x14ac:dyDescent="0.25">
      <c r="I1669" s="17"/>
      <c r="J1669" s="18"/>
    </row>
    <row r="1670" spans="9:10" x14ac:dyDescent="0.25">
      <c r="I1670" s="17"/>
      <c r="J1670" s="18"/>
    </row>
    <row r="1671" spans="9:10" x14ac:dyDescent="0.25">
      <c r="I1671" s="17"/>
      <c r="J1671" s="18"/>
    </row>
    <row r="1672" spans="9:10" x14ac:dyDescent="0.25">
      <c r="I1672" s="17"/>
      <c r="J1672" s="18"/>
    </row>
    <row r="1673" spans="9:10" x14ac:dyDescent="0.25">
      <c r="I1673" s="17"/>
      <c r="J1673" s="18"/>
    </row>
    <row r="1674" spans="9:10" x14ac:dyDescent="0.25">
      <c r="I1674" s="17"/>
      <c r="J1674" s="18"/>
    </row>
    <row r="1675" spans="9:10" x14ac:dyDescent="0.25">
      <c r="I1675" s="17"/>
      <c r="J1675" s="18"/>
    </row>
    <row r="1676" spans="9:10" x14ac:dyDescent="0.25">
      <c r="I1676" s="17"/>
      <c r="J1676" s="18"/>
    </row>
    <row r="1677" spans="9:10" x14ac:dyDescent="0.25">
      <c r="I1677" s="17"/>
      <c r="J1677" s="18"/>
    </row>
    <row r="1678" spans="9:10" x14ac:dyDescent="0.25">
      <c r="I1678" s="17"/>
      <c r="J1678" s="18"/>
    </row>
    <row r="1679" spans="9:10" x14ac:dyDescent="0.25">
      <c r="I1679" s="17"/>
      <c r="J1679" s="18"/>
    </row>
    <row r="1680" spans="9:10" x14ac:dyDescent="0.25">
      <c r="I1680" s="17"/>
      <c r="J1680" s="18"/>
    </row>
    <row r="1681" spans="9:10" x14ac:dyDescent="0.25">
      <c r="I1681" s="17"/>
      <c r="J1681" s="18"/>
    </row>
    <row r="1682" spans="9:10" x14ac:dyDescent="0.25">
      <c r="I1682" s="17"/>
      <c r="J1682" s="18"/>
    </row>
    <row r="1683" spans="9:10" x14ac:dyDescent="0.25">
      <c r="I1683" s="17"/>
      <c r="J1683" s="18"/>
    </row>
    <row r="1684" spans="9:10" x14ac:dyDescent="0.25">
      <c r="I1684" s="17"/>
      <c r="J1684" s="18"/>
    </row>
    <row r="1685" spans="9:10" x14ac:dyDescent="0.25">
      <c r="I1685" s="17"/>
      <c r="J1685" s="18"/>
    </row>
    <row r="1686" spans="9:10" x14ac:dyDescent="0.25">
      <c r="I1686" s="17"/>
      <c r="J1686" s="18"/>
    </row>
    <row r="1687" spans="9:10" x14ac:dyDescent="0.25">
      <c r="I1687" s="17"/>
      <c r="J1687" s="18"/>
    </row>
    <row r="1688" spans="9:10" x14ac:dyDescent="0.25">
      <c r="I1688" s="17"/>
      <c r="J1688" s="18"/>
    </row>
    <row r="1689" spans="9:10" x14ac:dyDescent="0.25">
      <c r="I1689" s="17"/>
      <c r="J1689" s="18"/>
    </row>
    <row r="1690" spans="9:10" x14ac:dyDescent="0.25">
      <c r="I1690" s="17"/>
      <c r="J1690" s="18"/>
    </row>
    <row r="1691" spans="9:10" x14ac:dyDescent="0.25">
      <c r="I1691" s="17"/>
      <c r="J1691" s="18"/>
    </row>
    <row r="1692" spans="9:10" x14ac:dyDescent="0.25">
      <c r="I1692" s="17"/>
      <c r="J1692" s="18"/>
    </row>
    <row r="1693" spans="9:10" x14ac:dyDescent="0.25">
      <c r="I1693" s="17"/>
      <c r="J1693" s="18"/>
    </row>
    <row r="1694" spans="9:10" x14ac:dyDescent="0.25">
      <c r="I1694" s="17"/>
      <c r="J1694" s="18"/>
    </row>
    <row r="1695" spans="9:10" x14ac:dyDescent="0.25">
      <c r="I1695" s="17"/>
      <c r="J1695" s="18"/>
    </row>
    <row r="1696" spans="9:10" x14ac:dyDescent="0.25">
      <c r="I1696" s="17"/>
      <c r="J1696" s="18"/>
    </row>
    <row r="1697" spans="9:10" x14ac:dyDescent="0.25">
      <c r="I1697" s="17"/>
      <c r="J1697" s="18"/>
    </row>
    <row r="1698" spans="9:10" x14ac:dyDescent="0.25">
      <c r="I1698" s="17"/>
      <c r="J1698" s="18"/>
    </row>
    <row r="1699" spans="9:10" x14ac:dyDescent="0.25">
      <c r="I1699" s="17"/>
      <c r="J1699" s="18"/>
    </row>
    <row r="1700" spans="9:10" x14ac:dyDescent="0.25">
      <c r="I1700" s="17"/>
      <c r="J1700" s="18"/>
    </row>
    <row r="1701" spans="9:10" x14ac:dyDescent="0.25">
      <c r="I1701" s="17"/>
      <c r="J1701" s="18"/>
    </row>
    <row r="1702" spans="9:10" x14ac:dyDescent="0.25">
      <c r="I1702" s="17"/>
      <c r="J1702" s="18"/>
    </row>
    <row r="1703" spans="9:10" x14ac:dyDescent="0.25">
      <c r="I1703" s="17"/>
      <c r="J1703" s="18"/>
    </row>
    <row r="1704" spans="9:10" x14ac:dyDescent="0.25">
      <c r="I1704" s="17"/>
      <c r="J1704" s="18"/>
    </row>
    <row r="1705" spans="9:10" x14ac:dyDescent="0.25">
      <c r="I1705" s="17"/>
      <c r="J1705" s="18"/>
    </row>
    <row r="1706" spans="9:10" x14ac:dyDescent="0.25">
      <c r="I1706" s="17"/>
      <c r="J1706" s="18"/>
    </row>
    <row r="1707" spans="9:10" x14ac:dyDescent="0.25">
      <c r="I1707" s="17"/>
      <c r="J1707" s="18"/>
    </row>
    <row r="1708" spans="9:10" x14ac:dyDescent="0.25">
      <c r="I1708" s="17"/>
      <c r="J1708" s="18"/>
    </row>
    <row r="1709" spans="9:10" x14ac:dyDescent="0.25">
      <c r="I1709" s="17"/>
      <c r="J1709" s="18"/>
    </row>
    <row r="1710" spans="9:10" x14ac:dyDescent="0.25">
      <c r="I1710" s="17"/>
      <c r="J1710" s="18"/>
    </row>
    <row r="1711" spans="9:10" x14ac:dyDescent="0.25">
      <c r="I1711" s="17"/>
      <c r="J1711" s="18"/>
    </row>
    <row r="1712" spans="9:10" x14ac:dyDescent="0.25">
      <c r="I1712" s="17"/>
      <c r="J1712" s="18"/>
    </row>
    <row r="1713" spans="9:10" x14ac:dyDescent="0.25">
      <c r="I1713" s="17"/>
      <c r="J1713" s="18"/>
    </row>
    <row r="1714" spans="9:10" x14ac:dyDescent="0.25">
      <c r="I1714" s="17"/>
      <c r="J1714" s="18"/>
    </row>
    <row r="1715" spans="9:10" x14ac:dyDescent="0.25">
      <c r="I1715" s="17"/>
      <c r="J1715" s="18"/>
    </row>
    <row r="1716" spans="9:10" x14ac:dyDescent="0.25">
      <c r="I1716" s="17"/>
      <c r="J1716" s="18"/>
    </row>
    <row r="1717" spans="9:10" x14ac:dyDescent="0.25">
      <c r="I1717" s="17"/>
      <c r="J1717" s="18"/>
    </row>
    <row r="1718" spans="9:10" x14ac:dyDescent="0.25">
      <c r="I1718" s="17"/>
      <c r="J1718" s="18"/>
    </row>
    <row r="1719" spans="9:10" x14ac:dyDescent="0.25">
      <c r="I1719" s="17"/>
      <c r="J1719" s="18"/>
    </row>
    <row r="1720" spans="9:10" x14ac:dyDescent="0.25">
      <c r="I1720" s="17"/>
      <c r="J1720" s="18"/>
    </row>
    <row r="1721" spans="9:10" x14ac:dyDescent="0.25">
      <c r="I1721" s="17"/>
      <c r="J1721" s="18"/>
    </row>
    <row r="1722" spans="9:10" x14ac:dyDescent="0.25">
      <c r="I1722" s="17"/>
      <c r="J1722" s="18"/>
    </row>
    <row r="1723" spans="9:10" x14ac:dyDescent="0.25">
      <c r="I1723" s="17"/>
      <c r="J1723" s="18"/>
    </row>
    <row r="1724" spans="9:10" x14ac:dyDescent="0.25">
      <c r="I1724" s="17"/>
      <c r="J1724" s="18"/>
    </row>
    <row r="1725" spans="9:10" x14ac:dyDescent="0.25">
      <c r="I1725" s="17"/>
      <c r="J1725" s="18"/>
    </row>
    <row r="1726" spans="9:10" x14ac:dyDescent="0.25">
      <c r="I1726" s="17"/>
      <c r="J1726" s="18"/>
    </row>
    <row r="1727" spans="9:10" x14ac:dyDescent="0.25">
      <c r="I1727" s="17"/>
      <c r="J1727" s="18"/>
    </row>
    <row r="1728" spans="9:10" x14ac:dyDescent="0.25">
      <c r="I1728" s="17"/>
      <c r="J1728" s="18"/>
    </row>
    <row r="1729" spans="9:10" x14ac:dyDescent="0.25">
      <c r="I1729" s="17"/>
      <c r="J1729" s="18"/>
    </row>
    <row r="1730" spans="9:10" x14ac:dyDescent="0.25">
      <c r="I1730" s="17"/>
      <c r="J1730" s="18"/>
    </row>
    <row r="1731" spans="9:10" x14ac:dyDescent="0.25">
      <c r="I1731" s="17"/>
      <c r="J1731" s="18"/>
    </row>
    <row r="1732" spans="9:10" x14ac:dyDescent="0.25">
      <c r="I1732" s="17"/>
      <c r="J1732" s="18"/>
    </row>
    <row r="1733" spans="9:10" x14ac:dyDescent="0.25">
      <c r="I1733" s="17"/>
      <c r="J1733" s="18"/>
    </row>
    <row r="1734" spans="9:10" x14ac:dyDescent="0.25">
      <c r="I1734" s="17"/>
      <c r="J1734" s="18"/>
    </row>
    <row r="1735" spans="9:10" x14ac:dyDescent="0.25">
      <c r="I1735" s="17"/>
      <c r="J1735" s="18"/>
    </row>
    <row r="1736" spans="9:10" x14ac:dyDescent="0.25">
      <c r="I1736" s="17"/>
      <c r="J1736" s="18"/>
    </row>
    <row r="1737" spans="9:10" x14ac:dyDescent="0.25">
      <c r="I1737" s="17"/>
      <c r="J1737" s="18"/>
    </row>
    <row r="1738" spans="9:10" x14ac:dyDescent="0.25">
      <c r="I1738" s="17"/>
      <c r="J1738" s="18"/>
    </row>
    <row r="1739" spans="9:10" x14ac:dyDescent="0.25">
      <c r="I1739" s="17"/>
      <c r="J1739" s="18"/>
    </row>
    <row r="1740" spans="9:10" x14ac:dyDescent="0.25">
      <c r="I1740" s="17"/>
      <c r="J1740" s="18"/>
    </row>
    <row r="1741" spans="9:10" x14ac:dyDescent="0.25">
      <c r="I1741" s="17"/>
      <c r="J1741" s="18"/>
    </row>
    <row r="1742" spans="9:10" x14ac:dyDescent="0.25">
      <c r="I1742" s="17"/>
      <c r="J1742" s="18"/>
    </row>
    <row r="1743" spans="9:10" x14ac:dyDescent="0.25">
      <c r="I1743" s="17"/>
      <c r="J1743" s="18"/>
    </row>
    <row r="1744" spans="9:10" x14ac:dyDescent="0.25">
      <c r="I1744" s="17"/>
      <c r="J1744" s="18"/>
    </row>
    <row r="1745" spans="9:10" x14ac:dyDescent="0.25">
      <c r="I1745" s="17"/>
      <c r="J1745" s="18"/>
    </row>
    <row r="1746" spans="9:10" x14ac:dyDescent="0.25">
      <c r="I1746" s="17"/>
      <c r="J1746" s="18"/>
    </row>
    <row r="1747" spans="9:10" x14ac:dyDescent="0.25">
      <c r="I1747" s="17"/>
      <c r="J1747" s="18"/>
    </row>
    <row r="1748" spans="9:10" x14ac:dyDescent="0.25">
      <c r="I1748" s="17"/>
      <c r="J1748" s="18"/>
    </row>
    <row r="1749" spans="9:10" x14ac:dyDescent="0.25">
      <c r="I1749" s="17"/>
      <c r="J1749" s="18"/>
    </row>
    <row r="1750" spans="9:10" x14ac:dyDescent="0.25">
      <c r="I1750" s="17"/>
      <c r="J1750" s="18"/>
    </row>
    <row r="1751" spans="9:10" x14ac:dyDescent="0.25">
      <c r="I1751" s="17"/>
      <c r="J1751" s="18"/>
    </row>
    <row r="1752" spans="9:10" x14ac:dyDescent="0.25">
      <c r="I1752" s="17"/>
      <c r="J1752" s="18"/>
    </row>
    <row r="1753" spans="9:10" x14ac:dyDescent="0.25">
      <c r="I1753" s="17"/>
      <c r="J1753" s="18"/>
    </row>
    <row r="1754" spans="9:10" x14ac:dyDescent="0.25">
      <c r="I1754" s="17"/>
      <c r="J1754" s="18"/>
    </row>
    <row r="1755" spans="9:10" x14ac:dyDescent="0.25">
      <c r="I1755" s="17"/>
      <c r="J1755" s="18"/>
    </row>
    <row r="1756" spans="9:10" x14ac:dyDescent="0.25">
      <c r="I1756" s="17"/>
      <c r="J1756" s="18"/>
    </row>
    <row r="1757" spans="9:10" x14ac:dyDescent="0.25">
      <c r="I1757" s="17"/>
      <c r="J1757" s="18"/>
    </row>
    <row r="1758" spans="9:10" x14ac:dyDescent="0.25">
      <c r="I1758" s="17"/>
      <c r="J1758" s="18"/>
    </row>
    <row r="1759" spans="9:10" x14ac:dyDescent="0.25">
      <c r="I1759" s="17"/>
      <c r="J1759" s="18"/>
    </row>
    <row r="1760" spans="9:10" x14ac:dyDescent="0.25">
      <c r="I1760" s="17"/>
      <c r="J1760" s="18"/>
    </row>
    <row r="1761" spans="9:10" x14ac:dyDescent="0.25">
      <c r="I1761" s="17"/>
      <c r="J1761" s="18"/>
    </row>
    <row r="1762" spans="9:10" x14ac:dyDescent="0.25">
      <c r="I1762" s="17"/>
      <c r="J1762" s="18"/>
    </row>
    <row r="1763" spans="9:10" x14ac:dyDescent="0.25">
      <c r="I1763" s="17"/>
      <c r="J1763" s="18"/>
    </row>
    <row r="1764" spans="9:10" x14ac:dyDescent="0.25">
      <c r="I1764" s="17"/>
      <c r="J1764" s="18"/>
    </row>
    <row r="1765" spans="9:10" x14ac:dyDescent="0.25">
      <c r="I1765" s="17"/>
      <c r="J1765" s="18"/>
    </row>
    <row r="1766" spans="9:10" x14ac:dyDescent="0.25">
      <c r="I1766" s="17"/>
      <c r="J1766" s="18"/>
    </row>
    <row r="1767" spans="9:10" x14ac:dyDescent="0.25">
      <c r="I1767" s="17"/>
      <c r="J1767" s="18"/>
    </row>
    <row r="1768" spans="9:10" x14ac:dyDescent="0.25">
      <c r="I1768" s="17"/>
      <c r="J1768" s="18"/>
    </row>
    <row r="1769" spans="9:10" x14ac:dyDescent="0.25">
      <c r="I1769" s="17"/>
      <c r="J1769" s="18"/>
    </row>
    <row r="1770" spans="9:10" x14ac:dyDescent="0.25">
      <c r="I1770" s="17"/>
      <c r="J1770" s="18"/>
    </row>
    <row r="1771" spans="9:10" x14ac:dyDescent="0.25">
      <c r="I1771" s="17"/>
      <c r="J1771" s="18"/>
    </row>
    <row r="1772" spans="9:10" x14ac:dyDescent="0.25">
      <c r="I1772" s="17"/>
      <c r="J1772" s="18"/>
    </row>
    <row r="1773" spans="9:10" x14ac:dyDescent="0.25">
      <c r="I1773" s="17"/>
      <c r="J1773" s="18"/>
    </row>
    <row r="1774" spans="9:10" x14ac:dyDescent="0.25">
      <c r="I1774" s="17"/>
      <c r="J1774" s="18"/>
    </row>
    <row r="1775" spans="9:10" x14ac:dyDescent="0.25">
      <c r="I1775" s="17"/>
      <c r="J1775" s="18"/>
    </row>
    <row r="1776" spans="9:10" x14ac:dyDescent="0.25">
      <c r="I1776" s="17"/>
      <c r="J1776" s="18"/>
    </row>
    <row r="1777" spans="9:10" x14ac:dyDescent="0.25">
      <c r="I1777" s="17"/>
      <c r="J1777" s="18"/>
    </row>
    <row r="1778" spans="9:10" x14ac:dyDescent="0.25">
      <c r="I1778" s="17"/>
      <c r="J1778" s="18"/>
    </row>
    <row r="1779" spans="9:10" x14ac:dyDescent="0.25">
      <c r="I1779" s="17"/>
      <c r="J1779" s="18"/>
    </row>
    <row r="1780" spans="9:10" x14ac:dyDescent="0.25">
      <c r="I1780" s="17"/>
      <c r="J1780" s="18"/>
    </row>
    <row r="1781" spans="9:10" x14ac:dyDescent="0.25">
      <c r="I1781" s="17"/>
      <c r="J1781" s="18"/>
    </row>
    <row r="1782" spans="9:10" x14ac:dyDescent="0.25">
      <c r="I1782" s="17"/>
      <c r="J1782" s="18"/>
    </row>
    <row r="1783" spans="9:10" x14ac:dyDescent="0.25">
      <c r="I1783" s="17"/>
      <c r="J1783" s="18"/>
    </row>
    <row r="1784" spans="9:10" x14ac:dyDescent="0.25">
      <c r="I1784" s="17"/>
      <c r="J1784" s="18"/>
    </row>
    <row r="1785" spans="9:10" x14ac:dyDescent="0.25">
      <c r="I1785" s="17"/>
      <c r="J1785" s="18"/>
    </row>
    <row r="1786" spans="9:10" x14ac:dyDescent="0.25">
      <c r="I1786" s="17"/>
      <c r="J1786" s="18"/>
    </row>
    <row r="1787" spans="9:10" x14ac:dyDescent="0.25">
      <c r="I1787" s="17"/>
      <c r="J1787" s="18"/>
    </row>
    <row r="1788" spans="9:10" x14ac:dyDescent="0.25">
      <c r="I1788" s="17"/>
      <c r="J1788" s="18"/>
    </row>
    <row r="1789" spans="9:10" x14ac:dyDescent="0.25">
      <c r="I1789" s="17"/>
      <c r="J1789" s="18"/>
    </row>
    <row r="1790" spans="9:10" x14ac:dyDescent="0.25">
      <c r="I1790" s="17"/>
      <c r="J1790" s="18"/>
    </row>
    <row r="1791" spans="9:10" x14ac:dyDescent="0.25">
      <c r="I1791" s="17"/>
      <c r="J1791" s="18"/>
    </row>
    <row r="1792" spans="9:10" x14ac:dyDescent="0.25">
      <c r="I1792" s="17"/>
      <c r="J1792" s="18"/>
    </row>
    <row r="1793" spans="9:10" x14ac:dyDescent="0.25">
      <c r="I1793" s="17"/>
      <c r="J1793" s="18"/>
    </row>
    <row r="1794" spans="9:10" x14ac:dyDescent="0.25">
      <c r="I1794" s="17"/>
      <c r="J1794" s="18"/>
    </row>
    <row r="1795" spans="9:10" x14ac:dyDescent="0.25">
      <c r="I1795" s="17"/>
      <c r="J1795" s="18"/>
    </row>
    <row r="1796" spans="9:10" x14ac:dyDescent="0.25">
      <c r="I1796" s="17"/>
      <c r="J1796" s="18"/>
    </row>
    <row r="1797" spans="9:10" x14ac:dyDescent="0.25">
      <c r="I1797" s="17"/>
      <c r="J1797" s="18"/>
    </row>
    <row r="1798" spans="9:10" x14ac:dyDescent="0.25">
      <c r="I1798" s="17"/>
      <c r="J1798" s="18"/>
    </row>
    <row r="1799" spans="9:10" x14ac:dyDescent="0.25">
      <c r="I1799" s="17"/>
      <c r="J1799" s="18"/>
    </row>
    <row r="1800" spans="9:10" x14ac:dyDescent="0.25">
      <c r="I1800" s="17"/>
      <c r="J1800" s="18"/>
    </row>
    <row r="1801" spans="9:10" x14ac:dyDescent="0.25">
      <c r="I1801" s="17"/>
      <c r="J1801" s="18"/>
    </row>
    <row r="1802" spans="9:10" x14ac:dyDescent="0.25">
      <c r="I1802" s="17"/>
      <c r="J1802" s="18"/>
    </row>
    <row r="1803" spans="9:10" x14ac:dyDescent="0.25">
      <c r="I1803" s="17"/>
      <c r="J1803" s="18"/>
    </row>
    <row r="1804" spans="9:10" x14ac:dyDescent="0.25">
      <c r="I1804" s="17"/>
      <c r="J1804" s="18"/>
    </row>
    <row r="1805" spans="9:10" x14ac:dyDescent="0.25">
      <c r="I1805" s="17"/>
      <c r="J1805" s="18"/>
    </row>
    <row r="1806" spans="9:10" x14ac:dyDescent="0.25">
      <c r="I1806" s="17"/>
      <c r="J1806" s="18"/>
    </row>
    <row r="1807" spans="9:10" x14ac:dyDescent="0.25">
      <c r="I1807" s="17"/>
      <c r="J1807" s="18"/>
    </row>
    <row r="1808" spans="9:10" x14ac:dyDescent="0.25">
      <c r="I1808" s="17"/>
      <c r="J1808" s="18"/>
    </row>
    <row r="1809" spans="9:10" x14ac:dyDescent="0.25">
      <c r="I1809" s="17"/>
      <c r="J1809" s="18"/>
    </row>
    <row r="1810" spans="9:10" x14ac:dyDescent="0.25">
      <c r="I1810" s="17"/>
      <c r="J1810" s="18"/>
    </row>
    <row r="1811" spans="9:10" x14ac:dyDescent="0.25">
      <c r="I1811" s="17"/>
      <c r="J1811" s="18"/>
    </row>
    <row r="1812" spans="9:10" x14ac:dyDescent="0.25">
      <c r="I1812" s="17"/>
      <c r="J1812" s="18"/>
    </row>
    <row r="1813" spans="9:10" x14ac:dyDescent="0.25">
      <c r="I1813" s="17"/>
      <c r="J1813" s="18"/>
    </row>
    <row r="1814" spans="9:10" x14ac:dyDescent="0.25">
      <c r="I1814" s="17"/>
      <c r="J1814" s="18"/>
    </row>
    <row r="1815" spans="9:10" x14ac:dyDescent="0.25">
      <c r="I1815" s="17"/>
      <c r="J1815" s="18"/>
    </row>
    <row r="1816" spans="9:10" x14ac:dyDescent="0.25">
      <c r="I1816" s="17"/>
      <c r="J1816" s="18"/>
    </row>
    <row r="1817" spans="9:10" x14ac:dyDescent="0.25">
      <c r="I1817" s="17"/>
      <c r="J1817" s="18"/>
    </row>
    <row r="1818" spans="9:10" x14ac:dyDescent="0.25">
      <c r="I1818" s="17"/>
      <c r="J1818" s="18"/>
    </row>
    <row r="1819" spans="9:10" x14ac:dyDescent="0.25">
      <c r="I1819" s="17"/>
      <c r="J1819" s="18"/>
    </row>
    <row r="1820" spans="9:10" x14ac:dyDescent="0.25">
      <c r="I1820" s="17"/>
      <c r="J1820" s="18"/>
    </row>
    <row r="1821" spans="9:10" x14ac:dyDescent="0.25">
      <c r="I1821" s="17"/>
      <c r="J1821" s="18"/>
    </row>
    <row r="1822" spans="9:10" x14ac:dyDescent="0.25">
      <c r="I1822" s="17"/>
      <c r="J1822" s="18"/>
    </row>
    <row r="1823" spans="9:10" x14ac:dyDescent="0.25">
      <c r="I1823" s="17"/>
      <c r="J1823" s="18"/>
    </row>
    <row r="1824" spans="9:10" x14ac:dyDescent="0.25">
      <c r="I1824" s="17"/>
      <c r="J1824" s="18"/>
    </row>
    <row r="1825" spans="9:10" x14ac:dyDescent="0.25">
      <c r="I1825" s="17"/>
      <c r="J1825" s="18"/>
    </row>
    <row r="1826" spans="9:10" x14ac:dyDescent="0.25">
      <c r="I1826" s="17"/>
      <c r="J1826" s="18"/>
    </row>
    <row r="1827" spans="9:10" x14ac:dyDescent="0.25">
      <c r="I1827" s="17"/>
      <c r="J1827" s="18"/>
    </row>
    <row r="1828" spans="9:10" x14ac:dyDescent="0.25">
      <c r="I1828" s="17"/>
      <c r="J1828" s="18"/>
    </row>
    <row r="1829" spans="9:10" x14ac:dyDescent="0.25">
      <c r="I1829" s="17"/>
      <c r="J1829" s="18"/>
    </row>
    <row r="1830" spans="9:10" x14ac:dyDescent="0.25">
      <c r="I1830" s="17"/>
      <c r="J1830" s="18"/>
    </row>
    <row r="1831" spans="9:10" x14ac:dyDescent="0.25">
      <c r="I1831" s="17"/>
      <c r="J1831" s="18"/>
    </row>
    <row r="1832" spans="9:10" x14ac:dyDescent="0.25">
      <c r="I1832" s="17"/>
      <c r="J1832" s="18"/>
    </row>
    <row r="1833" spans="9:10" x14ac:dyDescent="0.25">
      <c r="I1833" s="17"/>
      <c r="J1833" s="18"/>
    </row>
    <row r="1834" spans="9:10" x14ac:dyDescent="0.25">
      <c r="I1834" s="17"/>
      <c r="J1834" s="18"/>
    </row>
    <row r="1835" spans="9:10" x14ac:dyDescent="0.25">
      <c r="I1835" s="17"/>
      <c r="J1835" s="18"/>
    </row>
    <row r="1836" spans="9:10" x14ac:dyDescent="0.25">
      <c r="I1836" s="17"/>
      <c r="J1836" s="18"/>
    </row>
    <row r="1837" spans="9:10" x14ac:dyDescent="0.25">
      <c r="I1837" s="17"/>
      <c r="J1837" s="18"/>
    </row>
    <row r="1838" spans="9:10" x14ac:dyDescent="0.25">
      <c r="I1838" s="17"/>
      <c r="J1838" s="18"/>
    </row>
    <row r="1839" spans="9:10" x14ac:dyDescent="0.25">
      <c r="I1839" s="17"/>
      <c r="J1839" s="18"/>
    </row>
    <row r="1840" spans="9:10" x14ac:dyDescent="0.25">
      <c r="I1840" s="17"/>
      <c r="J1840" s="18"/>
    </row>
    <row r="1841" spans="9:10" x14ac:dyDescent="0.25">
      <c r="I1841" s="17"/>
      <c r="J1841" s="18"/>
    </row>
    <row r="1842" spans="9:10" x14ac:dyDescent="0.25">
      <c r="I1842" s="17"/>
      <c r="J1842" s="18"/>
    </row>
    <row r="1843" spans="9:10" x14ac:dyDescent="0.25">
      <c r="I1843" s="17"/>
      <c r="J1843" s="18"/>
    </row>
    <row r="1844" spans="9:10" x14ac:dyDescent="0.25">
      <c r="I1844" s="17"/>
      <c r="J1844" s="18"/>
    </row>
    <row r="1845" spans="9:10" x14ac:dyDescent="0.25">
      <c r="I1845" s="17"/>
      <c r="J1845" s="18"/>
    </row>
    <row r="1846" spans="9:10" x14ac:dyDescent="0.25">
      <c r="I1846" s="17"/>
      <c r="J1846" s="18"/>
    </row>
    <row r="1847" spans="9:10" x14ac:dyDescent="0.25">
      <c r="I1847" s="17"/>
      <c r="J1847" s="18"/>
    </row>
    <row r="1848" spans="9:10" x14ac:dyDescent="0.25">
      <c r="I1848" s="17"/>
      <c r="J1848" s="18"/>
    </row>
    <row r="1849" spans="9:10" x14ac:dyDescent="0.25">
      <c r="I1849" s="17"/>
      <c r="J1849" s="18"/>
    </row>
    <row r="1850" spans="9:10" x14ac:dyDescent="0.25">
      <c r="I1850" s="17"/>
      <c r="J1850" s="18"/>
    </row>
    <row r="1851" spans="9:10" x14ac:dyDescent="0.25">
      <c r="I1851" s="17"/>
      <c r="J1851" s="18"/>
    </row>
    <row r="1852" spans="9:10" x14ac:dyDescent="0.25">
      <c r="I1852" s="17"/>
      <c r="J1852" s="18"/>
    </row>
    <row r="1853" spans="9:10" x14ac:dyDescent="0.25">
      <c r="I1853" s="17"/>
      <c r="J1853" s="18"/>
    </row>
    <row r="1854" spans="9:10" x14ac:dyDescent="0.25">
      <c r="I1854" s="17"/>
      <c r="J1854" s="18"/>
    </row>
    <row r="1855" spans="9:10" x14ac:dyDescent="0.25">
      <c r="I1855" s="17"/>
      <c r="J1855" s="18"/>
    </row>
    <row r="1856" spans="9:10" x14ac:dyDescent="0.25">
      <c r="I1856" s="17"/>
      <c r="J1856" s="18"/>
    </row>
    <row r="1857" spans="9:10" x14ac:dyDescent="0.25">
      <c r="I1857" s="17"/>
      <c r="J1857" s="18"/>
    </row>
    <row r="1858" spans="9:10" x14ac:dyDescent="0.25">
      <c r="I1858" s="17"/>
      <c r="J1858" s="18"/>
    </row>
    <row r="1859" spans="9:10" x14ac:dyDescent="0.25">
      <c r="I1859" s="17"/>
      <c r="J1859" s="18"/>
    </row>
    <row r="1860" spans="9:10" x14ac:dyDescent="0.25">
      <c r="I1860" s="17"/>
      <c r="J1860" s="18"/>
    </row>
    <row r="1861" spans="9:10" x14ac:dyDescent="0.25">
      <c r="I1861" s="17"/>
      <c r="J1861" s="18"/>
    </row>
    <row r="1862" spans="9:10" x14ac:dyDescent="0.25">
      <c r="I1862" s="17"/>
      <c r="J1862" s="18"/>
    </row>
    <row r="1863" spans="9:10" x14ac:dyDescent="0.25">
      <c r="I1863" s="17"/>
      <c r="J1863" s="18"/>
    </row>
    <row r="1864" spans="9:10" x14ac:dyDescent="0.25">
      <c r="I1864" s="17"/>
      <c r="J1864" s="18"/>
    </row>
    <row r="1865" spans="9:10" x14ac:dyDescent="0.25">
      <c r="I1865" s="17"/>
      <c r="J1865" s="18"/>
    </row>
    <row r="1866" spans="9:10" x14ac:dyDescent="0.25">
      <c r="I1866" s="17"/>
      <c r="J1866" s="18"/>
    </row>
    <row r="1867" spans="9:10" x14ac:dyDescent="0.25">
      <c r="I1867" s="17"/>
      <c r="J1867" s="18"/>
    </row>
    <row r="1868" spans="9:10" x14ac:dyDescent="0.25">
      <c r="I1868" s="17"/>
      <c r="J1868" s="18"/>
    </row>
    <row r="1869" spans="9:10" x14ac:dyDescent="0.25">
      <c r="I1869" s="17"/>
      <c r="J1869" s="18"/>
    </row>
    <row r="1870" spans="9:10" x14ac:dyDescent="0.25">
      <c r="I1870" s="17"/>
      <c r="J1870" s="18"/>
    </row>
    <row r="1871" spans="9:10" x14ac:dyDescent="0.25">
      <c r="I1871" s="17"/>
      <c r="J1871" s="18"/>
    </row>
    <row r="1872" spans="9:10" x14ac:dyDescent="0.25">
      <c r="I1872" s="17"/>
      <c r="J1872" s="18"/>
    </row>
    <row r="1873" spans="9:10" x14ac:dyDescent="0.25">
      <c r="I1873" s="17"/>
      <c r="J1873" s="18"/>
    </row>
    <row r="1874" spans="9:10" x14ac:dyDescent="0.25">
      <c r="I1874" s="17"/>
      <c r="J1874" s="18"/>
    </row>
    <row r="1875" spans="9:10" x14ac:dyDescent="0.25">
      <c r="I1875" s="17"/>
      <c r="J1875" s="18"/>
    </row>
    <row r="1876" spans="9:10" x14ac:dyDescent="0.25">
      <c r="I1876" s="17"/>
      <c r="J1876" s="18"/>
    </row>
    <row r="1877" spans="9:10" x14ac:dyDescent="0.25">
      <c r="I1877" s="17"/>
      <c r="J1877" s="18"/>
    </row>
    <row r="1878" spans="9:10" x14ac:dyDescent="0.25">
      <c r="I1878" s="17"/>
      <c r="J1878" s="18"/>
    </row>
    <row r="1879" spans="9:10" x14ac:dyDescent="0.25">
      <c r="I1879" s="17"/>
      <c r="J1879" s="18"/>
    </row>
    <row r="1880" spans="9:10" x14ac:dyDescent="0.25">
      <c r="I1880" s="17"/>
      <c r="J1880" s="18"/>
    </row>
    <row r="1881" spans="9:10" x14ac:dyDescent="0.25">
      <c r="I1881" s="17"/>
      <c r="J1881" s="18"/>
    </row>
    <row r="1882" spans="9:10" x14ac:dyDescent="0.25">
      <c r="I1882" s="17"/>
      <c r="J1882" s="18"/>
    </row>
    <row r="1883" spans="9:10" x14ac:dyDescent="0.25">
      <c r="I1883" s="17"/>
      <c r="J1883" s="18"/>
    </row>
    <row r="1884" spans="9:10" x14ac:dyDescent="0.25">
      <c r="I1884" s="17"/>
      <c r="J1884" s="18"/>
    </row>
    <row r="1885" spans="9:10" x14ac:dyDescent="0.25">
      <c r="I1885" s="17"/>
      <c r="J1885" s="18"/>
    </row>
    <row r="1886" spans="9:10" x14ac:dyDescent="0.25">
      <c r="I1886" s="17"/>
      <c r="J1886" s="18"/>
    </row>
    <row r="1887" spans="9:10" x14ac:dyDescent="0.25">
      <c r="I1887" s="17"/>
      <c r="J1887" s="18"/>
    </row>
    <row r="1888" spans="9:10" x14ac:dyDescent="0.25">
      <c r="I1888" s="17"/>
      <c r="J1888" s="18"/>
    </row>
    <row r="1889" spans="9:10" x14ac:dyDescent="0.25">
      <c r="I1889" s="17"/>
      <c r="J1889" s="18"/>
    </row>
    <row r="1890" spans="9:10" x14ac:dyDescent="0.25">
      <c r="I1890" s="17"/>
      <c r="J1890" s="18"/>
    </row>
    <row r="1891" spans="9:10" x14ac:dyDescent="0.25">
      <c r="I1891" s="17"/>
      <c r="J1891" s="18"/>
    </row>
    <row r="1892" spans="9:10" x14ac:dyDescent="0.25">
      <c r="I1892" s="17"/>
      <c r="J1892" s="18"/>
    </row>
    <row r="1893" spans="9:10" x14ac:dyDescent="0.25">
      <c r="I1893" s="17"/>
      <c r="J1893" s="18"/>
    </row>
    <row r="1894" spans="9:10" x14ac:dyDescent="0.25">
      <c r="I1894" s="17"/>
      <c r="J1894" s="18"/>
    </row>
    <row r="1895" spans="9:10" x14ac:dyDescent="0.25">
      <c r="I1895" s="17"/>
      <c r="J1895" s="18"/>
    </row>
    <row r="1896" spans="9:10" x14ac:dyDescent="0.25">
      <c r="I1896" s="17"/>
      <c r="J1896" s="18"/>
    </row>
    <row r="1897" spans="9:10" x14ac:dyDescent="0.25">
      <c r="I1897" s="17"/>
      <c r="J1897" s="18"/>
    </row>
    <row r="1898" spans="9:10" x14ac:dyDescent="0.25">
      <c r="I1898" s="17"/>
      <c r="J1898" s="18"/>
    </row>
    <row r="1899" spans="9:10" x14ac:dyDescent="0.25">
      <c r="I1899" s="17"/>
      <c r="J1899" s="18"/>
    </row>
    <row r="1900" spans="9:10" x14ac:dyDescent="0.25">
      <c r="I1900" s="17"/>
      <c r="J1900" s="18"/>
    </row>
    <row r="1901" spans="9:10" x14ac:dyDescent="0.25">
      <c r="I1901" s="17"/>
      <c r="J1901" s="18"/>
    </row>
    <row r="1902" spans="9:10" x14ac:dyDescent="0.25">
      <c r="I1902" s="17"/>
      <c r="J1902" s="18"/>
    </row>
    <row r="1903" spans="9:10" x14ac:dyDescent="0.25">
      <c r="I1903" s="17"/>
      <c r="J1903" s="18"/>
    </row>
    <row r="1904" spans="9:10" x14ac:dyDescent="0.25">
      <c r="I1904" s="17"/>
      <c r="J1904" s="18"/>
    </row>
    <row r="1905" spans="9:10" x14ac:dyDescent="0.25">
      <c r="I1905" s="17"/>
      <c r="J1905" s="18"/>
    </row>
    <row r="1906" spans="9:10" x14ac:dyDescent="0.25">
      <c r="I1906" s="17"/>
      <c r="J1906" s="18"/>
    </row>
    <row r="1907" spans="9:10" x14ac:dyDescent="0.25">
      <c r="I1907" s="17"/>
      <c r="J1907" s="18"/>
    </row>
    <row r="1908" spans="9:10" x14ac:dyDescent="0.25">
      <c r="I1908" s="17"/>
      <c r="J1908" s="18"/>
    </row>
    <row r="1909" spans="9:10" x14ac:dyDescent="0.25">
      <c r="I1909" s="17"/>
      <c r="J1909" s="18"/>
    </row>
    <row r="1910" spans="9:10" x14ac:dyDescent="0.25">
      <c r="I1910" s="17"/>
      <c r="J1910" s="18"/>
    </row>
    <row r="1911" spans="9:10" x14ac:dyDescent="0.25">
      <c r="I1911" s="17"/>
      <c r="J1911" s="18"/>
    </row>
    <row r="1912" spans="9:10" x14ac:dyDescent="0.25">
      <c r="I1912" s="17"/>
      <c r="J1912" s="18"/>
    </row>
    <row r="1913" spans="9:10" x14ac:dyDescent="0.25">
      <c r="I1913" s="17"/>
      <c r="J1913" s="18"/>
    </row>
    <row r="1914" spans="9:10" x14ac:dyDescent="0.25">
      <c r="I1914" s="17"/>
      <c r="J1914" s="18"/>
    </row>
    <row r="1915" spans="9:10" x14ac:dyDescent="0.25">
      <c r="I1915" s="17"/>
      <c r="J1915" s="18"/>
    </row>
    <row r="1916" spans="9:10" x14ac:dyDescent="0.25">
      <c r="I1916" s="17"/>
      <c r="J1916" s="18"/>
    </row>
    <row r="1917" spans="9:10" x14ac:dyDescent="0.25">
      <c r="I1917" s="17"/>
      <c r="J1917" s="18"/>
    </row>
    <row r="1918" spans="9:10" x14ac:dyDescent="0.25">
      <c r="I1918" s="17"/>
      <c r="J1918" s="18"/>
    </row>
    <row r="1919" spans="9:10" x14ac:dyDescent="0.25">
      <c r="I1919" s="17"/>
      <c r="J1919" s="18"/>
    </row>
    <row r="1920" spans="9:10" x14ac:dyDescent="0.25">
      <c r="I1920" s="17"/>
      <c r="J1920" s="18"/>
    </row>
    <row r="1921" spans="9:10" x14ac:dyDescent="0.25">
      <c r="I1921" s="17"/>
      <c r="J1921" s="18"/>
    </row>
    <row r="1922" spans="9:10" x14ac:dyDescent="0.25">
      <c r="I1922" s="17"/>
      <c r="J1922" s="18"/>
    </row>
    <row r="1923" spans="9:10" x14ac:dyDescent="0.25">
      <c r="I1923" s="17"/>
      <c r="J1923" s="18"/>
    </row>
    <row r="1924" spans="9:10" x14ac:dyDescent="0.25">
      <c r="I1924" s="17"/>
      <c r="J1924" s="18"/>
    </row>
    <row r="1925" spans="9:10" x14ac:dyDescent="0.25">
      <c r="I1925" s="17"/>
      <c r="J1925" s="18"/>
    </row>
    <row r="1926" spans="9:10" x14ac:dyDescent="0.25">
      <c r="I1926" s="17"/>
      <c r="J1926" s="18"/>
    </row>
    <row r="1927" spans="9:10" x14ac:dyDescent="0.25">
      <c r="I1927" s="17"/>
      <c r="J1927" s="18"/>
    </row>
    <row r="1928" spans="9:10" x14ac:dyDescent="0.25">
      <c r="I1928" s="17"/>
      <c r="J1928" s="18"/>
    </row>
    <row r="1929" spans="9:10" x14ac:dyDescent="0.25">
      <c r="I1929" s="17"/>
      <c r="J1929" s="18"/>
    </row>
    <row r="1930" spans="9:10" x14ac:dyDescent="0.25">
      <c r="I1930" s="17"/>
      <c r="J1930" s="18"/>
    </row>
    <row r="1931" spans="9:10" x14ac:dyDescent="0.25">
      <c r="I1931" s="17"/>
      <c r="J1931" s="18"/>
    </row>
    <row r="1932" spans="9:10" x14ac:dyDescent="0.25">
      <c r="I1932" s="17"/>
      <c r="J1932" s="18"/>
    </row>
    <row r="1933" spans="9:10" x14ac:dyDescent="0.25">
      <c r="I1933" s="17"/>
      <c r="J1933" s="18"/>
    </row>
    <row r="1934" spans="9:10" x14ac:dyDescent="0.25">
      <c r="I1934" s="17"/>
      <c r="J1934" s="18"/>
    </row>
    <row r="1935" spans="9:10" x14ac:dyDescent="0.25">
      <c r="I1935" s="17"/>
      <c r="J1935" s="18"/>
    </row>
    <row r="1936" spans="9:10" x14ac:dyDescent="0.25">
      <c r="I1936" s="17"/>
      <c r="J1936" s="18"/>
    </row>
    <row r="1937" spans="9:10" x14ac:dyDescent="0.25">
      <c r="I1937" s="17"/>
      <c r="J1937" s="18"/>
    </row>
    <row r="1938" spans="9:10" x14ac:dyDescent="0.25">
      <c r="I1938" s="17"/>
      <c r="J1938" s="18"/>
    </row>
    <row r="1939" spans="9:10" x14ac:dyDescent="0.25">
      <c r="I1939" s="17"/>
      <c r="J1939" s="18"/>
    </row>
    <row r="1940" spans="9:10" x14ac:dyDescent="0.25">
      <c r="I1940" s="17"/>
      <c r="J1940" s="18"/>
    </row>
    <row r="1941" spans="9:10" x14ac:dyDescent="0.25">
      <c r="I1941" s="17"/>
      <c r="J1941" s="18"/>
    </row>
    <row r="1942" spans="9:10" x14ac:dyDescent="0.25">
      <c r="I1942" s="17"/>
      <c r="J1942" s="18"/>
    </row>
    <row r="1943" spans="9:10" x14ac:dyDescent="0.25">
      <c r="I1943" s="17"/>
      <c r="J1943" s="18"/>
    </row>
    <row r="1944" spans="9:10" x14ac:dyDescent="0.25">
      <c r="I1944" s="17"/>
      <c r="J1944" s="18"/>
    </row>
    <row r="1945" spans="9:10" x14ac:dyDescent="0.25">
      <c r="I1945" s="17"/>
      <c r="J1945" s="18"/>
    </row>
    <row r="1946" spans="9:10" x14ac:dyDescent="0.25">
      <c r="I1946" s="17"/>
      <c r="J1946" s="18"/>
    </row>
    <row r="1947" spans="9:10" x14ac:dyDescent="0.25">
      <c r="I1947" s="17"/>
      <c r="J1947" s="18"/>
    </row>
    <row r="1948" spans="9:10" x14ac:dyDescent="0.25">
      <c r="I1948" s="17"/>
      <c r="J1948" s="18"/>
    </row>
    <row r="1949" spans="9:10" x14ac:dyDescent="0.25">
      <c r="I1949" s="17"/>
      <c r="J1949" s="18"/>
    </row>
    <row r="1950" spans="9:10" x14ac:dyDescent="0.25">
      <c r="I1950" s="17"/>
      <c r="J1950" s="18"/>
    </row>
    <row r="1951" spans="9:10" x14ac:dyDescent="0.25">
      <c r="I1951" s="17"/>
      <c r="J1951" s="18"/>
    </row>
    <row r="1952" spans="9:10" x14ac:dyDescent="0.25">
      <c r="I1952" s="17"/>
      <c r="J1952" s="18"/>
    </row>
    <row r="1953" spans="9:10" x14ac:dyDescent="0.25">
      <c r="I1953" s="17"/>
      <c r="J1953" s="18"/>
    </row>
    <row r="1954" spans="9:10" x14ac:dyDescent="0.25">
      <c r="I1954" s="17"/>
      <c r="J1954" s="18"/>
    </row>
    <row r="1955" spans="9:10" x14ac:dyDescent="0.25">
      <c r="I1955" s="17"/>
      <c r="J1955" s="18"/>
    </row>
    <row r="1956" spans="9:10" x14ac:dyDescent="0.25">
      <c r="I1956" s="17"/>
      <c r="J1956" s="18"/>
    </row>
    <row r="1957" spans="9:10" x14ac:dyDescent="0.25">
      <c r="I1957" s="17"/>
      <c r="J1957" s="18"/>
    </row>
    <row r="1958" spans="9:10" x14ac:dyDescent="0.25">
      <c r="I1958" s="17"/>
      <c r="J1958" s="18"/>
    </row>
    <row r="1959" spans="9:10" x14ac:dyDescent="0.25">
      <c r="I1959" s="17"/>
      <c r="J1959" s="18"/>
    </row>
    <row r="1960" spans="9:10" x14ac:dyDescent="0.25">
      <c r="I1960" s="17"/>
      <c r="J1960" s="18"/>
    </row>
    <row r="1961" spans="9:10" x14ac:dyDescent="0.25">
      <c r="I1961" s="17"/>
      <c r="J1961" s="18"/>
    </row>
    <row r="1962" spans="9:10" x14ac:dyDescent="0.25">
      <c r="I1962" s="17"/>
      <c r="J1962" s="18"/>
    </row>
    <row r="1963" spans="9:10" x14ac:dyDescent="0.25">
      <c r="I1963" s="17"/>
      <c r="J1963" s="18"/>
    </row>
    <row r="1964" spans="9:10" x14ac:dyDescent="0.25">
      <c r="I1964" s="17"/>
      <c r="J1964" s="18"/>
    </row>
    <row r="1965" spans="9:10" x14ac:dyDescent="0.25">
      <c r="I1965" s="17"/>
      <c r="J1965" s="18"/>
    </row>
    <row r="1966" spans="9:10" x14ac:dyDescent="0.25">
      <c r="I1966" s="17"/>
      <c r="J1966" s="18"/>
    </row>
    <row r="1967" spans="9:10" x14ac:dyDescent="0.25">
      <c r="I1967" s="17"/>
      <c r="J1967" s="18"/>
    </row>
    <row r="1968" spans="9:10" x14ac:dyDescent="0.25">
      <c r="I1968" s="17"/>
      <c r="J1968" s="18"/>
    </row>
    <row r="1969" spans="9:10" x14ac:dyDescent="0.25">
      <c r="I1969" s="17"/>
      <c r="J1969" s="18"/>
    </row>
    <row r="1970" spans="9:10" x14ac:dyDescent="0.25">
      <c r="I1970" s="17"/>
      <c r="J1970" s="18"/>
    </row>
    <row r="1971" spans="9:10" x14ac:dyDescent="0.25">
      <c r="I1971" s="17"/>
      <c r="J1971" s="18"/>
    </row>
    <row r="1972" spans="9:10" x14ac:dyDescent="0.25">
      <c r="I1972" s="17"/>
      <c r="J1972" s="18"/>
    </row>
    <row r="1973" spans="9:10" x14ac:dyDescent="0.25">
      <c r="I1973" s="17"/>
      <c r="J1973" s="18"/>
    </row>
    <row r="1974" spans="9:10" x14ac:dyDescent="0.25">
      <c r="I1974" s="17"/>
      <c r="J1974" s="18"/>
    </row>
    <row r="1975" spans="9:10" x14ac:dyDescent="0.25">
      <c r="I1975" s="17"/>
      <c r="J1975" s="18"/>
    </row>
    <row r="1976" spans="9:10" x14ac:dyDescent="0.25">
      <c r="I1976" s="17"/>
      <c r="J1976" s="18"/>
    </row>
    <row r="1977" spans="9:10" x14ac:dyDescent="0.25">
      <c r="I1977" s="17"/>
      <c r="J1977" s="18"/>
    </row>
    <row r="1978" spans="9:10" x14ac:dyDescent="0.25">
      <c r="I1978" s="17"/>
      <c r="J1978" s="18"/>
    </row>
    <row r="1979" spans="9:10" x14ac:dyDescent="0.25">
      <c r="I1979" s="17"/>
      <c r="J1979" s="18"/>
    </row>
    <row r="1980" spans="9:10" x14ac:dyDescent="0.25">
      <c r="I1980" s="17"/>
      <c r="J1980" s="18"/>
    </row>
    <row r="1981" spans="9:10" x14ac:dyDescent="0.25">
      <c r="I1981" s="17"/>
      <c r="J1981" s="18"/>
    </row>
    <row r="1982" spans="9:10" x14ac:dyDescent="0.25">
      <c r="I1982" s="17"/>
      <c r="J1982" s="18"/>
    </row>
    <row r="1983" spans="9:10" x14ac:dyDescent="0.25">
      <c r="I1983" s="17"/>
      <c r="J1983" s="18"/>
    </row>
    <row r="1984" spans="9:10" x14ac:dyDescent="0.25">
      <c r="I1984" s="17"/>
      <c r="J1984" s="18"/>
    </row>
    <row r="1985" spans="9:10" x14ac:dyDescent="0.25">
      <c r="I1985" s="17"/>
      <c r="J1985" s="18"/>
    </row>
    <row r="1986" spans="9:10" x14ac:dyDescent="0.25">
      <c r="I1986" s="17"/>
      <c r="J1986" s="18"/>
    </row>
    <row r="1987" spans="9:10" x14ac:dyDescent="0.25">
      <c r="I1987" s="17"/>
      <c r="J1987" s="18"/>
    </row>
    <row r="1988" spans="9:10" x14ac:dyDescent="0.25">
      <c r="I1988" s="17"/>
      <c r="J1988" s="18"/>
    </row>
    <row r="1989" spans="9:10" x14ac:dyDescent="0.25">
      <c r="I1989" s="17"/>
      <c r="J1989" s="18"/>
    </row>
    <row r="1990" spans="9:10" x14ac:dyDescent="0.25">
      <c r="I1990" s="17"/>
      <c r="J1990" s="18"/>
    </row>
    <row r="1991" spans="9:10" x14ac:dyDescent="0.25">
      <c r="I1991" s="17"/>
      <c r="J1991" s="18"/>
    </row>
    <row r="1992" spans="9:10" x14ac:dyDescent="0.25">
      <c r="I1992" s="17"/>
      <c r="J1992" s="18"/>
    </row>
    <row r="1993" spans="9:10" x14ac:dyDescent="0.25">
      <c r="I1993" s="17"/>
      <c r="J1993" s="18"/>
    </row>
    <row r="1994" spans="9:10" x14ac:dyDescent="0.25">
      <c r="I1994" s="17"/>
      <c r="J1994" s="18"/>
    </row>
    <row r="1995" spans="9:10" x14ac:dyDescent="0.25">
      <c r="I1995" s="17"/>
      <c r="J1995" s="18"/>
    </row>
    <row r="1996" spans="9:10" x14ac:dyDescent="0.25">
      <c r="I1996" s="17"/>
      <c r="J1996" s="18"/>
    </row>
    <row r="1997" spans="9:10" x14ac:dyDescent="0.25">
      <c r="I1997" s="17"/>
      <c r="J1997" s="18"/>
    </row>
    <row r="1998" spans="9:10" x14ac:dyDescent="0.25">
      <c r="I1998" s="17"/>
      <c r="J1998" s="18"/>
    </row>
    <row r="1999" spans="9:10" x14ac:dyDescent="0.25">
      <c r="I1999" s="17"/>
      <c r="J1999" s="18"/>
    </row>
    <row r="2000" spans="9:10" x14ac:dyDescent="0.25">
      <c r="I2000" s="17"/>
      <c r="J2000" s="18"/>
    </row>
    <row r="2001" spans="9:10" x14ac:dyDescent="0.25">
      <c r="I2001" s="17"/>
      <c r="J2001" s="18"/>
    </row>
    <row r="2002" spans="9:10" x14ac:dyDescent="0.25">
      <c r="I2002" s="17"/>
      <c r="J2002" s="18"/>
    </row>
    <row r="2003" spans="9:10" x14ac:dyDescent="0.25">
      <c r="I2003" s="17"/>
      <c r="J2003" s="18"/>
    </row>
    <row r="2004" spans="9:10" x14ac:dyDescent="0.25">
      <c r="I2004" s="17"/>
      <c r="J2004" s="18"/>
    </row>
    <row r="2005" spans="9:10" x14ac:dyDescent="0.25">
      <c r="I2005" s="17"/>
      <c r="J2005" s="18"/>
    </row>
    <row r="2006" spans="9:10" x14ac:dyDescent="0.25">
      <c r="I2006" s="17"/>
      <c r="J2006" s="18"/>
    </row>
    <row r="2007" spans="9:10" x14ac:dyDescent="0.25">
      <c r="I2007" s="17"/>
      <c r="J2007" s="18"/>
    </row>
    <row r="2008" spans="9:10" x14ac:dyDescent="0.25">
      <c r="I2008" s="17"/>
      <c r="J2008" s="18"/>
    </row>
    <row r="2009" spans="9:10" x14ac:dyDescent="0.25">
      <c r="I2009" s="17"/>
      <c r="J2009" s="18"/>
    </row>
    <row r="2010" spans="9:10" x14ac:dyDescent="0.25">
      <c r="I2010" s="17"/>
      <c r="J2010" s="18"/>
    </row>
    <row r="2011" spans="9:10" x14ac:dyDescent="0.25">
      <c r="I2011" s="17"/>
      <c r="J2011" s="18"/>
    </row>
    <row r="2012" spans="9:10" x14ac:dyDescent="0.25">
      <c r="I2012" s="17"/>
      <c r="J2012" s="18"/>
    </row>
    <row r="2013" spans="9:10" x14ac:dyDescent="0.25">
      <c r="I2013" s="17"/>
      <c r="J2013" s="18"/>
    </row>
    <row r="2014" spans="9:10" x14ac:dyDescent="0.25">
      <c r="I2014" s="17"/>
      <c r="J2014" s="18"/>
    </row>
    <row r="2015" spans="9:10" x14ac:dyDescent="0.25">
      <c r="I2015" s="17"/>
      <c r="J2015" s="18"/>
    </row>
    <row r="2016" spans="9:10" x14ac:dyDescent="0.25">
      <c r="I2016" s="17"/>
      <c r="J2016" s="18"/>
    </row>
    <row r="2017" spans="9:10" x14ac:dyDescent="0.25">
      <c r="I2017" s="17"/>
      <c r="J2017" s="18"/>
    </row>
    <row r="2018" spans="9:10" x14ac:dyDescent="0.25">
      <c r="I2018" s="17"/>
      <c r="J2018" s="18"/>
    </row>
    <row r="2019" spans="9:10" x14ac:dyDescent="0.25">
      <c r="I2019" s="17"/>
      <c r="J2019" s="18"/>
    </row>
    <row r="2020" spans="9:10" x14ac:dyDescent="0.25">
      <c r="I2020" s="17"/>
      <c r="J2020" s="18"/>
    </row>
    <row r="2021" spans="9:10" x14ac:dyDescent="0.25">
      <c r="I2021" s="17"/>
      <c r="J2021" s="18"/>
    </row>
    <row r="2022" spans="9:10" x14ac:dyDescent="0.25">
      <c r="I2022" s="17"/>
      <c r="J2022" s="18"/>
    </row>
    <row r="2023" spans="9:10" x14ac:dyDescent="0.25">
      <c r="I2023" s="17"/>
      <c r="J2023" s="18"/>
    </row>
    <row r="2024" spans="9:10" x14ac:dyDescent="0.25">
      <c r="I2024" s="17"/>
      <c r="J2024" s="18"/>
    </row>
    <row r="2025" spans="9:10" x14ac:dyDescent="0.25">
      <c r="I2025" s="17"/>
      <c r="J2025" s="18"/>
    </row>
    <row r="2026" spans="9:10" x14ac:dyDescent="0.25">
      <c r="I2026" s="17"/>
      <c r="J2026" s="18"/>
    </row>
    <row r="2027" spans="9:10" x14ac:dyDescent="0.25">
      <c r="I2027" s="17"/>
      <c r="J2027" s="18"/>
    </row>
    <row r="2028" spans="9:10" x14ac:dyDescent="0.25">
      <c r="I2028" s="17"/>
      <c r="J2028" s="18"/>
    </row>
    <row r="2029" spans="9:10" x14ac:dyDescent="0.25">
      <c r="I2029" s="17"/>
      <c r="J2029" s="18"/>
    </row>
    <row r="2030" spans="9:10" x14ac:dyDescent="0.25">
      <c r="I2030" s="17"/>
      <c r="J2030" s="18"/>
    </row>
    <row r="2031" spans="9:10" x14ac:dyDescent="0.25">
      <c r="I2031" s="17"/>
      <c r="J2031" s="18"/>
    </row>
    <row r="2032" spans="9:10" x14ac:dyDescent="0.25">
      <c r="I2032" s="17"/>
      <c r="J2032" s="18"/>
    </row>
    <row r="2033" spans="9:10" x14ac:dyDescent="0.25">
      <c r="I2033" s="17"/>
      <c r="J2033" s="18"/>
    </row>
    <row r="2034" spans="9:10" x14ac:dyDescent="0.25">
      <c r="I2034" s="17"/>
      <c r="J2034" s="18"/>
    </row>
    <row r="2035" spans="9:10" x14ac:dyDescent="0.25">
      <c r="I2035" s="17"/>
      <c r="J2035" s="18"/>
    </row>
    <row r="2036" spans="9:10" x14ac:dyDescent="0.25">
      <c r="I2036" s="17"/>
      <c r="J2036" s="18"/>
    </row>
    <row r="2037" spans="9:10" x14ac:dyDescent="0.25">
      <c r="I2037" s="17"/>
      <c r="J2037" s="18"/>
    </row>
    <row r="2038" spans="9:10" x14ac:dyDescent="0.25">
      <c r="I2038" s="17"/>
      <c r="J2038" s="18"/>
    </row>
    <row r="2039" spans="9:10" x14ac:dyDescent="0.25">
      <c r="I2039" s="17"/>
      <c r="J2039" s="18"/>
    </row>
    <row r="2040" spans="9:10" x14ac:dyDescent="0.25">
      <c r="I2040" s="17"/>
      <c r="J2040" s="18"/>
    </row>
    <row r="2041" spans="9:10" x14ac:dyDescent="0.25">
      <c r="I2041" s="17"/>
      <c r="J2041" s="18"/>
    </row>
    <row r="2042" spans="9:10" x14ac:dyDescent="0.25">
      <c r="I2042" s="17"/>
      <c r="J2042" s="18"/>
    </row>
    <row r="2043" spans="9:10" x14ac:dyDescent="0.25">
      <c r="I2043" s="17"/>
      <c r="J2043" s="18"/>
    </row>
    <row r="2044" spans="9:10" x14ac:dyDescent="0.25">
      <c r="I2044" s="17"/>
      <c r="J2044" s="18"/>
    </row>
    <row r="2045" spans="9:10" x14ac:dyDescent="0.25">
      <c r="I2045" s="17"/>
      <c r="J2045" s="18"/>
    </row>
    <row r="2046" spans="9:10" x14ac:dyDescent="0.25">
      <c r="I2046" s="17"/>
      <c r="J2046" s="18"/>
    </row>
    <row r="2047" spans="9:10" x14ac:dyDescent="0.25">
      <c r="I2047" s="17"/>
      <c r="J2047" s="18"/>
    </row>
    <row r="2048" spans="9:10" x14ac:dyDescent="0.25">
      <c r="I2048" s="17"/>
      <c r="J2048" s="18"/>
    </row>
    <row r="2049" spans="9:10" x14ac:dyDescent="0.25">
      <c r="I2049" s="17"/>
      <c r="J2049" s="18"/>
    </row>
    <row r="2050" spans="9:10" x14ac:dyDescent="0.25">
      <c r="I2050" s="17"/>
      <c r="J2050" s="18"/>
    </row>
    <row r="2051" spans="9:10" x14ac:dyDescent="0.25">
      <c r="I2051" s="17"/>
      <c r="J2051" s="18"/>
    </row>
    <row r="2052" spans="9:10" x14ac:dyDescent="0.25">
      <c r="I2052" s="17"/>
      <c r="J2052" s="18"/>
    </row>
    <row r="2053" spans="9:10" x14ac:dyDescent="0.25">
      <c r="I2053" s="17"/>
      <c r="J2053" s="18"/>
    </row>
    <row r="2054" spans="9:10" x14ac:dyDescent="0.25">
      <c r="I2054" s="17"/>
      <c r="J2054" s="18"/>
    </row>
    <row r="2055" spans="9:10" x14ac:dyDescent="0.25">
      <c r="I2055" s="17"/>
      <c r="J2055" s="18"/>
    </row>
    <row r="2056" spans="9:10" x14ac:dyDescent="0.25">
      <c r="I2056" s="17"/>
      <c r="J2056" s="18"/>
    </row>
    <row r="2057" spans="9:10" x14ac:dyDescent="0.25">
      <c r="I2057" s="17"/>
      <c r="J2057" s="18"/>
    </row>
    <row r="2058" spans="9:10" x14ac:dyDescent="0.25">
      <c r="I2058" s="17"/>
      <c r="J2058" s="18"/>
    </row>
    <row r="2059" spans="9:10" x14ac:dyDescent="0.25">
      <c r="I2059" s="17"/>
      <c r="J2059" s="18"/>
    </row>
    <row r="2060" spans="9:10" x14ac:dyDescent="0.25">
      <c r="I2060" s="17"/>
      <c r="J2060" s="18"/>
    </row>
    <row r="2061" spans="9:10" x14ac:dyDescent="0.25">
      <c r="I2061" s="17"/>
      <c r="J2061" s="18"/>
    </row>
    <row r="2062" spans="9:10" x14ac:dyDescent="0.25">
      <c r="I2062" s="17"/>
      <c r="J2062" s="18"/>
    </row>
    <row r="2063" spans="9:10" x14ac:dyDescent="0.25">
      <c r="I2063" s="17"/>
      <c r="J2063" s="18"/>
    </row>
    <row r="2064" spans="9:10" x14ac:dyDescent="0.25">
      <c r="I2064" s="17"/>
      <c r="J2064" s="18"/>
    </row>
    <row r="2065" spans="9:10" x14ac:dyDescent="0.25">
      <c r="I2065" s="17"/>
      <c r="J2065" s="18"/>
    </row>
    <row r="2066" spans="9:10" x14ac:dyDescent="0.25">
      <c r="I2066" s="17"/>
      <c r="J2066" s="18"/>
    </row>
    <row r="2067" spans="9:10" x14ac:dyDescent="0.25">
      <c r="I2067" s="17"/>
      <c r="J2067" s="18"/>
    </row>
    <row r="2068" spans="9:10" x14ac:dyDescent="0.25">
      <c r="I2068" s="17"/>
      <c r="J2068" s="18"/>
    </row>
    <row r="2069" spans="9:10" x14ac:dyDescent="0.25">
      <c r="I2069" s="17"/>
      <c r="J2069" s="18"/>
    </row>
    <row r="2070" spans="9:10" x14ac:dyDescent="0.25">
      <c r="I2070" s="17"/>
      <c r="J2070" s="18"/>
    </row>
    <row r="2071" spans="9:10" x14ac:dyDescent="0.25">
      <c r="I2071" s="17"/>
      <c r="J2071" s="18"/>
    </row>
    <row r="2072" spans="9:10" x14ac:dyDescent="0.25">
      <c r="I2072" s="17"/>
      <c r="J2072" s="18"/>
    </row>
    <row r="2073" spans="9:10" x14ac:dyDescent="0.25">
      <c r="I2073" s="17"/>
      <c r="J2073" s="18"/>
    </row>
    <row r="2074" spans="9:10" x14ac:dyDescent="0.25">
      <c r="I2074" s="17"/>
      <c r="J2074" s="18"/>
    </row>
    <row r="2075" spans="9:10" x14ac:dyDescent="0.25">
      <c r="I2075" s="17"/>
      <c r="J2075" s="18"/>
    </row>
    <row r="2076" spans="9:10" x14ac:dyDescent="0.25">
      <c r="I2076" s="17"/>
      <c r="J2076" s="18"/>
    </row>
    <row r="2077" spans="9:10" x14ac:dyDescent="0.25">
      <c r="I2077" s="17"/>
      <c r="J2077" s="18"/>
    </row>
    <row r="2078" spans="9:10" x14ac:dyDescent="0.25">
      <c r="I2078" s="17"/>
      <c r="J2078" s="18"/>
    </row>
    <row r="2079" spans="9:10" x14ac:dyDescent="0.25">
      <c r="I2079" s="17"/>
      <c r="J2079" s="18"/>
    </row>
    <row r="2080" spans="9:10" x14ac:dyDescent="0.25">
      <c r="I2080" s="17"/>
      <c r="J2080" s="18"/>
    </row>
    <row r="2081" spans="9:10" x14ac:dyDescent="0.25">
      <c r="I2081" s="17"/>
      <c r="J2081" s="18"/>
    </row>
    <row r="2082" spans="9:10" x14ac:dyDescent="0.25">
      <c r="I2082" s="17"/>
      <c r="J2082" s="18"/>
    </row>
    <row r="2083" spans="9:10" x14ac:dyDescent="0.25">
      <c r="I2083" s="17"/>
      <c r="J2083" s="18"/>
    </row>
    <row r="2084" spans="9:10" x14ac:dyDescent="0.25">
      <c r="I2084" s="17"/>
      <c r="J2084" s="18"/>
    </row>
    <row r="2085" spans="9:10" x14ac:dyDescent="0.25">
      <c r="I2085" s="17"/>
      <c r="J2085" s="18"/>
    </row>
    <row r="2086" spans="9:10" x14ac:dyDescent="0.25">
      <c r="I2086" s="17"/>
      <c r="J2086" s="18"/>
    </row>
    <row r="2087" spans="9:10" x14ac:dyDescent="0.25">
      <c r="I2087" s="17"/>
      <c r="J2087" s="18"/>
    </row>
    <row r="2088" spans="9:10" x14ac:dyDescent="0.25">
      <c r="I2088" s="17"/>
      <c r="J2088" s="18"/>
    </row>
    <row r="2089" spans="9:10" x14ac:dyDescent="0.25">
      <c r="I2089" s="17"/>
      <c r="J2089" s="18"/>
    </row>
    <row r="2090" spans="9:10" x14ac:dyDescent="0.25">
      <c r="I2090" s="17"/>
      <c r="J2090" s="18"/>
    </row>
    <row r="2091" spans="9:10" x14ac:dyDescent="0.25">
      <c r="I2091" s="17"/>
      <c r="J2091" s="18"/>
    </row>
    <row r="2092" spans="9:10" x14ac:dyDescent="0.25">
      <c r="I2092" s="17"/>
      <c r="J2092" s="18"/>
    </row>
    <row r="2093" spans="9:10" x14ac:dyDescent="0.25">
      <c r="I2093" s="17"/>
      <c r="J2093" s="18"/>
    </row>
    <row r="2094" spans="9:10" x14ac:dyDescent="0.25">
      <c r="I2094" s="17"/>
      <c r="J2094" s="18"/>
    </row>
    <row r="2095" spans="9:10" x14ac:dyDescent="0.25">
      <c r="I2095" s="17"/>
      <c r="J2095" s="18"/>
    </row>
    <row r="2096" spans="9:10" x14ac:dyDescent="0.25">
      <c r="I2096" s="17"/>
      <c r="J2096" s="18"/>
    </row>
    <row r="2097" spans="9:10" x14ac:dyDescent="0.25">
      <c r="I2097" s="17"/>
      <c r="J2097" s="18"/>
    </row>
    <row r="2098" spans="9:10" x14ac:dyDescent="0.25">
      <c r="I2098" s="17"/>
      <c r="J2098" s="18"/>
    </row>
    <row r="2099" spans="9:10" x14ac:dyDescent="0.25">
      <c r="I2099" s="17"/>
      <c r="J2099" s="18"/>
    </row>
    <row r="2100" spans="9:10" x14ac:dyDescent="0.25">
      <c r="I2100" s="17"/>
      <c r="J2100" s="18"/>
    </row>
    <row r="2101" spans="9:10" x14ac:dyDescent="0.25">
      <c r="I2101" s="17"/>
      <c r="J2101" s="18"/>
    </row>
    <row r="2102" spans="9:10" x14ac:dyDescent="0.25">
      <c r="I2102" s="17"/>
      <c r="J2102" s="18"/>
    </row>
    <row r="2103" spans="9:10" x14ac:dyDescent="0.25">
      <c r="I2103" s="17"/>
      <c r="J2103" s="18"/>
    </row>
    <row r="2104" spans="9:10" x14ac:dyDescent="0.25">
      <c r="I2104" s="17"/>
      <c r="J2104" s="18"/>
    </row>
    <row r="2105" spans="9:10" x14ac:dyDescent="0.25">
      <c r="I2105" s="17"/>
      <c r="J2105" s="18"/>
    </row>
    <row r="2106" spans="9:10" x14ac:dyDescent="0.25">
      <c r="I2106" s="17"/>
      <c r="J2106" s="18"/>
    </row>
    <row r="2107" spans="9:10" x14ac:dyDescent="0.25">
      <c r="I2107" s="17"/>
      <c r="J2107" s="18"/>
    </row>
    <row r="2108" spans="9:10" x14ac:dyDescent="0.25">
      <c r="I2108" s="17"/>
      <c r="J2108" s="18"/>
    </row>
    <row r="2109" spans="9:10" x14ac:dyDescent="0.25">
      <c r="I2109" s="17"/>
      <c r="J2109" s="18"/>
    </row>
    <row r="2110" spans="9:10" x14ac:dyDescent="0.25">
      <c r="I2110" s="17"/>
      <c r="J2110" s="18"/>
    </row>
    <row r="2111" spans="9:10" x14ac:dyDescent="0.25">
      <c r="I2111" s="17"/>
      <c r="J2111" s="18"/>
    </row>
    <row r="2112" spans="9:10" x14ac:dyDescent="0.25">
      <c r="I2112" s="17"/>
      <c r="J2112" s="18"/>
    </row>
    <row r="2113" spans="9:10" x14ac:dyDescent="0.25">
      <c r="I2113" s="17"/>
      <c r="J2113" s="18"/>
    </row>
    <row r="2114" spans="9:10" x14ac:dyDescent="0.25">
      <c r="I2114" s="17"/>
      <c r="J2114" s="18"/>
    </row>
    <row r="2115" spans="9:10" x14ac:dyDescent="0.25">
      <c r="I2115" s="17"/>
      <c r="J2115" s="18"/>
    </row>
    <row r="2116" spans="9:10" x14ac:dyDescent="0.25">
      <c r="I2116" s="17"/>
      <c r="J2116" s="18"/>
    </row>
    <row r="2117" spans="9:10" x14ac:dyDescent="0.25">
      <c r="I2117" s="17"/>
      <c r="J2117" s="18"/>
    </row>
    <row r="2118" spans="9:10" x14ac:dyDescent="0.25">
      <c r="I2118" s="17"/>
      <c r="J2118" s="18"/>
    </row>
    <row r="2119" spans="9:10" x14ac:dyDescent="0.25">
      <c r="I2119" s="17"/>
      <c r="J2119" s="18"/>
    </row>
    <row r="2120" spans="9:10" x14ac:dyDescent="0.25">
      <c r="I2120" s="17"/>
      <c r="J2120" s="18"/>
    </row>
    <row r="2121" spans="9:10" x14ac:dyDescent="0.25">
      <c r="I2121" s="17"/>
      <c r="J2121" s="18"/>
    </row>
    <row r="2122" spans="9:10" x14ac:dyDescent="0.25">
      <c r="I2122" s="17"/>
      <c r="J2122" s="18"/>
    </row>
    <row r="2123" spans="9:10" x14ac:dyDescent="0.25">
      <c r="I2123" s="17"/>
      <c r="J2123" s="18"/>
    </row>
    <row r="2124" spans="9:10" x14ac:dyDescent="0.25">
      <c r="I2124" s="17"/>
      <c r="J2124" s="18"/>
    </row>
    <row r="2125" spans="9:10" x14ac:dyDescent="0.25">
      <c r="I2125" s="17"/>
      <c r="J2125" s="18"/>
    </row>
    <row r="2126" spans="9:10" x14ac:dyDescent="0.25">
      <c r="I2126" s="17"/>
      <c r="J2126" s="18"/>
    </row>
    <row r="2127" spans="9:10" x14ac:dyDescent="0.25">
      <c r="I2127" s="17"/>
      <c r="J2127" s="18"/>
    </row>
    <row r="2128" spans="9:10" x14ac:dyDescent="0.25">
      <c r="I2128" s="17"/>
      <c r="J2128" s="18"/>
    </row>
    <row r="2129" spans="9:10" x14ac:dyDescent="0.25">
      <c r="I2129" s="17"/>
      <c r="J2129" s="18"/>
    </row>
    <row r="2130" spans="9:10" x14ac:dyDescent="0.25">
      <c r="I2130" s="17"/>
      <c r="J2130" s="18"/>
    </row>
    <row r="2131" spans="9:10" x14ac:dyDescent="0.25">
      <c r="I2131" s="17"/>
      <c r="J2131" s="18"/>
    </row>
    <row r="2132" spans="9:10" x14ac:dyDescent="0.25">
      <c r="I2132" s="17"/>
      <c r="J2132" s="18"/>
    </row>
    <row r="2133" spans="9:10" x14ac:dyDescent="0.25">
      <c r="I2133" s="17"/>
      <c r="J2133" s="18"/>
    </row>
    <row r="2134" spans="9:10" x14ac:dyDescent="0.25">
      <c r="I2134" s="17"/>
      <c r="J2134" s="18"/>
    </row>
    <row r="2135" spans="9:10" x14ac:dyDescent="0.25">
      <c r="I2135" s="17"/>
      <c r="J2135" s="18"/>
    </row>
    <row r="2136" spans="9:10" x14ac:dyDescent="0.25">
      <c r="I2136" s="17"/>
      <c r="J2136" s="18"/>
    </row>
    <row r="2137" spans="9:10" x14ac:dyDescent="0.25">
      <c r="I2137" s="17"/>
      <c r="J2137" s="18"/>
    </row>
    <row r="2138" spans="9:10" x14ac:dyDescent="0.25">
      <c r="I2138" s="17"/>
      <c r="J2138" s="18"/>
    </row>
    <row r="2139" spans="9:10" x14ac:dyDescent="0.25">
      <c r="I2139" s="17"/>
      <c r="J2139" s="18"/>
    </row>
    <row r="2140" spans="9:10" x14ac:dyDescent="0.25">
      <c r="I2140" s="17"/>
      <c r="J2140" s="18"/>
    </row>
    <row r="2141" spans="9:10" x14ac:dyDescent="0.25">
      <c r="I2141" s="17"/>
      <c r="J2141" s="18"/>
    </row>
    <row r="2142" spans="9:10" x14ac:dyDescent="0.25">
      <c r="I2142" s="17"/>
      <c r="J2142" s="18"/>
    </row>
    <row r="2143" spans="9:10" x14ac:dyDescent="0.25">
      <c r="I2143" s="17"/>
      <c r="J2143" s="18"/>
    </row>
    <row r="2144" spans="9:10" x14ac:dyDescent="0.25">
      <c r="I2144" s="17"/>
      <c r="J2144" s="18"/>
    </row>
    <row r="2145" spans="9:10" x14ac:dyDescent="0.25">
      <c r="I2145" s="17"/>
      <c r="J2145" s="18"/>
    </row>
    <row r="2146" spans="9:10" x14ac:dyDescent="0.25">
      <c r="I2146" s="17"/>
      <c r="J2146" s="18"/>
    </row>
    <row r="2147" spans="9:10" x14ac:dyDescent="0.25">
      <c r="I2147" s="17"/>
      <c r="J2147" s="18"/>
    </row>
    <row r="2148" spans="9:10" x14ac:dyDescent="0.25">
      <c r="I2148" s="17"/>
      <c r="J2148" s="18"/>
    </row>
    <row r="2149" spans="9:10" x14ac:dyDescent="0.25">
      <c r="I2149" s="17"/>
      <c r="J2149" s="18"/>
    </row>
    <row r="2150" spans="9:10" x14ac:dyDescent="0.25">
      <c r="I2150" s="17"/>
      <c r="J2150" s="18"/>
    </row>
    <row r="2151" spans="9:10" x14ac:dyDescent="0.25">
      <c r="I2151" s="17"/>
      <c r="J2151" s="18"/>
    </row>
    <row r="2152" spans="9:10" x14ac:dyDescent="0.25">
      <c r="I2152" s="17"/>
      <c r="J2152" s="18"/>
    </row>
    <row r="2153" spans="9:10" x14ac:dyDescent="0.25">
      <c r="I2153" s="17"/>
      <c r="J2153" s="18"/>
    </row>
    <row r="2154" spans="9:10" x14ac:dyDescent="0.25">
      <c r="I2154" s="17"/>
      <c r="J2154" s="18"/>
    </row>
    <row r="2155" spans="9:10" x14ac:dyDescent="0.25">
      <c r="I2155" s="17"/>
      <c r="J2155" s="18"/>
    </row>
    <row r="2156" spans="9:10" x14ac:dyDescent="0.25">
      <c r="I2156" s="17"/>
      <c r="J2156" s="18"/>
    </row>
    <row r="2157" spans="9:10" x14ac:dyDescent="0.25">
      <c r="I2157" s="17"/>
      <c r="J2157" s="18"/>
    </row>
    <row r="2158" spans="9:10" x14ac:dyDescent="0.25">
      <c r="I2158" s="17"/>
      <c r="J2158" s="18"/>
    </row>
    <row r="2159" spans="9:10" x14ac:dyDescent="0.25">
      <c r="I2159" s="17"/>
      <c r="J2159" s="18"/>
    </row>
    <row r="2160" spans="9:10" x14ac:dyDescent="0.25">
      <c r="I2160" s="17"/>
      <c r="J2160" s="18"/>
    </row>
    <row r="2161" spans="9:10" x14ac:dyDescent="0.25">
      <c r="I2161" s="17"/>
      <c r="J2161" s="18"/>
    </row>
    <row r="2162" spans="9:10" x14ac:dyDescent="0.25">
      <c r="I2162" s="17"/>
      <c r="J2162" s="18"/>
    </row>
    <row r="2163" spans="9:10" x14ac:dyDescent="0.25">
      <c r="I2163" s="17"/>
      <c r="J2163" s="18"/>
    </row>
    <row r="2164" spans="9:10" x14ac:dyDescent="0.25">
      <c r="I2164" s="17"/>
      <c r="J2164" s="18"/>
    </row>
    <row r="2165" spans="9:10" x14ac:dyDescent="0.25">
      <c r="I2165" s="17"/>
      <c r="J2165" s="18"/>
    </row>
    <row r="2166" spans="9:10" x14ac:dyDescent="0.25">
      <c r="I2166" s="17"/>
      <c r="J2166" s="18"/>
    </row>
    <row r="2167" spans="9:10" x14ac:dyDescent="0.25">
      <c r="I2167" s="17"/>
      <c r="J2167" s="18"/>
    </row>
    <row r="2168" spans="9:10" x14ac:dyDescent="0.25">
      <c r="I2168" s="17"/>
      <c r="J2168" s="18"/>
    </row>
    <row r="2169" spans="9:10" x14ac:dyDescent="0.25">
      <c r="I2169" s="17"/>
      <c r="J2169" s="18"/>
    </row>
    <row r="2170" spans="9:10" x14ac:dyDescent="0.25">
      <c r="I2170" s="17"/>
      <c r="J2170" s="18"/>
    </row>
    <row r="2171" spans="9:10" x14ac:dyDescent="0.25">
      <c r="I2171" s="17"/>
      <c r="J2171" s="18"/>
    </row>
    <row r="2172" spans="9:10" x14ac:dyDescent="0.25">
      <c r="I2172" s="17"/>
      <c r="J2172" s="18"/>
    </row>
    <row r="2173" spans="9:10" x14ac:dyDescent="0.25">
      <c r="I2173" s="17"/>
      <c r="J2173" s="18"/>
    </row>
    <row r="2174" spans="9:10" x14ac:dyDescent="0.25">
      <c r="I2174" s="17"/>
      <c r="J2174" s="18"/>
    </row>
    <row r="2175" spans="9:10" x14ac:dyDescent="0.25">
      <c r="I2175" s="17"/>
      <c r="J2175" s="18"/>
    </row>
    <row r="2176" spans="9:10" x14ac:dyDescent="0.25">
      <c r="I2176" s="17"/>
      <c r="J2176" s="18"/>
    </row>
    <row r="2177" spans="9:10" x14ac:dyDescent="0.25">
      <c r="I2177" s="17"/>
      <c r="J2177" s="18"/>
    </row>
    <row r="2178" spans="9:10" x14ac:dyDescent="0.25">
      <c r="I2178" s="17"/>
      <c r="J2178" s="18"/>
    </row>
    <row r="2179" spans="9:10" x14ac:dyDescent="0.25">
      <c r="I2179" s="17"/>
      <c r="J2179" s="18"/>
    </row>
    <row r="2180" spans="9:10" x14ac:dyDescent="0.25">
      <c r="I2180" s="17"/>
      <c r="J2180" s="18"/>
    </row>
    <row r="2181" spans="9:10" x14ac:dyDescent="0.25">
      <c r="I2181" s="17"/>
      <c r="J2181" s="18"/>
    </row>
    <row r="2182" spans="9:10" x14ac:dyDescent="0.25">
      <c r="I2182" s="17"/>
      <c r="J2182" s="18"/>
    </row>
    <row r="2183" spans="9:10" x14ac:dyDescent="0.25">
      <c r="I2183" s="17"/>
      <c r="J2183" s="18"/>
    </row>
    <row r="2184" spans="9:10" x14ac:dyDescent="0.25">
      <c r="I2184" s="17"/>
      <c r="J2184" s="18"/>
    </row>
    <row r="2185" spans="9:10" x14ac:dyDescent="0.25">
      <c r="I2185" s="17"/>
      <c r="J2185" s="18"/>
    </row>
    <row r="2186" spans="9:10" x14ac:dyDescent="0.25">
      <c r="I2186" s="17"/>
      <c r="J2186" s="18"/>
    </row>
    <row r="2187" spans="9:10" x14ac:dyDescent="0.25">
      <c r="I2187" s="17"/>
      <c r="J2187" s="18"/>
    </row>
    <row r="2188" spans="9:10" x14ac:dyDescent="0.25">
      <c r="I2188" s="17"/>
      <c r="J2188" s="18"/>
    </row>
    <row r="2189" spans="9:10" x14ac:dyDescent="0.25">
      <c r="I2189" s="17"/>
      <c r="J2189" s="18"/>
    </row>
    <row r="2190" spans="9:10" x14ac:dyDescent="0.25">
      <c r="I2190" s="17"/>
      <c r="J2190" s="18"/>
    </row>
    <row r="2191" spans="9:10" x14ac:dyDescent="0.25">
      <c r="I2191" s="17"/>
      <c r="J2191" s="18"/>
    </row>
    <row r="2192" spans="9:10" x14ac:dyDescent="0.25">
      <c r="I2192" s="17"/>
      <c r="J2192" s="18"/>
    </row>
    <row r="2193" spans="9:10" x14ac:dyDescent="0.25">
      <c r="I2193" s="17"/>
      <c r="J2193" s="18"/>
    </row>
    <row r="2194" spans="9:10" x14ac:dyDescent="0.25">
      <c r="I2194" s="17"/>
      <c r="J2194" s="18"/>
    </row>
    <row r="2195" spans="9:10" x14ac:dyDescent="0.25">
      <c r="I2195" s="17"/>
      <c r="J2195" s="18"/>
    </row>
    <row r="2196" spans="9:10" x14ac:dyDescent="0.25">
      <c r="I2196" s="17"/>
      <c r="J2196" s="18"/>
    </row>
    <row r="2197" spans="9:10" x14ac:dyDescent="0.25">
      <c r="I2197" s="17"/>
      <c r="J2197" s="18"/>
    </row>
    <row r="2198" spans="9:10" x14ac:dyDescent="0.25">
      <c r="I2198" s="17"/>
      <c r="J2198" s="18"/>
    </row>
    <row r="2199" spans="9:10" x14ac:dyDescent="0.25">
      <c r="I2199" s="17"/>
      <c r="J2199" s="18"/>
    </row>
    <row r="2200" spans="9:10" x14ac:dyDescent="0.25">
      <c r="I2200" s="17"/>
      <c r="J2200" s="18"/>
    </row>
    <row r="2201" spans="9:10" x14ac:dyDescent="0.25">
      <c r="I2201" s="17"/>
      <c r="J2201" s="18"/>
    </row>
    <row r="2202" spans="9:10" x14ac:dyDescent="0.25">
      <c r="I2202" s="17"/>
      <c r="J2202" s="18"/>
    </row>
    <row r="2203" spans="9:10" x14ac:dyDescent="0.25">
      <c r="I2203" s="17"/>
      <c r="J2203" s="18"/>
    </row>
    <row r="2204" spans="9:10" x14ac:dyDescent="0.25">
      <c r="I2204" s="17"/>
      <c r="J2204" s="18"/>
    </row>
    <row r="2205" spans="9:10" x14ac:dyDescent="0.25">
      <c r="I2205" s="17"/>
      <c r="J2205" s="18"/>
    </row>
    <row r="2206" spans="9:10" x14ac:dyDescent="0.25">
      <c r="I2206" s="17"/>
      <c r="J2206" s="18"/>
    </row>
    <row r="2207" spans="9:10" x14ac:dyDescent="0.25">
      <c r="I2207" s="17"/>
      <c r="J2207" s="18"/>
    </row>
    <row r="2208" spans="9:10" x14ac:dyDescent="0.25">
      <c r="I2208" s="17"/>
      <c r="J2208" s="18"/>
    </row>
    <row r="2209" spans="9:10" x14ac:dyDescent="0.25">
      <c r="I2209" s="17"/>
      <c r="J2209" s="18"/>
    </row>
    <row r="2210" spans="9:10" x14ac:dyDescent="0.25">
      <c r="I2210" s="17"/>
      <c r="J2210" s="18"/>
    </row>
    <row r="2211" spans="9:10" x14ac:dyDescent="0.25">
      <c r="I2211" s="17"/>
      <c r="J2211" s="18"/>
    </row>
    <row r="2212" spans="9:10" x14ac:dyDescent="0.25">
      <c r="I2212" s="17"/>
      <c r="J2212" s="18"/>
    </row>
    <row r="2213" spans="9:10" x14ac:dyDescent="0.25">
      <c r="I2213" s="17"/>
      <c r="J2213" s="18"/>
    </row>
    <row r="2214" spans="9:10" x14ac:dyDescent="0.25">
      <c r="I2214" s="17"/>
      <c r="J2214" s="18"/>
    </row>
    <row r="2215" spans="9:10" x14ac:dyDescent="0.25">
      <c r="I2215" s="17"/>
      <c r="J2215" s="18"/>
    </row>
    <row r="2216" spans="9:10" x14ac:dyDescent="0.25">
      <c r="I2216" s="17"/>
      <c r="J2216" s="18"/>
    </row>
    <row r="2217" spans="9:10" x14ac:dyDescent="0.25">
      <c r="I2217" s="17"/>
      <c r="J2217" s="18"/>
    </row>
    <row r="2218" spans="9:10" x14ac:dyDescent="0.25">
      <c r="I2218" s="17"/>
      <c r="J2218" s="18"/>
    </row>
    <row r="2219" spans="9:10" x14ac:dyDescent="0.25">
      <c r="I2219" s="17"/>
      <c r="J2219" s="18"/>
    </row>
    <row r="2220" spans="9:10" x14ac:dyDescent="0.25">
      <c r="I2220" s="17"/>
      <c r="J2220" s="18"/>
    </row>
    <row r="2221" spans="9:10" x14ac:dyDescent="0.25">
      <c r="I2221" s="17"/>
      <c r="J2221" s="18"/>
    </row>
    <row r="2222" spans="9:10" x14ac:dyDescent="0.25">
      <c r="I2222" s="17"/>
      <c r="J2222" s="18"/>
    </row>
    <row r="2223" spans="9:10" x14ac:dyDescent="0.25">
      <c r="I2223" s="17"/>
      <c r="J2223" s="18"/>
    </row>
    <row r="2224" spans="9:10" x14ac:dyDescent="0.25">
      <c r="I2224" s="17"/>
      <c r="J2224" s="18"/>
    </row>
    <row r="2225" spans="9:10" x14ac:dyDescent="0.25">
      <c r="I2225" s="17"/>
      <c r="J2225" s="18"/>
    </row>
    <row r="2226" spans="9:10" x14ac:dyDescent="0.25">
      <c r="I2226" s="17"/>
      <c r="J2226" s="18"/>
    </row>
    <row r="2227" spans="9:10" x14ac:dyDescent="0.25">
      <c r="I2227" s="17"/>
      <c r="J2227" s="18"/>
    </row>
    <row r="2228" spans="9:10" x14ac:dyDescent="0.25">
      <c r="I2228" s="17"/>
      <c r="J2228" s="18"/>
    </row>
    <row r="2229" spans="9:10" x14ac:dyDescent="0.25">
      <c r="I2229" s="17"/>
      <c r="J2229" s="18"/>
    </row>
    <row r="2230" spans="9:10" x14ac:dyDescent="0.25">
      <c r="I2230" s="17"/>
      <c r="J2230" s="18"/>
    </row>
    <row r="2231" spans="9:10" x14ac:dyDescent="0.25">
      <c r="I2231" s="17"/>
      <c r="J2231" s="18"/>
    </row>
    <row r="2232" spans="9:10" x14ac:dyDescent="0.25">
      <c r="I2232" s="17"/>
      <c r="J2232" s="18"/>
    </row>
    <row r="2233" spans="9:10" x14ac:dyDescent="0.25">
      <c r="I2233" s="17"/>
      <c r="J2233" s="18"/>
    </row>
    <row r="2234" spans="9:10" x14ac:dyDescent="0.25">
      <c r="I2234" s="17"/>
      <c r="J2234" s="18"/>
    </row>
    <row r="2235" spans="9:10" x14ac:dyDescent="0.25">
      <c r="I2235" s="17"/>
      <c r="J2235" s="18"/>
    </row>
    <row r="2236" spans="9:10" x14ac:dyDescent="0.25">
      <c r="I2236" s="17"/>
      <c r="J2236" s="18"/>
    </row>
    <row r="2237" spans="9:10" x14ac:dyDescent="0.25">
      <c r="I2237" s="17"/>
      <c r="J2237" s="18"/>
    </row>
    <row r="2238" spans="9:10" x14ac:dyDescent="0.25">
      <c r="I2238" s="17"/>
      <c r="J2238" s="18"/>
    </row>
    <row r="2239" spans="9:10" x14ac:dyDescent="0.25">
      <c r="I2239" s="17"/>
      <c r="J2239" s="18"/>
    </row>
    <row r="2240" spans="9:10" x14ac:dyDescent="0.25">
      <c r="I2240" s="17"/>
      <c r="J2240" s="18"/>
    </row>
    <row r="2241" spans="9:10" x14ac:dyDescent="0.25">
      <c r="I2241" s="17"/>
      <c r="J2241" s="18"/>
    </row>
    <row r="2242" spans="9:10" x14ac:dyDescent="0.25">
      <c r="I2242" s="17"/>
      <c r="J2242" s="18"/>
    </row>
    <row r="2243" spans="9:10" x14ac:dyDescent="0.25">
      <c r="I2243" s="17"/>
      <c r="J2243" s="18"/>
    </row>
    <row r="2244" spans="9:10" x14ac:dyDescent="0.25">
      <c r="I2244" s="17"/>
      <c r="J2244" s="18"/>
    </row>
    <row r="2245" spans="9:10" x14ac:dyDescent="0.25">
      <c r="I2245" s="17"/>
      <c r="J2245" s="18"/>
    </row>
    <row r="2246" spans="9:10" x14ac:dyDescent="0.25">
      <c r="I2246" s="17"/>
      <c r="J2246" s="18"/>
    </row>
    <row r="2247" spans="9:10" x14ac:dyDescent="0.25">
      <c r="I2247" s="17"/>
      <c r="J2247" s="18"/>
    </row>
    <row r="2248" spans="9:10" x14ac:dyDescent="0.25">
      <c r="I2248" s="17"/>
      <c r="J2248" s="18"/>
    </row>
    <row r="2249" spans="9:10" x14ac:dyDescent="0.25">
      <c r="I2249" s="17"/>
      <c r="J2249" s="18"/>
    </row>
    <row r="2250" spans="9:10" x14ac:dyDescent="0.25">
      <c r="I2250" s="17"/>
      <c r="J2250" s="18"/>
    </row>
    <row r="2251" spans="9:10" x14ac:dyDescent="0.25">
      <c r="I2251" s="17"/>
      <c r="J2251" s="18"/>
    </row>
    <row r="2252" spans="9:10" x14ac:dyDescent="0.25">
      <c r="I2252" s="17"/>
      <c r="J2252" s="18"/>
    </row>
    <row r="2253" spans="9:10" x14ac:dyDescent="0.25">
      <c r="I2253" s="17"/>
      <c r="J2253" s="18"/>
    </row>
    <row r="2254" spans="9:10" x14ac:dyDescent="0.25">
      <c r="I2254" s="17"/>
      <c r="J2254" s="18"/>
    </row>
    <row r="2255" spans="9:10" x14ac:dyDescent="0.25">
      <c r="I2255" s="17"/>
      <c r="J2255" s="18"/>
    </row>
    <row r="2256" spans="9:10" x14ac:dyDescent="0.25">
      <c r="I2256" s="17"/>
      <c r="J2256" s="18"/>
    </row>
    <row r="2257" spans="9:10" x14ac:dyDescent="0.25">
      <c r="I2257" s="17"/>
      <c r="J2257" s="18"/>
    </row>
    <row r="2258" spans="9:10" x14ac:dyDescent="0.25">
      <c r="I2258" s="17"/>
      <c r="J2258" s="18"/>
    </row>
    <row r="2259" spans="9:10" x14ac:dyDescent="0.25">
      <c r="I2259" s="17"/>
      <c r="J2259" s="18"/>
    </row>
    <row r="2260" spans="9:10" x14ac:dyDescent="0.25">
      <c r="I2260" s="17"/>
      <c r="J2260" s="18"/>
    </row>
    <row r="2261" spans="9:10" x14ac:dyDescent="0.25">
      <c r="I2261" s="17"/>
      <c r="J2261" s="18"/>
    </row>
    <row r="2262" spans="9:10" x14ac:dyDescent="0.25">
      <c r="I2262" s="17"/>
      <c r="J2262" s="18"/>
    </row>
    <row r="2263" spans="9:10" x14ac:dyDescent="0.25">
      <c r="I2263" s="17"/>
      <c r="J2263" s="18"/>
    </row>
    <row r="2264" spans="9:10" x14ac:dyDescent="0.25">
      <c r="I2264" s="17"/>
      <c r="J2264" s="18"/>
    </row>
    <row r="2265" spans="9:10" x14ac:dyDescent="0.25">
      <c r="I2265" s="17"/>
      <c r="J2265" s="18"/>
    </row>
    <row r="2266" spans="9:10" x14ac:dyDescent="0.25">
      <c r="I2266" s="17"/>
      <c r="J2266" s="18"/>
    </row>
    <row r="2267" spans="9:10" x14ac:dyDescent="0.25">
      <c r="I2267" s="17"/>
      <c r="J2267" s="18"/>
    </row>
    <row r="2268" spans="9:10" x14ac:dyDescent="0.25">
      <c r="I2268" s="17"/>
      <c r="J2268" s="18"/>
    </row>
    <row r="2269" spans="9:10" x14ac:dyDescent="0.25">
      <c r="I2269" s="17"/>
      <c r="J2269" s="18"/>
    </row>
    <row r="2270" spans="9:10" x14ac:dyDescent="0.25">
      <c r="I2270" s="17"/>
      <c r="J2270" s="18"/>
    </row>
    <row r="2271" spans="9:10" x14ac:dyDescent="0.25">
      <c r="I2271" s="17"/>
      <c r="J2271" s="18"/>
    </row>
    <row r="2272" spans="9:10" x14ac:dyDescent="0.25">
      <c r="I2272" s="17"/>
      <c r="J2272" s="18"/>
    </row>
    <row r="2273" spans="9:10" x14ac:dyDescent="0.25">
      <c r="I2273" s="17"/>
      <c r="J2273" s="18"/>
    </row>
    <row r="2274" spans="9:10" x14ac:dyDescent="0.25">
      <c r="I2274" s="17"/>
      <c r="J2274" s="18"/>
    </row>
    <row r="2275" spans="9:10" x14ac:dyDescent="0.25">
      <c r="I2275" s="17"/>
      <c r="J2275" s="18"/>
    </row>
    <row r="2276" spans="9:10" x14ac:dyDescent="0.25">
      <c r="I2276" s="17"/>
      <c r="J2276" s="18"/>
    </row>
    <row r="2277" spans="9:10" x14ac:dyDescent="0.25">
      <c r="I2277" s="17"/>
      <c r="J2277" s="18"/>
    </row>
    <row r="2278" spans="9:10" x14ac:dyDescent="0.25">
      <c r="I2278" s="17"/>
      <c r="J2278" s="18"/>
    </row>
    <row r="2279" spans="9:10" x14ac:dyDescent="0.25">
      <c r="I2279" s="17"/>
      <c r="J2279" s="18"/>
    </row>
    <row r="2280" spans="9:10" x14ac:dyDescent="0.25">
      <c r="I2280" s="17"/>
      <c r="J2280" s="18"/>
    </row>
    <row r="2281" spans="9:10" x14ac:dyDescent="0.25">
      <c r="I2281" s="17"/>
      <c r="J2281" s="18"/>
    </row>
    <row r="2282" spans="9:10" x14ac:dyDescent="0.25">
      <c r="I2282" s="17"/>
      <c r="J2282" s="18"/>
    </row>
    <row r="2283" spans="9:10" x14ac:dyDescent="0.25">
      <c r="I2283" s="17"/>
      <c r="J2283" s="18"/>
    </row>
    <row r="2284" spans="9:10" x14ac:dyDescent="0.25">
      <c r="I2284" s="17"/>
      <c r="J2284" s="18"/>
    </row>
    <row r="2285" spans="9:10" x14ac:dyDescent="0.25">
      <c r="I2285" s="17"/>
      <c r="J2285" s="18"/>
    </row>
    <row r="2286" spans="9:10" x14ac:dyDescent="0.25">
      <c r="I2286" s="17"/>
      <c r="J2286" s="18"/>
    </row>
    <row r="2287" spans="9:10" x14ac:dyDescent="0.25">
      <c r="I2287" s="17"/>
      <c r="J2287" s="18"/>
    </row>
    <row r="2288" spans="9:10" x14ac:dyDescent="0.25">
      <c r="I2288" s="17"/>
      <c r="J2288" s="18"/>
    </row>
    <row r="2289" spans="9:10" x14ac:dyDescent="0.25">
      <c r="I2289" s="17"/>
      <c r="J2289" s="18"/>
    </row>
    <row r="2290" spans="9:10" x14ac:dyDescent="0.25">
      <c r="I2290" s="17"/>
      <c r="J2290" s="18"/>
    </row>
    <row r="2291" spans="9:10" x14ac:dyDescent="0.25">
      <c r="I2291" s="17"/>
      <c r="J2291" s="18"/>
    </row>
    <row r="2292" spans="9:10" x14ac:dyDescent="0.25">
      <c r="I2292" s="17"/>
      <c r="J2292" s="18"/>
    </row>
    <row r="2293" spans="9:10" x14ac:dyDescent="0.25">
      <c r="I2293" s="17"/>
      <c r="J2293" s="18"/>
    </row>
    <row r="2294" spans="9:10" x14ac:dyDescent="0.25">
      <c r="I2294" s="17"/>
      <c r="J2294" s="18"/>
    </row>
    <row r="2295" spans="9:10" x14ac:dyDescent="0.25">
      <c r="I2295" s="17"/>
      <c r="J2295" s="18"/>
    </row>
    <row r="2296" spans="9:10" x14ac:dyDescent="0.25">
      <c r="I2296" s="17"/>
      <c r="J2296" s="18"/>
    </row>
    <row r="2297" spans="9:10" x14ac:dyDescent="0.25">
      <c r="I2297" s="17"/>
      <c r="J2297" s="18"/>
    </row>
    <row r="2298" spans="9:10" x14ac:dyDescent="0.25">
      <c r="I2298" s="17"/>
      <c r="J2298" s="18"/>
    </row>
    <row r="2299" spans="9:10" x14ac:dyDescent="0.25">
      <c r="I2299" s="17"/>
      <c r="J2299" s="18"/>
    </row>
    <row r="2300" spans="9:10" x14ac:dyDescent="0.25">
      <c r="I2300" s="17"/>
      <c r="J2300" s="18"/>
    </row>
    <row r="2301" spans="9:10" x14ac:dyDescent="0.25">
      <c r="I2301" s="17"/>
      <c r="J2301" s="18"/>
    </row>
    <row r="2302" spans="9:10" x14ac:dyDescent="0.25">
      <c r="I2302" s="17"/>
      <c r="J2302" s="18"/>
    </row>
    <row r="2303" spans="9:10" x14ac:dyDescent="0.25">
      <c r="I2303" s="17"/>
      <c r="J2303" s="18"/>
    </row>
    <row r="2304" spans="9:10" x14ac:dyDescent="0.25">
      <c r="I2304" s="17"/>
      <c r="J2304" s="18"/>
    </row>
    <row r="2305" spans="9:10" x14ac:dyDescent="0.25">
      <c r="I2305" s="17"/>
      <c r="J2305" s="18"/>
    </row>
    <row r="2306" spans="9:10" x14ac:dyDescent="0.25">
      <c r="I2306" s="17"/>
      <c r="J2306" s="18"/>
    </row>
    <row r="2307" spans="9:10" x14ac:dyDescent="0.25">
      <c r="I2307" s="17"/>
      <c r="J2307" s="18"/>
    </row>
    <row r="2308" spans="9:10" x14ac:dyDescent="0.25">
      <c r="I2308" s="17"/>
      <c r="J2308" s="18"/>
    </row>
    <row r="2309" spans="9:10" x14ac:dyDescent="0.25">
      <c r="I2309" s="17"/>
      <c r="J2309" s="18"/>
    </row>
    <row r="2310" spans="9:10" x14ac:dyDescent="0.25">
      <c r="I2310" s="17"/>
      <c r="J2310" s="18"/>
    </row>
    <row r="2311" spans="9:10" x14ac:dyDescent="0.25">
      <c r="I2311" s="17"/>
      <c r="J2311" s="18"/>
    </row>
    <row r="2312" spans="9:10" x14ac:dyDescent="0.25">
      <c r="I2312" s="17"/>
      <c r="J2312" s="18"/>
    </row>
    <row r="2313" spans="9:10" x14ac:dyDescent="0.25">
      <c r="I2313" s="17"/>
      <c r="J2313" s="18"/>
    </row>
    <row r="2314" spans="9:10" x14ac:dyDescent="0.25">
      <c r="I2314" s="17"/>
      <c r="J2314" s="18"/>
    </row>
    <row r="2315" spans="9:10" x14ac:dyDescent="0.25">
      <c r="I2315" s="17"/>
      <c r="J2315" s="18"/>
    </row>
    <row r="2316" spans="9:10" x14ac:dyDescent="0.25">
      <c r="I2316" s="17"/>
      <c r="J2316" s="18"/>
    </row>
    <row r="2317" spans="9:10" x14ac:dyDescent="0.25">
      <c r="I2317" s="17"/>
      <c r="J2317" s="18"/>
    </row>
    <row r="2318" spans="9:10" x14ac:dyDescent="0.25">
      <c r="I2318" s="17"/>
      <c r="J2318" s="18"/>
    </row>
    <row r="2319" spans="9:10" x14ac:dyDescent="0.25">
      <c r="I2319" s="17"/>
      <c r="J2319" s="18"/>
    </row>
    <row r="2320" spans="9:10" x14ac:dyDescent="0.25">
      <c r="I2320" s="17"/>
      <c r="J2320" s="18"/>
    </row>
    <row r="2321" spans="9:10" x14ac:dyDescent="0.25">
      <c r="I2321" s="17"/>
      <c r="J2321" s="18"/>
    </row>
    <row r="2322" spans="9:10" x14ac:dyDescent="0.25">
      <c r="I2322" s="17"/>
      <c r="J2322" s="18"/>
    </row>
    <row r="2323" spans="9:10" x14ac:dyDescent="0.25">
      <c r="I2323" s="17"/>
      <c r="J2323" s="18"/>
    </row>
    <row r="2324" spans="9:10" x14ac:dyDescent="0.25">
      <c r="I2324" s="17"/>
      <c r="J2324" s="18"/>
    </row>
    <row r="2325" spans="9:10" x14ac:dyDescent="0.25">
      <c r="I2325" s="17"/>
      <c r="J2325" s="18"/>
    </row>
    <row r="2326" spans="9:10" x14ac:dyDescent="0.25">
      <c r="I2326" s="17"/>
      <c r="J2326" s="18"/>
    </row>
    <row r="2327" spans="9:10" x14ac:dyDescent="0.25">
      <c r="I2327" s="17"/>
      <c r="J2327" s="18"/>
    </row>
    <row r="2328" spans="9:10" x14ac:dyDescent="0.25">
      <c r="I2328" s="17"/>
      <c r="J2328" s="18"/>
    </row>
    <row r="2329" spans="9:10" x14ac:dyDescent="0.25">
      <c r="I2329" s="17"/>
      <c r="J2329" s="18"/>
    </row>
    <row r="2330" spans="9:10" x14ac:dyDescent="0.25">
      <c r="I2330" s="17"/>
      <c r="J2330" s="18"/>
    </row>
    <row r="2331" spans="9:10" x14ac:dyDescent="0.25">
      <c r="I2331" s="17"/>
      <c r="J2331" s="18"/>
    </row>
    <row r="2332" spans="9:10" x14ac:dyDescent="0.25">
      <c r="I2332" s="17"/>
      <c r="J2332" s="18"/>
    </row>
    <row r="2333" spans="9:10" x14ac:dyDescent="0.25">
      <c r="I2333" s="17"/>
      <c r="J2333" s="18"/>
    </row>
    <row r="2334" spans="9:10" x14ac:dyDescent="0.25">
      <c r="I2334" s="17"/>
      <c r="J2334" s="18"/>
    </row>
    <row r="2335" spans="9:10" x14ac:dyDescent="0.25">
      <c r="I2335" s="17"/>
      <c r="J2335" s="18"/>
    </row>
    <row r="2336" spans="9:10" x14ac:dyDescent="0.25">
      <c r="I2336" s="17"/>
      <c r="J2336" s="18"/>
    </row>
    <row r="2337" spans="9:10" x14ac:dyDescent="0.25">
      <c r="I2337" s="17"/>
      <c r="J2337" s="18"/>
    </row>
    <row r="2338" spans="9:10" x14ac:dyDescent="0.25">
      <c r="I2338" s="17"/>
      <c r="J2338" s="18"/>
    </row>
    <row r="2339" spans="9:10" x14ac:dyDescent="0.25">
      <c r="I2339" s="17"/>
      <c r="J2339" s="18"/>
    </row>
    <row r="2340" spans="9:10" x14ac:dyDescent="0.25">
      <c r="I2340" s="17"/>
      <c r="J2340" s="18"/>
    </row>
    <row r="2341" spans="9:10" x14ac:dyDescent="0.25">
      <c r="I2341" s="17"/>
      <c r="J2341" s="18"/>
    </row>
    <row r="2342" spans="9:10" x14ac:dyDescent="0.25">
      <c r="I2342" s="17"/>
      <c r="J2342" s="18"/>
    </row>
    <row r="2343" spans="9:10" x14ac:dyDescent="0.25">
      <c r="I2343" s="17"/>
      <c r="J2343" s="18"/>
    </row>
    <row r="2344" spans="9:10" x14ac:dyDescent="0.25">
      <c r="I2344" s="17"/>
      <c r="J2344" s="18"/>
    </row>
    <row r="2345" spans="9:10" x14ac:dyDescent="0.25">
      <c r="I2345" s="17"/>
      <c r="J2345" s="18"/>
    </row>
    <row r="2346" spans="9:10" x14ac:dyDescent="0.25">
      <c r="I2346" s="17"/>
      <c r="J2346" s="18"/>
    </row>
    <row r="2347" spans="9:10" x14ac:dyDescent="0.25">
      <c r="I2347" s="17"/>
      <c r="J2347" s="18"/>
    </row>
    <row r="2348" spans="9:10" x14ac:dyDescent="0.25">
      <c r="I2348" s="17"/>
      <c r="J2348" s="18"/>
    </row>
    <row r="2349" spans="9:10" x14ac:dyDescent="0.25">
      <c r="I2349" s="17"/>
      <c r="J2349" s="18"/>
    </row>
    <row r="2350" spans="9:10" x14ac:dyDescent="0.25">
      <c r="I2350" s="17"/>
      <c r="J2350" s="18"/>
    </row>
    <row r="2351" spans="9:10" x14ac:dyDescent="0.25">
      <c r="I2351" s="17"/>
      <c r="J2351" s="18"/>
    </row>
    <row r="2352" spans="9:10" x14ac:dyDescent="0.25">
      <c r="I2352" s="17"/>
      <c r="J2352" s="18"/>
    </row>
    <row r="2353" spans="9:10" x14ac:dyDescent="0.25">
      <c r="I2353" s="17"/>
      <c r="J2353" s="18"/>
    </row>
    <row r="2354" spans="9:10" x14ac:dyDescent="0.25">
      <c r="I2354" s="17"/>
      <c r="J2354" s="18"/>
    </row>
    <row r="2355" spans="9:10" x14ac:dyDescent="0.25">
      <c r="I2355" s="17"/>
      <c r="J2355" s="18"/>
    </row>
    <row r="2356" spans="9:10" x14ac:dyDescent="0.25">
      <c r="I2356" s="17"/>
      <c r="J2356" s="18"/>
    </row>
    <row r="2357" spans="9:10" x14ac:dyDescent="0.25">
      <c r="I2357" s="17"/>
      <c r="J2357" s="18"/>
    </row>
    <row r="2358" spans="9:10" x14ac:dyDescent="0.25">
      <c r="I2358" s="17"/>
      <c r="J2358" s="18"/>
    </row>
    <row r="2359" spans="9:10" x14ac:dyDescent="0.25">
      <c r="I2359" s="17"/>
      <c r="J2359" s="18"/>
    </row>
    <row r="2360" spans="9:10" x14ac:dyDescent="0.25">
      <c r="I2360" s="17"/>
      <c r="J2360" s="18"/>
    </row>
    <row r="2361" spans="9:10" x14ac:dyDescent="0.25">
      <c r="I2361" s="17"/>
      <c r="J2361" s="18"/>
    </row>
    <row r="2362" spans="9:10" x14ac:dyDescent="0.25">
      <c r="I2362" s="17"/>
      <c r="J2362" s="18"/>
    </row>
    <row r="2363" spans="9:10" x14ac:dyDescent="0.25">
      <c r="I2363" s="17"/>
      <c r="J2363" s="18"/>
    </row>
    <row r="2364" spans="9:10" x14ac:dyDescent="0.25">
      <c r="I2364" s="17"/>
      <c r="J2364" s="18"/>
    </row>
    <row r="2365" spans="9:10" x14ac:dyDescent="0.25">
      <c r="I2365" s="17"/>
      <c r="J2365" s="18"/>
    </row>
    <row r="2366" spans="9:10" x14ac:dyDescent="0.25">
      <c r="I2366" s="17"/>
      <c r="J2366" s="18"/>
    </row>
    <row r="2367" spans="9:10" x14ac:dyDescent="0.25">
      <c r="I2367" s="17"/>
      <c r="J2367" s="18"/>
    </row>
    <row r="2368" spans="9:10" x14ac:dyDescent="0.25">
      <c r="I2368" s="17"/>
      <c r="J2368" s="18"/>
    </row>
    <row r="2369" spans="9:10" x14ac:dyDescent="0.25">
      <c r="I2369" s="17"/>
      <c r="J2369" s="18"/>
    </row>
    <row r="2370" spans="9:10" x14ac:dyDescent="0.25">
      <c r="I2370" s="17"/>
      <c r="J2370" s="18"/>
    </row>
    <row r="2371" spans="9:10" x14ac:dyDescent="0.25">
      <c r="I2371" s="17"/>
      <c r="J2371" s="18"/>
    </row>
    <row r="2372" spans="9:10" x14ac:dyDescent="0.25">
      <c r="I2372" s="17"/>
      <c r="J2372" s="18"/>
    </row>
    <row r="2373" spans="9:10" x14ac:dyDescent="0.25">
      <c r="I2373" s="17"/>
      <c r="J2373" s="18"/>
    </row>
    <row r="2374" spans="9:10" x14ac:dyDescent="0.25">
      <c r="I2374" s="17"/>
      <c r="J2374" s="18"/>
    </row>
    <row r="2375" spans="9:10" x14ac:dyDescent="0.25">
      <c r="I2375" s="17"/>
      <c r="J2375" s="18"/>
    </row>
    <row r="2376" spans="9:10" x14ac:dyDescent="0.25">
      <c r="I2376" s="17"/>
      <c r="J2376" s="18"/>
    </row>
    <row r="2377" spans="9:10" x14ac:dyDescent="0.25">
      <c r="I2377" s="17"/>
      <c r="J2377" s="18"/>
    </row>
    <row r="2378" spans="9:10" x14ac:dyDescent="0.25">
      <c r="I2378" s="17"/>
      <c r="J2378" s="18"/>
    </row>
    <row r="2379" spans="9:10" x14ac:dyDescent="0.25">
      <c r="I2379" s="17"/>
      <c r="J2379" s="18"/>
    </row>
    <row r="2380" spans="9:10" x14ac:dyDescent="0.25">
      <c r="I2380" s="17"/>
      <c r="J2380" s="18"/>
    </row>
    <row r="2381" spans="9:10" x14ac:dyDescent="0.25">
      <c r="I2381" s="17"/>
      <c r="J2381" s="18"/>
    </row>
    <row r="2382" spans="9:10" x14ac:dyDescent="0.25">
      <c r="I2382" s="17"/>
      <c r="J2382" s="18"/>
    </row>
    <row r="2383" spans="9:10" x14ac:dyDescent="0.25">
      <c r="I2383" s="17"/>
      <c r="J2383" s="18"/>
    </row>
    <row r="2384" spans="9:10" x14ac:dyDescent="0.25">
      <c r="I2384" s="17"/>
      <c r="J2384" s="18"/>
    </row>
    <row r="2385" spans="9:10" x14ac:dyDescent="0.25">
      <c r="I2385" s="17"/>
      <c r="J2385" s="18"/>
    </row>
    <row r="2386" spans="9:10" x14ac:dyDescent="0.25">
      <c r="I2386" s="17"/>
      <c r="J2386" s="18"/>
    </row>
    <row r="2387" spans="9:10" x14ac:dyDescent="0.25">
      <c r="I2387" s="17"/>
      <c r="J2387" s="18"/>
    </row>
    <row r="2388" spans="9:10" x14ac:dyDescent="0.25">
      <c r="I2388" s="17"/>
      <c r="J2388" s="18"/>
    </row>
    <row r="2389" spans="9:10" x14ac:dyDescent="0.25">
      <c r="I2389" s="17"/>
      <c r="J2389" s="18"/>
    </row>
    <row r="2390" spans="9:10" x14ac:dyDescent="0.25">
      <c r="I2390" s="17"/>
      <c r="J2390" s="18"/>
    </row>
    <row r="2391" spans="9:10" x14ac:dyDescent="0.25">
      <c r="I2391" s="17"/>
      <c r="J2391" s="18"/>
    </row>
    <row r="2392" spans="9:10" x14ac:dyDescent="0.25">
      <c r="I2392" s="17"/>
      <c r="J2392" s="18"/>
    </row>
    <row r="2393" spans="9:10" x14ac:dyDescent="0.25">
      <c r="I2393" s="17"/>
      <c r="J2393" s="18"/>
    </row>
    <row r="2394" spans="9:10" x14ac:dyDescent="0.25">
      <c r="I2394" s="17"/>
      <c r="J2394" s="18"/>
    </row>
    <row r="2395" spans="9:10" x14ac:dyDescent="0.25">
      <c r="I2395" s="17"/>
      <c r="J2395" s="18"/>
    </row>
    <row r="2396" spans="9:10" x14ac:dyDescent="0.25">
      <c r="I2396" s="17"/>
      <c r="J2396" s="18"/>
    </row>
    <row r="2397" spans="9:10" x14ac:dyDescent="0.25">
      <c r="I2397" s="17"/>
      <c r="J2397" s="18"/>
    </row>
    <row r="2398" spans="9:10" x14ac:dyDescent="0.25">
      <c r="I2398" s="17"/>
      <c r="J2398" s="18"/>
    </row>
    <row r="2399" spans="9:10" x14ac:dyDescent="0.25">
      <c r="I2399" s="17"/>
      <c r="J2399" s="18"/>
    </row>
    <row r="2400" spans="9:10" x14ac:dyDescent="0.25">
      <c r="I2400" s="17"/>
      <c r="J2400" s="18"/>
    </row>
    <row r="2401" spans="9:10" x14ac:dyDescent="0.25">
      <c r="I2401" s="17"/>
      <c r="J2401" s="18"/>
    </row>
    <row r="2402" spans="9:10" x14ac:dyDescent="0.25">
      <c r="I2402" s="17"/>
      <c r="J2402" s="18"/>
    </row>
    <row r="2403" spans="9:10" x14ac:dyDescent="0.25">
      <c r="I2403" s="17"/>
      <c r="J2403" s="18"/>
    </row>
    <row r="2404" spans="9:10" x14ac:dyDescent="0.25">
      <c r="I2404" s="17"/>
      <c r="J2404" s="18"/>
    </row>
    <row r="2405" spans="9:10" x14ac:dyDescent="0.25">
      <c r="I2405" s="17"/>
      <c r="J2405" s="18"/>
    </row>
    <row r="2406" spans="9:10" x14ac:dyDescent="0.25">
      <c r="I2406" s="17"/>
      <c r="J2406" s="18"/>
    </row>
    <row r="2407" spans="9:10" x14ac:dyDescent="0.25">
      <c r="I2407" s="17"/>
      <c r="J2407" s="18"/>
    </row>
    <row r="2408" spans="9:10" x14ac:dyDescent="0.25">
      <c r="I2408" s="17"/>
      <c r="J2408" s="18"/>
    </row>
    <row r="2409" spans="9:10" x14ac:dyDescent="0.25">
      <c r="I2409" s="17"/>
      <c r="J2409" s="18"/>
    </row>
    <row r="2410" spans="9:10" x14ac:dyDescent="0.25">
      <c r="I2410" s="17"/>
      <c r="J2410" s="18"/>
    </row>
    <row r="2411" spans="9:10" x14ac:dyDescent="0.25">
      <c r="I2411" s="17"/>
      <c r="J2411" s="18"/>
    </row>
    <row r="2412" spans="9:10" x14ac:dyDescent="0.25">
      <c r="I2412" s="17"/>
      <c r="J2412" s="18"/>
    </row>
    <row r="2413" spans="9:10" x14ac:dyDescent="0.25">
      <c r="I2413" s="17"/>
      <c r="J2413" s="18"/>
    </row>
    <row r="2414" spans="9:10" x14ac:dyDescent="0.25">
      <c r="I2414" s="17"/>
      <c r="J2414" s="18"/>
    </row>
    <row r="2415" spans="9:10" x14ac:dyDescent="0.25">
      <c r="I2415" s="17"/>
      <c r="J2415" s="18"/>
    </row>
    <row r="2416" spans="9:10" x14ac:dyDescent="0.25">
      <c r="I2416" s="17"/>
      <c r="J2416" s="18"/>
    </row>
    <row r="2417" spans="9:10" x14ac:dyDescent="0.25">
      <c r="I2417" s="17"/>
      <c r="J2417" s="18"/>
    </row>
    <row r="2418" spans="9:10" x14ac:dyDescent="0.25">
      <c r="I2418" s="17"/>
      <c r="J2418" s="18"/>
    </row>
    <row r="2419" spans="9:10" x14ac:dyDescent="0.25">
      <c r="I2419" s="17"/>
      <c r="J2419" s="18"/>
    </row>
    <row r="2420" spans="9:10" x14ac:dyDescent="0.25">
      <c r="I2420" s="17"/>
      <c r="J2420" s="18"/>
    </row>
    <row r="2421" spans="9:10" x14ac:dyDescent="0.25">
      <c r="I2421" s="17"/>
      <c r="J2421" s="18"/>
    </row>
    <row r="2422" spans="9:10" x14ac:dyDescent="0.25">
      <c r="I2422" s="17"/>
      <c r="J2422" s="18"/>
    </row>
    <row r="2423" spans="9:10" x14ac:dyDescent="0.25">
      <c r="I2423" s="17"/>
      <c r="J2423" s="18"/>
    </row>
    <row r="2424" spans="9:10" x14ac:dyDescent="0.25">
      <c r="I2424" s="17"/>
      <c r="J2424" s="18"/>
    </row>
    <row r="2425" spans="9:10" x14ac:dyDescent="0.25">
      <c r="I2425" s="17"/>
      <c r="J2425" s="18"/>
    </row>
    <row r="2426" spans="9:10" x14ac:dyDescent="0.25">
      <c r="I2426" s="17"/>
      <c r="J2426" s="18"/>
    </row>
    <row r="2427" spans="9:10" x14ac:dyDescent="0.25">
      <c r="I2427" s="17"/>
      <c r="J2427" s="18"/>
    </row>
    <row r="2428" spans="9:10" x14ac:dyDescent="0.25">
      <c r="I2428" s="17"/>
      <c r="J2428" s="18"/>
    </row>
    <row r="2429" spans="9:10" x14ac:dyDescent="0.25">
      <c r="I2429" s="17"/>
      <c r="J2429" s="18"/>
    </row>
    <row r="2430" spans="9:10" x14ac:dyDescent="0.25">
      <c r="I2430" s="17"/>
      <c r="J2430" s="18"/>
    </row>
    <row r="2431" spans="9:10" x14ac:dyDescent="0.25">
      <c r="I2431" s="17"/>
      <c r="J2431" s="18"/>
    </row>
    <row r="2432" spans="9:10" x14ac:dyDescent="0.25">
      <c r="I2432" s="17"/>
      <c r="J2432" s="18"/>
    </row>
    <row r="2433" spans="9:10" x14ac:dyDescent="0.25">
      <c r="I2433" s="17"/>
      <c r="J2433" s="18"/>
    </row>
    <row r="2434" spans="9:10" x14ac:dyDescent="0.25">
      <c r="I2434" s="17"/>
      <c r="J2434" s="18"/>
    </row>
    <row r="2435" spans="9:10" x14ac:dyDescent="0.25">
      <c r="I2435" s="17"/>
      <c r="J2435" s="18"/>
    </row>
    <row r="2436" spans="9:10" x14ac:dyDescent="0.25">
      <c r="I2436" s="17"/>
      <c r="J2436" s="18"/>
    </row>
    <row r="2437" spans="9:10" x14ac:dyDescent="0.25">
      <c r="I2437" s="17"/>
      <c r="J2437" s="18"/>
    </row>
    <row r="2438" spans="9:10" x14ac:dyDescent="0.25">
      <c r="I2438" s="17"/>
      <c r="J2438" s="18"/>
    </row>
    <row r="2439" spans="9:10" x14ac:dyDescent="0.25">
      <c r="I2439" s="17"/>
      <c r="J2439" s="18"/>
    </row>
    <row r="2440" spans="9:10" x14ac:dyDescent="0.25">
      <c r="I2440" s="17"/>
      <c r="J2440" s="18"/>
    </row>
    <row r="2441" spans="9:10" x14ac:dyDescent="0.25">
      <c r="I2441" s="17"/>
      <c r="J2441" s="18"/>
    </row>
    <row r="2442" spans="9:10" x14ac:dyDescent="0.25">
      <c r="I2442" s="17"/>
      <c r="J2442" s="18"/>
    </row>
    <row r="2443" spans="9:10" x14ac:dyDescent="0.25">
      <c r="I2443" s="17"/>
      <c r="J2443" s="18"/>
    </row>
    <row r="2444" spans="9:10" x14ac:dyDescent="0.25">
      <c r="I2444" s="17"/>
      <c r="J2444" s="18"/>
    </row>
    <row r="2445" spans="9:10" x14ac:dyDescent="0.25">
      <c r="I2445" s="17"/>
      <c r="J2445" s="18"/>
    </row>
    <row r="2446" spans="9:10" x14ac:dyDescent="0.25">
      <c r="I2446" s="17"/>
      <c r="J2446" s="18"/>
    </row>
    <row r="2447" spans="9:10" x14ac:dyDescent="0.25">
      <c r="I2447" s="17"/>
      <c r="J2447" s="18"/>
    </row>
    <row r="2448" spans="9:10" x14ac:dyDescent="0.25">
      <c r="I2448" s="17"/>
      <c r="J2448" s="18"/>
    </row>
    <row r="2449" spans="9:10" x14ac:dyDescent="0.25">
      <c r="I2449" s="17"/>
      <c r="J2449" s="18"/>
    </row>
    <row r="2450" spans="9:10" x14ac:dyDescent="0.25">
      <c r="I2450" s="17"/>
      <c r="J2450" s="18"/>
    </row>
    <row r="2451" spans="9:10" x14ac:dyDescent="0.25">
      <c r="I2451" s="17"/>
      <c r="J2451" s="18"/>
    </row>
    <row r="2452" spans="9:10" x14ac:dyDescent="0.25">
      <c r="I2452" s="17"/>
      <c r="J2452" s="18"/>
    </row>
    <row r="2453" spans="9:10" x14ac:dyDescent="0.25">
      <c r="I2453" s="17"/>
      <c r="J2453" s="18"/>
    </row>
    <row r="2454" spans="9:10" x14ac:dyDescent="0.25">
      <c r="I2454" s="17"/>
      <c r="J2454" s="18"/>
    </row>
    <row r="2455" spans="9:10" x14ac:dyDescent="0.25">
      <c r="I2455" s="17"/>
      <c r="J2455" s="18"/>
    </row>
    <row r="2456" spans="9:10" x14ac:dyDescent="0.25">
      <c r="I2456" s="17"/>
      <c r="J2456" s="18"/>
    </row>
    <row r="2457" spans="9:10" x14ac:dyDescent="0.25">
      <c r="I2457" s="17"/>
      <c r="J2457" s="18"/>
    </row>
    <row r="2458" spans="9:10" x14ac:dyDescent="0.25">
      <c r="I2458" s="17"/>
      <c r="J2458" s="18"/>
    </row>
    <row r="2459" spans="9:10" x14ac:dyDescent="0.25">
      <c r="I2459" s="17"/>
      <c r="J2459" s="18"/>
    </row>
    <row r="2460" spans="9:10" x14ac:dyDescent="0.25">
      <c r="I2460" s="17"/>
      <c r="J2460" s="18"/>
    </row>
    <row r="2461" spans="9:10" x14ac:dyDescent="0.25">
      <c r="I2461" s="17"/>
      <c r="J2461" s="18"/>
    </row>
    <row r="2462" spans="9:10" x14ac:dyDescent="0.25">
      <c r="I2462" s="17"/>
      <c r="J2462" s="18"/>
    </row>
    <row r="2463" spans="9:10" x14ac:dyDescent="0.25">
      <c r="I2463" s="17"/>
      <c r="J2463" s="18"/>
    </row>
    <row r="2464" spans="9:10" x14ac:dyDescent="0.25">
      <c r="I2464" s="17"/>
      <c r="J2464" s="18"/>
    </row>
    <row r="2465" spans="9:10" x14ac:dyDescent="0.25">
      <c r="I2465" s="17"/>
      <c r="J2465" s="18"/>
    </row>
    <row r="2466" spans="9:10" x14ac:dyDescent="0.25">
      <c r="I2466" s="17"/>
      <c r="J2466" s="18"/>
    </row>
    <row r="2467" spans="9:10" x14ac:dyDescent="0.25">
      <c r="I2467" s="17"/>
      <c r="J2467" s="18"/>
    </row>
    <row r="2468" spans="9:10" x14ac:dyDescent="0.25">
      <c r="I2468" s="17"/>
      <c r="J2468" s="18"/>
    </row>
    <row r="2469" spans="9:10" x14ac:dyDescent="0.25">
      <c r="I2469" s="17"/>
      <c r="J2469" s="18"/>
    </row>
    <row r="2470" spans="9:10" x14ac:dyDescent="0.25">
      <c r="I2470" s="17"/>
      <c r="J2470" s="18"/>
    </row>
    <row r="2471" spans="9:10" x14ac:dyDescent="0.25">
      <c r="I2471" s="17"/>
      <c r="J2471" s="18"/>
    </row>
    <row r="2472" spans="9:10" x14ac:dyDescent="0.25">
      <c r="I2472" s="17"/>
      <c r="J2472" s="18"/>
    </row>
    <row r="2473" spans="9:10" x14ac:dyDescent="0.25">
      <c r="I2473" s="17"/>
      <c r="J2473" s="18"/>
    </row>
    <row r="2474" spans="9:10" x14ac:dyDescent="0.25">
      <c r="I2474" s="17"/>
      <c r="J2474" s="18"/>
    </row>
    <row r="2475" spans="9:10" x14ac:dyDescent="0.25">
      <c r="I2475" s="17"/>
      <c r="J2475" s="18"/>
    </row>
    <row r="2476" spans="9:10" x14ac:dyDescent="0.25">
      <c r="I2476" s="17"/>
      <c r="J2476" s="18"/>
    </row>
    <row r="2477" spans="9:10" x14ac:dyDescent="0.25">
      <c r="I2477" s="17"/>
      <c r="J2477" s="18"/>
    </row>
    <row r="2478" spans="9:10" x14ac:dyDescent="0.25">
      <c r="I2478" s="17"/>
      <c r="J2478" s="18"/>
    </row>
    <row r="2479" spans="9:10" x14ac:dyDescent="0.25">
      <c r="I2479" s="17"/>
      <c r="J2479" s="18"/>
    </row>
    <row r="2480" spans="9:10" x14ac:dyDescent="0.25">
      <c r="I2480" s="17"/>
      <c r="J2480" s="18"/>
    </row>
    <row r="2481" spans="9:10" x14ac:dyDescent="0.25">
      <c r="I2481" s="17"/>
      <c r="J2481" s="18"/>
    </row>
    <row r="2482" spans="9:10" x14ac:dyDescent="0.25">
      <c r="I2482" s="17"/>
      <c r="J2482" s="18"/>
    </row>
    <row r="2483" spans="9:10" x14ac:dyDescent="0.25">
      <c r="I2483" s="17"/>
      <c r="J2483" s="18"/>
    </row>
    <row r="2484" spans="9:10" x14ac:dyDescent="0.25">
      <c r="I2484" s="17"/>
      <c r="J2484" s="18"/>
    </row>
    <row r="2485" spans="9:10" x14ac:dyDescent="0.25">
      <c r="I2485" s="17"/>
      <c r="J2485" s="18"/>
    </row>
    <row r="2486" spans="9:10" x14ac:dyDescent="0.25">
      <c r="I2486" s="17"/>
      <c r="J2486" s="18"/>
    </row>
    <row r="2487" spans="9:10" x14ac:dyDescent="0.25">
      <c r="I2487" s="17"/>
      <c r="J2487" s="18"/>
    </row>
    <row r="2488" spans="9:10" x14ac:dyDescent="0.25">
      <c r="I2488" s="17"/>
      <c r="J2488" s="18"/>
    </row>
    <row r="2489" spans="9:10" x14ac:dyDescent="0.25">
      <c r="I2489" s="17"/>
      <c r="J2489" s="18"/>
    </row>
    <row r="2490" spans="9:10" x14ac:dyDescent="0.25">
      <c r="I2490" s="17"/>
      <c r="J2490" s="18"/>
    </row>
    <row r="2491" spans="9:10" x14ac:dyDescent="0.25">
      <c r="I2491" s="17"/>
      <c r="J2491" s="18"/>
    </row>
    <row r="2492" spans="9:10" x14ac:dyDescent="0.25">
      <c r="I2492" s="17"/>
      <c r="J2492" s="18"/>
    </row>
    <row r="2493" spans="9:10" x14ac:dyDescent="0.25">
      <c r="I2493" s="17"/>
      <c r="J2493" s="18"/>
    </row>
    <row r="2494" spans="9:10" x14ac:dyDescent="0.25">
      <c r="I2494" s="17"/>
      <c r="J2494" s="18"/>
    </row>
    <row r="2495" spans="9:10" x14ac:dyDescent="0.25">
      <c r="I2495" s="17"/>
      <c r="J2495" s="18"/>
    </row>
    <row r="2496" spans="9:10" x14ac:dyDescent="0.25">
      <c r="I2496" s="17"/>
      <c r="J2496" s="18"/>
    </row>
    <row r="2497" spans="9:10" x14ac:dyDescent="0.25">
      <c r="I2497" s="17"/>
      <c r="J2497" s="18"/>
    </row>
    <row r="2498" spans="9:10" x14ac:dyDescent="0.25">
      <c r="I2498" s="17"/>
      <c r="J2498" s="18"/>
    </row>
    <row r="2499" spans="9:10" x14ac:dyDescent="0.25">
      <c r="I2499" s="17"/>
      <c r="J2499" s="18"/>
    </row>
    <row r="2500" spans="9:10" x14ac:dyDescent="0.25">
      <c r="I2500" s="17"/>
      <c r="J2500" s="18"/>
    </row>
    <row r="2501" spans="9:10" x14ac:dyDescent="0.25">
      <c r="I2501" s="17"/>
      <c r="J2501" s="18"/>
    </row>
    <row r="2502" spans="9:10" x14ac:dyDescent="0.25">
      <c r="I2502" s="17"/>
      <c r="J2502" s="18"/>
    </row>
    <row r="2503" spans="9:10" x14ac:dyDescent="0.25">
      <c r="I2503" s="17"/>
      <c r="J2503" s="18"/>
    </row>
    <row r="2504" spans="9:10" x14ac:dyDescent="0.25">
      <c r="I2504" s="17"/>
      <c r="J2504" s="18"/>
    </row>
    <row r="2505" spans="9:10" x14ac:dyDescent="0.25">
      <c r="I2505" s="17"/>
      <c r="J2505" s="18"/>
    </row>
    <row r="2506" spans="9:10" x14ac:dyDescent="0.25">
      <c r="I2506" s="17"/>
      <c r="J2506" s="18"/>
    </row>
    <row r="2507" spans="9:10" x14ac:dyDescent="0.25">
      <c r="I2507" s="17"/>
      <c r="J2507" s="18"/>
    </row>
    <row r="2508" spans="9:10" x14ac:dyDescent="0.25">
      <c r="I2508" s="17"/>
      <c r="J2508" s="18"/>
    </row>
    <row r="2509" spans="9:10" x14ac:dyDescent="0.25">
      <c r="I2509" s="17"/>
      <c r="J2509" s="18"/>
    </row>
    <row r="2510" spans="9:10" x14ac:dyDescent="0.25">
      <c r="I2510" s="17"/>
      <c r="J2510" s="18"/>
    </row>
    <row r="2511" spans="9:10" x14ac:dyDescent="0.25">
      <c r="I2511" s="17"/>
      <c r="J2511" s="18"/>
    </row>
    <row r="2512" spans="9:10" x14ac:dyDescent="0.25">
      <c r="I2512" s="17"/>
      <c r="J2512" s="18"/>
    </row>
    <row r="2513" spans="9:10" x14ac:dyDescent="0.25">
      <c r="I2513" s="17"/>
      <c r="J2513" s="18"/>
    </row>
    <row r="2514" spans="9:10" x14ac:dyDescent="0.25">
      <c r="I2514" s="17"/>
      <c r="J2514" s="18"/>
    </row>
    <row r="2515" spans="9:10" x14ac:dyDescent="0.25">
      <c r="I2515" s="17"/>
      <c r="J2515" s="18"/>
    </row>
    <row r="2516" spans="9:10" x14ac:dyDescent="0.25">
      <c r="I2516" s="17"/>
      <c r="J2516" s="18"/>
    </row>
    <row r="2517" spans="9:10" x14ac:dyDescent="0.25">
      <c r="I2517" s="17"/>
      <c r="J2517" s="18"/>
    </row>
    <row r="2518" spans="9:10" x14ac:dyDescent="0.25">
      <c r="I2518" s="17"/>
      <c r="J2518" s="18"/>
    </row>
    <row r="2519" spans="9:10" x14ac:dyDescent="0.25">
      <c r="I2519" s="17"/>
      <c r="J2519" s="18"/>
    </row>
    <row r="2520" spans="9:10" x14ac:dyDescent="0.25">
      <c r="I2520" s="17"/>
      <c r="J2520" s="18"/>
    </row>
    <row r="2521" spans="9:10" x14ac:dyDescent="0.25">
      <c r="I2521" s="17"/>
      <c r="J2521" s="18"/>
    </row>
    <row r="2522" spans="9:10" x14ac:dyDescent="0.25">
      <c r="I2522" s="17"/>
      <c r="J2522" s="18"/>
    </row>
    <row r="2523" spans="9:10" x14ac:dyDescent="0.25">
      <c r="I2523" s="17"/>
      <c r="J2523" s="18"/>
    </row>
    <row r="2524" spans="9:10" x14ac:dyDescent="0.25">
      <c r="I2524" s="17"/>
      <c r="J2524" s="18"/>
    </row>
    <row r="2525" spans="9:10" x14ac:dyDescent="0.25">
      <c r="I2525" s="17"/>
      <c r="J2525" s="18"/>
    </row>
    <row r="2526" spans="9:10" x14ac:dyDescent="0.25">
      <c r="I2526" s="17"/>
      <c r="J2526" s="18"/>
    </row>
    <row r="2527" spans="9:10" x14ac:dyDescent="0.25">
      <c r="I2527" s="17"/>
      <c r="J2527" s="18"/>
    </row>
    <row r="2528" spans="9:10" x14ac:dyDescent="0.25">
      <c r="I2528" s="17"/>
      <c r="J2528" s="18"/>
    </row>
    <row r="2529" spans="9:10" x14ac:dyDescent="0.25">
      <c r="I2529" s="17"/>
      <c r="J2529" s="18"/>
    </row>
    <row r="2530" spans="9:10" x14ac:dyDescent="0.25">
      <c r="I2530" s="17"/>
      <c r="J2530" s="18"/>
    </row>
    <row r="2531" spans="9:10" x14ac:dyDescent="0.25">
      <c r="I2531" s="17"/>
      <c r="J2531" s="18"/>
    </row>
    <row r="2532" spans="9:10" x14ac:dyDescent="0.25">
      <c r="I2532" s="17"/>
      <c r="J2532" s="18"/>
    </row>
    <row r="2533" spans="9:10" x14ac:dyDescent="0.25">
      <c r="I2533" s="17"/>
      <c r="J2533" s="18"/>
    </row>
    <row r="2534" spans="9:10" x14ac:dyDescent="0.25">
      <c r="I2534" s="17"/>
      <c r="J2534" s="18"/>
    </row>
    <row r="2535" spans="9:10" x14ac:dyDescent="0.25">
      <c r="I2535" s="17"/>
      <c r="J2535" s="18"/>
    </row>
    <row r="2536" spans="9:10" x14ac:dyDescent="0.25">
      <c r="I2536" s="17"/>
      <c r="J2536" s="18"/>
    </row>
    <row r="2537" spans="9:10" x14ac:dyDescent="0.25">
      <c r="I2537" s="17"/>
      <c r="J2537" s="18"/>
    </row>
    <row r="2538" spans="9:10" x14ac:dyDescent="0.25">
      <c r="I2538" s="17"/>
      <c r="J2538" s="18"/>
    </row>
    <row r="2539" spans="9:10" x14ac:dyDescent="0.25">
      <c r="I2539" s="17"/>
      <c r="J2539" s="18"/>
    </row>
    <row r="2540" spans="9:10" x14ac:dyDescent="0.25">
      <c r="I2540" s="17"/>
      <c r="J2540" s="18"/>
    </row>
    <row r="2541" spans="9:10" x14ac:dyDescent="0.25">
      <c r="I2541" s="17"/>
      <c r="J2541" s="18"/>
    </row>
    <row r="2542" spans="9:10" x14ac:dyDescent="0.25">
      <c r="I2542" s="17"/>
      <c r="J2542" s="18"/>
    </row>
    <row r="2543" spans="9:10" x14ac:dyDescent="0.25">
      <c r="I2543" s="17"/>
      <c r="J2543" s="18"/>
    </row>
    <row r="2544" spans="9:10" x14ac:dyDescent="0.25">
      <c r="I2544" s="17"/>
      <c r="J2544" s="18"/>
    </row>
    <row r="2545" spans="9:10" x14ac:dyDescent="0.25">
      <c r="I2545" s="17"/>
      <c r="J2545" s="18"/>
    </row>
    <row r="2546" spans="9:10" x14ac:dyDescent="0.25">
      <c r="I2546" s="17"/>
      <c r="J2546" s="18"/>
    </row>
    <row r="2547" spans="9:10" x14ac:dyDescent="0.25">
      <c r="I2547" s="17"/>
      <c r="J2547" s="18"/>
    </row>
    <row r="2548" spans="9:10" x14ac:dyDescent="0.25">
      <c r="I2548" s="17"/>
      <c r="J2548" s="18"/>
    </row>
    <row r="2549" spans="9:10" x14ac:dyDescent="0.25">
      <c r="I2549" s="17"/>
      <c r="J2549" s="18"/>
    </row>
    <row r="2550" spans="9:10" x14ac:dyDescent="0.25">
      <c r="I2550" s="17"/>
      <c r="J2550" s="18"/>
    </row>
    <row r="2551" spans="9:10" x14ac:dyDescent="0.25">
      <c r="I2551" s="17"/>
      <c r="J2551" s="18"/>
    </row>
    <row r="2552" spans="9:10" x14ac:dyDescent="0.25">
      <c r="I2552" s="17"/>
      <c r="J2552" s="18"/>
    </row>
    <row r="2553" spans="9:10" x14ac:dyDescent="0.25">
      <c r="I2553" s="17"/>
      <c r="J2553" s="18"/>
    </row>
    <row r="2554" spans="9:10" x14ac:dyDescent="0.25">
      <c r="I2554" s="17"/>
      <c r="J2554" s="18"/>
    </row>
    <row r="2555" spans="9:10" x14ac:dyDescent="0.25">
      <c r="I2555" s="17"/>
      <c r="J2555" s="18"/>
    </row>
    <row r="2556" spans="9:10" x14ac:dyDescent="0.25">
      <c r="I2556" s="17"/>
      <c r="J2556" s="18"/>
    </row>
    <row r="2557" spans="9:10" x14ac:dyDescent="0.25">
      <c r="I2557" s="17"/>
      <c r="J2557" s="18"/>
    </row>
    <row r="2558" spans="9:10" x14ac:dyDescent="0.25">
      <c r="I2558" s="17"/>
      <c r="J2558" s="18"/>
    </row>
    <row r="2559" spans="9:10" x14ac:dyDescent="0.25">
      <c r="I2559" s="17"/>
      <c r="J2559" s="18"/>
    </row>
    <row r="2560" spans="9:10" x14ac:dyDescent="0.25">
      <c r="I2560" s="17"/>
      <c r="J2560" s="18"/>
    </row>
    <row r="2561" spans="9:10" x14ac:dyDescent="0.25">
      <c r="I2561" s="17"/>
      <c r="J2561" s="18"/>
    </row>
    <row r="2562" spans="9:10" x14ac:dyDescent="0.25">
      <c r="I2562" s="17"/>
      <c r="J2562" s="18"/>
    </row>
    <row r="2563" spans="9:10" x14ac:dyDescent="0.25">
      <c r="I2563" s="17"/>
      <c r="J2563" s="18"/>
    </row>
    <row r="2564" spans="9:10" x14ac:dyDescent="0.25">
      <c r="I2564" s="17"/>
      <c r="J2564" s="18"/>
    </row>
    <row r="2565" spans="9:10" x14ac:dyDescent="0.25">
      <c r="I2565" s="17"/>
      <c r="J2565" s="18"/>
    </row>
    <row r="2566" spans="9:10" x14ac:dyDescent="0.25">
      <c r="I2566" s="17"/>
      <c r="J2566" s="18"/>
    </row>
    <row r="2567" spans="9:10" x14ac:dyDescent="0.25">
      <c r="I2567" s="17"/>
      <c r="J2567" s="18"/>
    </row>
    <row r="2568" spans="9:10" x14ac:dyDescent="0.25">
      <c r="I2568" s="17"/>
      <c r="J2568" s="18"/>
    </row>
    <row r="2569" spans="9:10" x14ac:dyDescent="0.25">
      <c r="I2569" s="17"/>
      <c r="J2569" s="18"/>
    </row>
    <row r="2570" spans="9:10" x14ac:dyDescent="0.25">
      <c r="I2570" s="17"/>
      <c r="J2570" s="18"/>
    </row>
    <row r="2571" spans="9:10" x14ac:dyDescent="0.25">
      <c r="I2571" s="17"/>
      <c r="J2571" s="18"/>
    </row>
    <row r="2572" spans="9:10" x14ac:dyDescent="0.25">
      <c r="I2572" s="17"/>
      <c r="J2572" s="18"/>
    </row>
    <row r="2573" spans="9:10" x14ac:dyDescent="0.25">
      <c r="I2573" s="17"/>
      <c r="J2573" s="18"/>
    </row>
    <row r="2574" spans="9:10" x14ac:dyDescent="0.25">
      <c r="I2574" s="17"/>
      <c r="J2574" s="18"/>
    </row>
    <row r="2575" spans="9:10" x14ac:dyDescent="0.25">
      <c r="I2575" s="17"/>
      <c r="J2575" s="18"/>
    </row>
    <row r="2576" spans="9:10" x14ac:dyDescent="0.25">
      <c r="I2576" s="17"/>
      <c r="J2576" s="18"/>
    </row>
    <row r="2577" spans="9:10" x14ac:dyDescent="0.25">
      <c r="I2577" s="17"/>
      <c r="J2577" s="18"/>
    </row>
    <row r="2578" spans="9:10" x14ac:dyDescent="0.25">
      <c r="I2578" s="17"/>
      <c r="J2578" s="18"/>
    </row>
    <row r="2579" spans="9:10" x14ac:dyDescent="0.25">
      <c r="I2579" s="17"/>
      <c r="J2579" s="18"/>
    </row>
    <row r="2580" spans="9:10" x14ac:dyDescent="0.25">
      <c r="I2580" s="17"/>
      <c r="J2580" s="18"/>
    </row>
    <row r="2581" spans="9:10" x14ac:dyDescent="0.25">
      <c r="I2581" s="17"/>
      <c r="J2581" s="18"/>
    </row>
    <row r="2582" spans="9:10" x14ac:dyDescent="0.25">
      <c r="I2582" s="17"/>
      <c r="J2582" s="18"/>
    </row>
    <row r="2583" spans="9:10" x14ac:dyDescent="0.25">
      <c r="I2583" s="17"/>
      <c r="J2583" s="18"/>
    </row>
    <row r="2584" spans="9:10" x14ac:dyDescent="0.25">
      <c r="I2584" s="17"/>
      <c r="J2584" s="18"/>
    </row>
    <row r="2585" spans="9:10" x14ac:dyDescent="0.25">
      <c r="I2585" s="17"/>
      <c r="J2585" s="18"/>
    </row>
    <row r="2586" spans="9:10" x14ac:dyDescent="0.25">
      <c r="I2586" s="17"/>
      <c r="J2586" s="18"/>
    </row>
    <row r="2587" spans="9:10" x14ac:dyDescent="0.25">
      <c r="I2587" s="17"/>
      <c r="J2587" s="18"/>
    </row>
    <row r="2588" spans="9:10" x14ac:dyDescent="0.25">
      <c r="I2588" s="17"/>
      <c r="J2588" s="18"/>
    </row>
    <row r="2589" spans="9:10" x14ac:dyDescent="0.25">
      <c r="I2589" s="17"/>
      <c r="J2589" s="18"/>
    </row>
    <row r="2590" spans="9:10" x14ac:dyDescent="0.25">
      <c r="I2590" s="17"/>
      <c r="J2590" s="18"/>
    </row>
    <row r="2591" spans="9:10" x14ac:dyDescent="0.25">
      <c r="I2591" s="17"/>
      <c r="J2591" s="18"/>
    </row>
    <row r="2592" spans="9:10" x14ac:dyDescent="0.25">
      <c r="I2592" s="17"/>
      <c r="J2592" s="18"/>
    </row>
    <row r="2593" spans="9:10" x14ac:dyDescent="0.25">
      <c r="I2593" s="17"/>
      <c r="J2593" s="18"/>
    </row>
    <row r="2594" spans="9:10" x14ac:dyDescent="0.25">
      <c r="I2594" s="17"/>
      <c r="J2594" s="18"/>
    </row>
    <row r="2595" spans="9:10" x14ac:dyDescent="0.25">
      <c r="I2595" s="17"/>
      <c r="J2595" s="18"/>
    </row>
    <row r="2596" spans="9:10" x14ac:dyDescent="0.25">
      <c r="I2596" s="17"/>
      <c r="J2596" s="18"/>
    </row>
    <row r="2597" spans="9:10" x14ac:dyDescent="0.25">
      <c r="I2597" s="17"/>
      <c r="J2597" s="18"/>
    </row>
    <row r="2598" spans="9:10" x14ac:dyDescent="0.25">
      <c r="I2598" s="17"/>
      <c r="J2598" s="18"/>
    </row>
    <row r="2599" spans="9:10" x14ac:dyDescent="0.25">
      <c r="I2599" s="17"/>
      <c r="J2599" s="18"/>
    </row>
    <row r="2600" spans="9:10" x14ac:dyDescent="0.25">
      <c r="I2600" s="17"/>
      <c r="J2600" s="18"/>
    </row>
    <row r="2601" spans="9:10" x14ac:dyDescent="0.25">
      <c r="I2601" s="17"/>
      <c r="J2601" s="18"/>
    </row>
    <row r="2602" spans="9:10" x14ac:dyDescent="0.25">
      <c r="I2602" s="17"/>
      <c r="J2602" s="18"/>
    </row>
    <row r="2603" spans="9:10" x14ac:dyDescent="0.25">
      <c r="I2603" s="17"/>
      <c r="J2603" s="18"/>
    </row>
    <row r="2604" spans="9:10" x14ac:dyDescent="0.25">
      <c r="I2604" s="17"/>
      <c r="J2604" s="18"/>
    </row>
    <row r="2605" spans="9:10" x14ac:dyDescent="0.25">
      <c r="I2605" s="17"/>
      <c r="J2605" s="18"/>
    </row>
    <row r="2606" spans="9:10" x14ac:dyDescent="0.25">
      <c r="I2606" s="17"/>
      <c r="J2606" s="18"/>
    </row>
    <row r="2607" spans="9:10" x14ac:dyDescent="0.25">
      <c r="I2607" s="17"/>
      <c r="J2607" s="18"/>
    </row>
    <row r="2608" spans="9:10" x14ac:dyDescent="0.25">
      <c r="I2608" s="17"/>
      <c r="J2608" s="18"/>
    </row>
    <row r="2609" spans="9:10" x14ac:dyDescent="0.25">
      <c r="I2609" s="17"/>
      <c r="J2609" s="18"/>
    </row>
    <row r="2610" spans="9:10" x14ac:dyDescent="0.25">
      <c r="I2610" s="17"/>
      <c r="J2610" s="18"/>
    </row>
    <row r="2611" spans="9:10" x14ac:dyDescent="0.25">
      <c r="I2611" s="17"/>
      <c r="J2611" s="18"/>
    </row>
    <row r="2612" spans="9:10" x14ac:dyDescent="0.25">
      <c r="I2612" s="17"/>
      <c r="J2612" s="18"/>
    </row>
    <row r="2613" spans="9:10" x14ac:dyDescent="0.25">
      <c r="I2613" s="17"/>
      <c r="J2613" s="18"/>
    </row>
    <row r="2614" spans="9:10" x14ac:dyDescent="0.25">
      <c r="I2614" s="17"/>
      <c r="J2614" s="18"/>
    </row>
    <row r="2615" spans="9:10" x14ac:dyDescent="0.25">
      <c r="I2615" s="17"/>
      <c r="J2615" s="18"/>
    </row>
    <row r="2616" spans="9:10" x14ac:dyDescent="0.25">
      <c r="I2616" s="17"/>
      <c r="J2616" s="18"/>
    </row>
    <row r="2617" spans="9:10" x14ac:dyDescent="0.25">
      <c r="I2617" s="17"/>
      <c r="J2617" s="18"/>
    </row>
    <row r="2618" spans="9:10" x14ac:dyDescent="0.25">
      <c r="I2618" s="17"/>
      <c r="J2618" s="18"/>
    </row>
    <row r="2619" spans="9:10" x14ac:dyDescent="0.25">
      <c r="I2619" s="17"/>
      <c r="J2619" s="18"/>
    </row>
    <row r="2620" spans="9:10" x14ac:dyDescent="0.25">
      <c r="I2620" s="17"/>
      <c r="J2620" s="18"/>
    </row>
    <row r="2621" spans="9:10" x14ac:dyDescent="0.25">
      <c r="I2621" s="17"/>
      <c r="J2621" s="18"/>
    </row>
    <row r="2622" spans="9:10" x14ac:dyDescent="0.25">
      <c r="I2622" s="17"/>
      <c r="J2622" s="18"/>
    </row>
    <row r="2623" spans="9:10" x14ac:dyDescent="0.25">
      <c r="I2623" s="17"/>
      <c r="J2623" s="18"/>
    </row>
    <row r="2624" spans="9:10" x14ac:dyDescent="0.25">
      <c r="I2624" s="17"/>
      <c r="J2624" s="18"/>
    </row>
    <row r="2625" spans="9:10" x14ac:dyDescent="0.25">
      <c r="I2625" s="17"/>
      <c r="J2625" s="18"/>
    </row>
    <row r="2626" spans="9:10" x14ac:dyDescent="0.25">
      <c r="I2626" s="17"/>
      <c r="J2626" s="18"/>
    </row>
    <row r="2627" spans="9:10" x14ac:dyDescent="0.25">
      <c r="I2627" s="17"/>
      <c r="J2627" s="18"/>
    </row>
    <row r="2628" spans="9:10" x14ac:dyDescent="0.25">
      <c r="I2628" s="17"/>
      <c r="J2628" s="18"/>
    </row>
    <row r="2629" spans="9:10" x14ac:dyDescent="0.25">
      <c r="I2629" s="17"/>
      <c r="J2629" s="18"/>
    </row>
    <row r="2630" spans="9:10" x14ac:dyDescent="0.25">
      <c r="I2630" s="17"/>
      <c r="J2630" s="18"/>
    </row>
    <row r="2631" spans="9:10" x14ac:dyDescent="0.25">
      <c r="I2631" s="17"/>
      <c r="J2631" s="18"/>
    </row>
    <row r="2632" spans="9:10" x14ac:dyDescent="0.25">
      <c r="I2632" s="17"/>
      <c r="J2632" s="18"/>
    </row>
    <row r="2633" spans="9:10" x14ac:dyDescent="0.25">
      <c r="I2633" s="17"/>
      <c r="J2633" s="18"/>
    </row>
    <row r="2634" spans="9:10" x14ac:dyDescent="0.25">
      <c r="I2634" s="17"/>
      <c r="J2634" s="18"/>
    </row>
    <row r="2635" spans="9:10" x14ac:dyDescent="0.25">
      <c r="I2635" s="17"/>
      <c r="J2635" s="18"/>
    </row>
    <row r="2636" spans="9:10" x14ac:dyDescent="0.25">
      <c r="I2636" s="17"/>
      <c r="J2636" s="18"/>
    </row>
    <row r="2637" spans="9:10" x14ac:dyDescent="0.25">
      <c r="I2637" s="17"/>
      <c r="J2637" s="18"/>
    </row>
    <row r="2638" spans="9:10" x14ac:dyDescent="0.25">
      <c r="I2638" s="17"/>
      <c r="J2638" s="18"/>
    </row>
    <row r="2639" spans="9:10" x14ac:dyDescent="0.25">
      <c r="I2639" s="17"/>
      <c r="J2639" s="18"/>
    </row>
    <row r="2640" spans="9:10" x14ac:dyDescent="0.25">
      <c r="I2640" s="17"/>
      <c r="J2640" s="18"/>
    </row>
    <row r="2641" spans="9:10" x14ac:dyDescent="0.25">
      <c r="I2641" s="17"/>
      <c r="J2641" s="18"/>
    </row>
    <row r="2642" spans="9:10" x14ac:dyDescent="0.25">
      <c r="I2642" s="17"/>
      <c r="J2642" s="18"/>
    </row>
    <row r="2643" spans="9:10" x14ac:dyDescent="0.25">
      <c r="I2643" s="17"/>
      <c r="J2643" s="18"/>
    </row>
    <row r="2644" spans="9:10" x14ac:dyDescent="0.25">
      <c r="I2644" s="17"/>
      <c r="J2644" s="18"/>
    </row>
    <row r="2645" spans="9:10" x14ac:dyDescent="0.25">
      <c r="I2645" s="17"/>
      <c r="J2645" s="18"/>
    </row>
    <row r="2646" spans="9:10" x14ac:dyDescent="0.25">
      <c r="I2646" s="17"/>
      <c r="J2646" s="18"/>
    </row>
    <row r="2647" spans="9:10" x14ac:dyDescent="0.25">
      <c r="I2647" s="17"/>
      <c r="J2647" s="18"/>
    </row>
    <row r="2648" spans="9:10" x14ac:dyDescent="0.25">
      <c r="I2648" s="17"/>
      <c r="J2648" s="18"/>
    </row>
    <row r="2649" spans="9:10" x14ac:dyDescent="0.25">
      <c r="I2649" s="17"/>
      <c r="J2649" s="18"/>
    </row>
    <row r="2650" spans="9:10" x14ac:dyDescent="0.25">
      <c r="I2650" s="17"/>
      <c r="J2650" s="18"/>
    </row>
    <row r="2651" spans="9:10" x14ac:dyDescent="0.25">
      <c r="I2651" s="17"/>
      <c r="J2651" s="18"/>
    </row>
    <row r="2652" spans="9:10" x14ac:dyDescent="0.25">
      <c r="I2652" s="17"/>
      <c r="J2652" s="18"/>
    </row>
    <row r="2653" spans="9:10" x14ac:dyDescent="0.25">
      <c r="I2653" s="17"/>
      <c r="J2653" s="18"/>
    </row>
    <row r="2654" spans="9:10" x14ac:dyDescent="0.25">
      <c r="I2654" s="17"/>
      <c r="J2654" s="18"/>
    </row>
    <row r="2655" spans="9:10" x14ac:dyDescent="0.25">
      <c r="I2655" s="17"/>
      <c r="J2655" s="18"/>
    </row>
    <row r="2656" spans="9:10" x14ac:dyDescent="0.25">
      <c r="I2656" s="17"/>
      <c r="J2656" s="18"/>
    </row>
    <row r="2657" spans="9:10" x14ac:dyDescent="0.25">
      <c r="I2657" s="17"/>
      <c r="J2657" s="18"/>
    </row>
    <row r="2658" spans="9:10" x14ac:dyDescent="0.25">
      <c r="I2658" s="17"/>
      <c r="J2658" s="18"/>
    </row>
    <row r="2659" spans="9:10" x14ac:dyDescent="0.25">
      <c r="I2659" s="17"/>
      <c r="J2659" s="18"/>
    </row>
    <row r="2660" spans="9:10" x14ac:dyDescent="0.25">
      <c r="I2660" s="17"/>
      <c r="J2660" s="18"/>
    </row>
    <row r="2661" spans="9:10" x14ac:dyDescent="0.25">
      <c r="I2661" s="17"/>
      <c r="J2661" s="18"/>
    </row>
    <row r="2662" spans="9:10" x14ac:dyDescent="0.25">
      <c r="I2662" s="17"/>
      <c r="J2662" s="18"/>
    </row>
    <row r="2663" spans="9:10" x14ac:dyDescent="0.25">
      <c r="I2663" s="17"/>
      <c r="J2663" s="18"/>
    </row>
    <row r="2664" spans="9:10" x14ac:dyDescent="0.25">
      <c r="I2664" s="17"/>
      <c r="J2664" s="18"/>
    </row>
    <row r="2665" spans="9:10" x14ac:dyDescent="0.25">
      <c r="I2665" s="17"/>
      <c r="J2665" s="18"/>
    </row>
    <row r="2666" spans="9:10" x14ac:dyDescent="0.25">
      <c r="I2666" s="17"/>
      <c r="J2666" s="18"/>
    </row>
    <row r="2667" spans="9:10" x14ac:dyDescent="0.25">
      <c r="I2667" s="17"/>
      <c r="J2667" s="18"/>
    </row>
    <row r="2668" spans="9:10" x14ac:dyDescent="0.25">
      <c r="I2668" s="17"/>
      <c r="J2668" s="18"/>
    </row>
    <row r="2669" spans="9:10" x14ac:dyDescent="0.25">
      <c r="I2669" s="17"/>
      <c r="J2669" s="18"/>
    </row>
    <row r="2670" spans="9:10" x14ac:dyDescent="0.25">
      <c r="I2670" s="17"/>
      <c r="J2670" s="18"/>
    </row>
    <row r="2671" spans="9:10" x14ac:dyDescent="0.25">
      <c r="I2671" s="17"/>
      <c r="J2671" s="18"/>
    </row>
    <row r="2672" spans="9:10" x14ac:dyDescent="0.25">
      <c r="I2672" s="17"/>
      <c r="J2672" s="18"/>
    </row>
    <row r="2673" spans="9:10" x14ac:dyDescent="0.25">
      <c r="I2673" s="17"/>
      <c r="J2673" s="18"/>
    </row>
    <row r="2674" spans="9:10" x14ac:dyDescent="0.25">
      <c r="I2674" s="17"/>
      <c r="J2674" s="18"/>
    </row>
    <row r="2675" spans="9:10" x14ac:dyDescent="0.25">
      <c r="I2675" s="17"/>
      <c r="J2675" s="18"/>
    </row>
    <row r="2676" spans="9:10" x14ac:dyDescent="0.25">
      <c r="I2676" s="17"/>
      <c r="J2676" s="18"/>
    </row>
    <row r="2677" spans="9:10" x14ac:dyDescent="0.25">
      <c r="I2677" s="17"/>
      <c r="J2677" s="18"/>
    </row>
    <row r="2678" spans="9:10" x14ac:dyDescent="0.25">
      <c r="I2678" s="17"/>
      <c r="J2678" s="18"/>
    </row>
    <row r="2679" spans="9:10" x14ac:dyDescent="0.25">
      <c r="I2679" s="17"/>
      <c r="J2679" s="18"/>
    </row>
    <row r="2680" spans="9:10" x14ac:dyDescent="0.25">
      <c r="I2680" s="17"/>
      <c r="J2680" s="18"/>
    </row>
    <row r="2681" spans="9:10" x14ac:dyDescent="0.25">
      <c r="I2681" s="17"/>
      <c r="J2681" s="18"/>
    </row>
    <row r="2682" spans="9:10" x14ac:dyDescent="0.25">
      <c r="I2682" s="17"/>
      <c r="J2682" s="18"/>
    </row>
    <row r="2683" spans="9:10" x14ac:dyDescent="0.25">
      <c r="I2683" s="17"/>
      <c r="J2683" s="18"/>
    </row>
    <row r="2684" spans="9:10" x14ac:dyDescent="0.25">
      <c r="I2684" s="17"/>
      <c r="J2684" s="18"/>
    </row>
    <row r="2685" spans="9:10" x14ac:dyDescent="0.25">
      <c r="I2685" s="17"/>
      <c r="J2685" s="18"/>
    </row>
    <row r="2686" spans="9:10" x14ac:dyDescent="0.25">
      <c r="I2686" s="17"/>
      <c r="J2686" s="18"/>
    </row>
    <row r="2687" spans="9:10" x14ac:dyDescent="0.25">
      <c r="I2687" s="17"/>
      <c r="J2687" s="18"/>
    </row>
    <row r="2688" spans="9:10" x14ac:dyDescent="0.25">
      <c r="I2688" s="17"/>
      <c r="J2688" s="18"/>
    </row>
    <row r="2689" spans="9:10" x14ac:dyDescent="0.25">
      <c r="I2689" s="17"/>
      <c r="J2689" s="18"/>
    </row>
    <row r="2690" spans="9:10" x14ac:dyDescent="0.25">
      <c r="I2690" s="17"/>
      <c r="J2690" s="18"/>
    </row>
    <row r="2691" spans="9:10" x14ac:dyDescent="0.25">
      <c r="I2691" s="17"/>
      <c r="J2691" s="18"/>
    </row>
    <row r="2692" spans="9:10" x14ac:dyDescent="0.25">
      <c r="I2692" s="17"/>
      <c r="J2692" s="18"/>
    </row>
    <row r="2693" spans="9:10" x14ac:dyDescent="0.25">
      <c r="I2693" s="17"/>
      <c r="J2693" s="18"/>
    </row>
    <row r="2694" spans="9:10" x14ac:dyDescent="0.25">
      <c r="I2694" s="17"/>
      <c r="J2694" s="18"/>
    </row>
    <row r="2695" spans="9:10" x14ac:dyDescent="0.25">
      <c r="I2695" s="17"/>
      <c r="J2695" s="18"/>
    </row>
    <row r="2696" spans="9:10" x14ac:dyDescent="0.25">
      <c r="I2696" s="17"/>
      <c r="J2696" s="18"/>
    </row>
    <row r="2697" spans="9:10" x14ac:dyDescent="0.25">
      <c r="I2697" s="17"/>
      <c r="J2697" s="18"/>
    </row>
    <row r="2698" spans="9:10" x14ac:dyDescent="0.25">
      <c r="I2698" s="17"/>
      <c r="J2698" s="18"/>
    </row>
    <row r="2699" spans="9:10" x14ac:dyDescent="0.25">
      <c r="I2699" s="17"/>
      <c r="J2699" s="18"/>
    </row>
    <row r="2700" spans="9:10" x14ac:dyDescent="0.25">
      <c r="I2700" s="17"/>
      <c r="J2700" s="18"/>
    </row>
    <row r="2701" spans="9:10" x14ac:dyDescent="0.25">
      <c r="I2701" s="17"/>
      <c r="J2701" s="18"/>
    </row>
    <row r="2702" spans="9:10" x14ac:dyDescent="0.25">
      <c r="I2702" s="17"/>
      <c r="J2702" s="18"/>
    </row>
    <row r="2703" spans="9:10" x14ac:dyDescent="0.25">
      <c r="I2703" s="17"/>
      <c r="J2703" s="18"/>
    </row>
    <row r="2704" spans="9:10" x14ac:dyDescent="0.25">
      <c r="I2704" s="17"/>
      <c r="J2704" s="18"/>
    </row>
    <row r="2705" spans="9:10" x14ac:dyDescent="0.25">
      <c r="I2705" s="17"/>
      <c r="J2705" s="18"/>
    </row>
    <row r="2706" spans="9:10" x14ac:dyDescent="0.25">
      <c r="I2706" s="17"/>
      <c r="J2706" s="18"/>
    </row>
    <row r="2707" spans="9:10" x14ac:dyDescent="0.25">
      <c r="I2707" s="17"/>
      <c r="J2707" s="18"/>
    </row>
    <row r="2708" spans="9:10" x14ac:dyDescent="0.25">
      <c r="I2708" s="17"/>
      <c r="J2708" s="18"/>
    </row>
    <row r="2709" spans="9:10" x14ac:dyDescent="0.25">
      <c r="I2709" s="17"/>
      <c r="J2709" s="18"/>
    </row>
    <row r="2710" spans="9:10" x14ac:dyDescent="0.25">
      <c r="I2710" s="17"/>
      <c r="J2710" s="18"/>
    </row>
    <row r="2711" spans="9:10" x14ac:dyDescent="0.25">
      <c r="I2711" s="17"/>
      <c r="J2711" s="18"/>
    </row>
    <row r="2712" spans="9:10" x14ac:dyDescent="0.25">
      <c r="I2712" s="17"/>
      <c r="J2712" s="18"/>
    </row>
    <row r="2713" spans="9:10" x14ac:dyDescent="0.25">
      <c r="I2713" s="17"/>
      <c r="J2713" s="18"/>
    </row>
    <row r="2714" spans="9:10" x14ac:dyDescent="0.25">
      <c r="I2714" s="17"/>
      <c r="J2714" s="18"/>
    </row>
    <row r="2715" spans="9:10" x14ac:dyDescent="0.25">
      <c r="I2715" s="17"/>
      <c r="J2715" s="18"/>
    </row>
    <row r="2716" spans="9:10" x14ac:dyDescent="0.25">
      <c r="I2716" s="17"/>
      <c r="J2716" s="18"/>
    </row>
    <row r="2717" spans="9:10" x14ac:dyDescent="0.25">
      <c r="I2717" s="17"/>
      <c r="J2717" s="18"/>
    </row>
    <row r="2718" spans="9:10" x14ac:dyDescent="0.25">
      <c r="I2718" s="17"/>
      <c r="J2718" s="18"/>
    </row>
    <row r="2719" spans="9:10" x14ac:dyDescent="0.25">
      <c r="I2719" s="17"/>
      <c r="J2719" s="18"/>
    </row>
    <row r="2720" spans="9:10" x14ac:dyDescent="0.25">
      <c r="I2720" s="17"/>
      <c r="J2720" s="18"/>
    </row>
    <row r="2721" spans="9:10" x14ac:dyDescent="0.25">
      <c r="I2721" s="17"/>
      <c r="J2721" s="18"/>
    </row>
    <row r="2722" spans="9:10" x14ac:dyDescent="0.25">
      <c r="I2722" s="17"/>
      <c r="J2722" s="18"/>
    </row>
    <row r="2723" spans="9:10" x14ac:dyDescent="0.25">
      <c r="I2723" s="17"/>
      <c r="J2723" s="18"/>
    </row>
    <row r="2724" spans="9:10" x14ac:dyDescent="0.25">
      <c r="I2724" s="17"/>
      <c r="J2724" s="18"/>
    </row>
    <row r="2725" spans="9:10" x14ac:dyDescent="0.25">
      <c r="I2725" s="17"/>
      <c r="J2725" s="18"/>
    </row>
    <row r="2726" spans="9:10" x14ac:dyDescent="0.25">
      <c r="I2726" s="17"/>
      <c r="J2726" s="18"/>
    </row>
    <row r="2727" spans="9:10" x14ac:dyDescent="0.25">
      <c r="I2727" s="17"/>
      <c r="J2727" s="18"/>
    </row>
    <row r="2728" spans="9:10" x14ac:dyDescent="0.25">
      <c r="I2728" s="17"/>
      <c r="J2728" s="18"/>
    </row>
    <row r="2729" spans="9:10" x14ac:dyDescent="0.25">
      <c r="I2729" s="17"/>
      <c r="J2729" s="18"/>
    </row>
    <row r="2730" spans="9:10" x14ac:dyDescent="0.25">
      <c r="I2730" s="17"/>
      <c r="J2730" s="18"/>
    </row>
    <row r="2731" spans="9:10" x14ac:dyDescent="0.25">
      <c r="I2731" s="17"/>
      <c r="J2731" s="18"/>
    </row>
    <row r="2732" spans="9:10" x14ac:dyDescent="0.25">
      <c r="I2732" s="17"/>
      <c r="J2732" s="18"/>
    </row>
    <row r="2733" spans="9:10" x14ac:dyDescent="0.25">
      <c r="I2733" s="17"/>
      <c r="J2733" s="18"/>
    </row>
    <row r="2734" spans="9:10" x14ac:dyDescent="0.25">
      <c r="I2734" s="17"/>
      <c r="J2734" s="18"/>
    </row>
    <row r="2735" spans="9:10" x14ac:dyDescent="0.25">
      <c r="I2735" s="17"/>
      <c r="J2735" s="18"/>
    </row>
    <row r="2736" spans="9:10" x14ac:dyDescent="0.25">
      <c r="I2736" s="17"/>
      <c r="J2736" s="18"/>
    </row>
    <row r="2737" spans="9:10" x14ac:dyDescent="0.25">
      <c r="I2737" s="17"/>
      <c r="J2737" s="18"/>
    </row>
    <row r="2738" spans="9:10" x14ac:dyDescent="0.25">
      <c r="I2738" s="17"/>
      <c r="J2738" s="18"/>
    </row>
    <row r="2739" spans="9:10" x14ac:dyDescent="0.25">
      <c r="I2739" s="17"/>
      <c r="J2739" s="18"/>
    </row>
    <row r="2740" spans="9:10" x14ac:dyDescent="0.25">
      <c r="I2740" s="17"/>
      <c r="J2740" s="18"/>
    </row>
    <row r="2741" spans="9:10" x14ac:dyDescent="0.25">
      <c r="I2741" s="17"/>
      <c r="J2741" s="18"/>
    </row>
    <row r="2742" spans="9:10" x14ac:dyDescent="0.25">
      <c r="I2742" s="17"/>
      <c r="J2742" s="18"/>
    </row>
    <row r="2743" spans="9:10" x14ac:dyDescent="0.25">
      <c r="I2743" s="17"/>
      <c r="J2743" s="18"/>
    </row>
    <row r="2744" spans="9:10" x14ac:dyDescent="0.25">
      <c r="I2744" s="17"/>
      <c r="J2744" s="18"/>
    </row>
    <row r="2745" spans="9:10" x14ac:dyDescent="0.25">
      <c r="I2745" s="17"/>
      <c r="J2745" s="18"/>
    </row>
    <row r="2746" spans="9:10" x14ac:dyDescent="0.25">
      <c r="I2746" s="17"/>
      <c r="J2746" s="18"/>
    </row>
    <row r="2747" spans="9:10" x14ac:dyDescent="0.25">
      <c r="I2747" s="17"/>
      <c r="J2747" s="18"/>
    </row>
    <row r="2748" spans="9:10" x14ac:dyDescent="0.25">
      <c r="I2748" s="17"/>
      <c r="J2748" s="18"/>
    </row>
    <row r="2749" spans="9:10" x14ac:dyDescent="0.25">
      <c r="I2749" s="17"/>
      <c r="J2749" s="18"/>
    </row>
    <row r="2750" spans="9:10" x14ac:dyDescent="0.25">
      <c r="I2750" s="17"/>
      <c r="J2750" s="18"/>
    </row>
    <row r="2751" spans="9:10" x14ac:dyDescent="0.25">
      <c r="I2751" s="17"/>
      <c r="J2751" s="18"/>
    </row>
    <row r="2752" spans="9:10" x14ac:dyDescent="0.25">
      <c r="I2752" s="17"/>
      <c r="J2752" s="18"/>
    </row>
    <row r="2753" spans="9:10" x14ac:dyDescent="0.25">
      <c r="I2753" s="17"/>
      <c r="J2753" s="18"/>
    </row>
    <row r="2754" spans="9:10" x14ac:dyDescent="0.25">
      <c r="I2754" s="17"/>
      <c r="J2754" s="18"/>
    </row>
    <row r="2755" spans="9:10" x14ac:dyDescent="0.25">
      <c r="I2755" s="17"/>
      <c r="J2755" s="18"/>
    </row>
    <row r="2756" spans="9:10" x14ac:dyDescent="0.25">
      <c r="I2756" s="17"/>
      <c r="J2756" s="18"/>
    </row>
    <row r="2757" spans="9:10" x14ac:dyDescent="0.25">
      <c r="I2757" s="17"/>
      <c r="J2757" s="18"/>
    </row>
    <row r="2758" spans="9:10" x14ac:dyDescent="0.25">
      <c r="I2758" s="17"/>
      <c r="J2758" s="18"/>
    </row>
    <row r="2759" spans="9:10" x14ac:dyDescent="0.25">
      <c r="I2759" s="17"/>
      <c r="J2759" s="18"/>
    </row>
    <row r="2760" spans="9:10" x14ac:dyDescent="0.25">
      <c r="I2760" s="17"/>
      <c r="J2760" s="18"/>
    </row>
    <row r="2761" spans="9:10" x14ac:dyDescent="0.25">
      <c r="I2761" s="17"/>
      <c r="J2761" s="18"/>
    </row>
    <row r="2762" spans="9:10" x14ac:dyDescent="0.25">
      <c r="I2762" s="17"/>
      <c r="J2762" s="18"/>
    </row>
    <row r="2763" spans="9:10" x14ac:dyDescent="0.25">
      <c r="I2763" s="17"/>
      <c r="J2763" s="18"/>
    </row>
    <row r="2764" spans="9:10" x14ac:dyDescent="0.25">
      <c r="I2764" s="17"/>
      <c r="J2764" s="18"/>
    </row>
    <row r="2765" spans="9:10" x14ac:dyDescent="0.25">
      <c r="I2765" s="17"/>
      <c r="J2765" s="18"/>
    </row>
    <row r="2766" spans="9:10" x14ac:dyDescent="0.25">
      <c r="I2766" s="17"/>
      <c r="J2766" s="18"/>
    </row>
    <row r="2767" spans="9:10" x14ac:dyDescent="0.25">
      <c r="I2767" s="17"/>
      <c r="J2767" s="18"/>
    </row>
    <row r="2768" spans="9:10" x14ac:dyDescent="0.25">
      <c r="I2768" s="17"/>
      <c r="J2768" s="18"/>
    </row>
    <row r="2769" spans="9:10" x14ac:dyDescent="0.25">
      <c r="I2769" s="17"/>
      <c r="J2769" s="18"/>
    </row>
    <row r="2770" spans="9:10" x14ac:dyDescent="0.25">
      <c r="I2770" s="17"/>
      <c r="J2770" s="18"/>
    </row>
    <row r="2771" spans="9:10" x14ac:dyDescent="0.25">
      <c r="I2771" s="17"/>
      <c r="J2771" s="18"/>
    </row>
    <row r="2772" spans="9:10" x14ac:dyDescent="0.25">
      <c r="I2772" s="17"/>
      <c r="J2772" s="18"/>
    </row>
    <row r="2773" spans="9:10" x14ac:dyDescent="0.25">
      <c r="I2773" s="17"/>
      <c r="J2773" s="18"/>
    </row>
    <row r="2774" spans="9:10" x14ac:dyDescent="0.25">
      <c r="I2774" s="17"/>
      <c r="J2774" s="18"/>
    </row>
    <row r="2775" spans="9:10" x14ac:dyDescent="0.25">
      <c r="I2775" s="17"/>
      <c r="J2775" s="18"/>
    </row>
    <row r="2776" spans="9:10" x14ac:dyDescent="0.25">
      <c r="I2776" s="17"/>
      <c r="J2776" s="18"/>
    </row>
    <row r="2777" spans="9:10" x14ac:dyDescent="0.25">
      <c r="I2777" s="17"/>
      <c r="J2777" s="18"/>
    </row>
    <row r="2778" spans="9:10" x14ac:dyDescent="0.25">
      <c r="I2778" s="17"/>
      <c r="J2778" s="18"/>
    </row>
    <row r="2779" spans="9:10" x14ac:dyDescent="0.25">
      <c r="I2779" s="17"/>
      <c r="J2779" s="18"/>
    </row>
    <row r="2780" spans="9:10" x14ac:dyDescent="0.25">
      <c r="I2780" s="17"/>
      <c r="J2780" s="18"/>
    </row>
    <row r="2781" spans="9:10" x14ac:dyDescent="0.25">
      <c r="I2781" s="17"/>
      <c r="J2781" s="18"/>
    </row>
    <row r="2782" spans="9:10" x14ac:dyDescent="0.25">
      <c r="I2782" s="17"/>
      <c r="J2782" s="18"/>
    </row>
    <row r="2783" spans="9:10" x14ac:dyDescent="0.25">
      <c r="I2783" s="17"/>
      <c r="J2783" s="18"/>
    </row>
    <row r="2784" spans="9:10" x14ac:dyDescent="0.25">
      <c r="I2784" s="17"/>
      <c r="J2784" s="18"/>
    </row>
    <row r="2785" spans="9:10" x14ac:dyDescent="0.25">
      <c r="I2785" s="17"/>
      <c r="J2785" s="18"/>
    </row>
    <row r="2786" spans="9:10" x14ac:dyDescent="0.25">
      <c r="I2786" s="17"/>
      <c r="J2786" s="18"/>
    </row>
    <row r="2787" spans="9:10" x14ac:dyDescent="0.25">
      <c r="I2787" s="17"/>
      <c r="J2787" s="18"/>
    </row>
    <row r="2788" spans="9:10" x14ac:dyDescent="0.25">
      <c r="I2788" s="17"/>
      <c r="J2788" s="18"/>
    </row>
    <row r="2789" spans="9:10" x14ac:dyDescent="0.25">
      <c r="I2789" s="17"/>
      <c r="J2789" s="18"/>
    </row>
    <row r="2790" spans="9:10" x14ac:dyDescent="0.25">
      <c r="I2790" s="17"/>
      <c r="J2790" s="18"/>
    </row>
    <row r="2791" spans="9:10" x14ac:dyDescent="0.25">
      <c r="I2791" s="17"/>
      <c r="J2791" s="18"/>
    </row>
    <row r="2792" spans="9:10" x14ac:dyDescent="0.25">
      <c r="I2792" s="17"/>
      <c r="J2792" s="18"/>
    </row>
    <row r="2793" spans="9:10" x14ac:dyDescent="0.25">
      <c r="I2793" s="17"/>
      <c r="J2793" s="18"/>
    </row>
    <row r="2794" spans="9:10" x14ac:dyDescent="0.25">
      <c r="I2794" s="17"/>
      <c r="J2794" s="18"/>
    </row>
    <row r="2795" spans="9:10" x14ac:dyDescent="0.25">
      <c r="I2795" s="17"/>
      <c r="J2795" s="18"/>
    </row>
    <row r="2796" spans="9:10" x14ac:dyDescent="0.25">
      <c r="I2796" s="17"/>
      <c r="J2796" s="18"/>
    </row>
    <row r="2797" spans="9:10" x14ac:dyDescent="0.25">
      <c r="I2797" s="17"/>
      <c r="J2797" s="18"/>
    </row>
    <row r="2798" spans="9:10" x14ac:dyDescent="0.25">
      <c r="I2798" s="17"/>
      <c r="J2798" s="18"/>
    </row>
    <row r="2799" spans="9:10" x14ac:dyDescent="0.25">
      <c r="I2799" s="17"/>
      <c r="J2799" s="18"/>
    </row>
    <row r="2800" spans="9:10" x14ac:dyDescent="0.25">
      <c r="I2800" s="17"/>
      <c r="J2800" s="18"/>
    </row>
    <row r="2801" spans="9:10" x14ac:dyDescent="0.25">
      <c r="I2801" s="17"/>
      <c r="J2801" s="18"/>
    </row>
    <row r="2802" spans="9:10" x14ac:dyDescent="0.25">
      <c r="I2802" s="17"/>
      <c r="J2802" s="18"/>
    </row>
    <row r="2803" spans="9:10" x14ac:dyDescent="0.25">
      <c r="I2803" s="17"/>
      <c r="J2803" s="18"/>
    </row>
    <row r="2804" spans="9:10" x14ac:dyDescent="0.25">
      <c r="I2804" s="17"/>
      <c r="J2804" s="18"/>
    </row>
    <row r="2805" spans="9:10" x14ac:dyDescent="0.25">
      <c r="I2805" s="17"/>
      <c r="J2805" s="18"/>
    </row>
    <row r="2806" spans="9:10" x14ac:dyDescent="0.25">
      <c r="I2806" s="17"/>
      <c r="J2806" s="18"/>
    </row>
    <row r="2807" spans="9:10" x14ac:dyDescent="0.25">
      <c r="I2807" s="17"/>
      <c r="J2807" s="18"/>
    </row>
    <row r="2808" spans="9:10" x14ac:dyDescent="0.25">
      <c r="I2808" s="17"/>
      <c r="J2808" s="18"/>
    </row>
    <row r="2809" spans="9:10" x14ac:dyDescent="0.25">
      <c r="I2809" s="17"/>
      <c r="J2809" s="18"/>
    </row>
    <row r="2810" spans="9:10" x14ac:dyDescent="0.25">
      <c r="I2810" s="17"/>
      <c r="J2810" s="18"/>
    </row>
    <row r="2811" spans="9:10" x14ac:dyDescent="0.25">
      <c r="I2811" s="17"/>
      <c r="J2811" s="18"/>
    </row>
    <row r="2812" spans="9:10" x14ac:dyDescent="0.25">
      <c r="I2812" s="17"/>
      <c r="J2812" s="18"/>
    </row>
    <row r="2813" spans="9:10" x14ac:dyDescent="0.25">
      <c r="I2813" s="17"/>
      <c r="J2813" s="18"/>
    </row>
    <row r="2814" spans="9:10" x14ac:dyDescent="0.25">
      <c r="I2814" s="17"/>
      <c r="J2814" s="18"/>
    </row>
    <row r="2815" spans="9:10" x14ac:dyDescent="0.25">
      <c r="I2815" s="17"/>
      <c r="J2815" s="18"/>
    </row>
    <row r="2816" spans="9:10" x14ac:dyDescent="0.25">
      <c r="I2816" s="17"/>
      <c r="J2816" s="18"/>
    </row>
    <row r="2817" spans="9:10" x14ac:dyDescent="0.25">
      <c r="I2817" s="17"/>
      <c r="J2817" s="18"/>
    </row>
    <row r="2818" spans="9:10" x14ac:dyDescent="0.25">
      <c r="I2818" s="17"/>
      <c r="J2818" s="18"/>
    </row>
    <row r="2819" spans="9:10" x14ac:dyDescent="0.25">
      <c r="I2819" s="17"/>
      <c r="J2819" s="18"/>
    </row>
    <row r="2820" spans="9:10" x14ac:dyDescent="0.25">
      <c r="I2820" s="17"/>
      <c r="J2820" s="18"/>
    </row>
    <row r="2821" spans="9:10" x14ac:dyDescent="0.25">
      <c r="I2821" s="17"/>
      <c r="J2821" s="18"/>
    </row>
    <row r="2822" spans="9:10" x14ac:dyDescent="0.25">
      <c r="I2822" s="17"/>
      <c r="J2822" s="18"/>
    </row>
    <row r="2823" spans="9:10" x14ac:dyDescent="0.25">
      <c r="I2823" s="17"/>
      <c r="J2823" s="18"/>
    </row>
    <row r="2824" spans="9:10" x14ac:dyDescent="0.25">
      <c r="I2824" s="17"/>
      <c r="J2824" s="18"/>
    </row>
    <row r="2825" spans="9:10" x14ac:dyDescent="0.25">
      <c r="I2825" s="17"/>
      <c r="J2825" s="18"/>
    </row>
    <row r="2826" spans="9:10" x14ac:dyDescent="0.25">
      <c r="I2826" s="17"/>
      <c r="J2826" s="18"/>
    </row>
    <row r="2827" spans="9:10" x14ac:dyDescent="0.25">
      <c r="I2827" s="17"/>
      <c r="J2827" s="18"/>
    </row>
    <row r="2828" spans="9:10" x14ac:dyDescent="0.25">
      <c r="I2828" s="17"/>
      <c r="J2828" s="18"/>
    </row>
    <row r="2829" spans="9:10" x14ac:dyDescent="0.25">
      <c r="I2829" s="17"/>
      <c r="J2829" s="18"/>
    </row>
    <row r="2830" spans="9:10" x14ac:dyDescent="0.25">
      <c r="I2830" s="17"/>
      <c r="J2830" s="18"/>
    </row>
    <row r="2831" spans="9:10" x14ac:dyDescent="0.25">
      <c r="I2831" s="17"/>
      <c r="J2831" s="18"/>
    </row>
    <row r="2832" spans="9:10" x14ac:dyDescent="0.25">
      <c r="I2832" s="17"/>
      <c r="J2832" s="18"/>
    </row>
    <row r="2833" spans="9:10" x14ac:dyDescent="0.25">
      <c r="I2833" s="17"/>
      <c r="J2833" s="18"/>
    </row>
    <row r="2834" spans="9:10" x14ac:dyDescent="0.25">
      <c r="I2834" s="17"/>
      <c r="J2834" s="18"/>
    </row>
    <row r="2835" spans="9:10" x14ac:dyDescent="0.25">
      <c r="I2835" s="17"/>
      <c r="J2835" s="18"/>
    </row>
    <row r="2836" spans="9:10" x14ac:dyDescent="0.25">
      <c r="I2836" s="17"/>
      <c r="J2836" s="18"/>
    </row>
    <row r="2837" spans="9:10" x14ac:dyDescent="0.25">
      <c r="I2837" s="17"/>
      <c r="J2837" s="18"/>
    </row>
    <row r="2838" spans="9:10" x14ac:dyDescent="0.25">
      <c r="I2838" s="17"/>
      <c r="J2838" s="18"/>
    </row>
    <row r="2839" spans="9:10" x14ac:dyDescent="0.25">
      <c r="I2839" s="17"/>
      <c r="J2839" s="18"/>
    </row>
    <row r="2840" spans="9:10" x14ac:dyDescent="0.25">
      <c r="I2840" s="17"/>
      <c r="J2840" s="18"/>
    </row>
    <row r="2841" spans="9:10" x14ac:dyDescent="0.25">
      <c r="I2841" s="17"/>
      <c r="J2841" s="18"/>
    </row>
    <row r="2842" spans="9:10" x14ac:dyDescent="0.25">
      <c r="I2842" s="17"/>
      <c r="J2842" s="18"/>
    </row>
    <row r="2843" spans="9:10" x14ac:dyDescent="0.25">
      <c r="I2843" s="17"/>
      <c r="J2843" s="18"/>
    </row>
    <row r="2844" spans="9:10" x14ac:dyDescent="0.25">
      <c r="I2844" s="17"/>
      <c r="J2844" s="18"/>
    </row>
    <row r="2845" spans="9:10" x14ac:dyDescent="0.25">
      <c r="I2845" s="17"/>
      <c r="J2845" s="18"/>
    </row>
    <row r="2846" spans="9:10" x14ac:dyDescent="0.25">
      <c r="I2846" s="17"/>
      <c r="J2846" s="18"/>
    </row>
    <row r="2847" spans="9:10" x14ac:dyDescent="0.25">
      <c r="I2847" s="17"/>
      <c r="J2847" s="18"/>
    </row>
    <row r="2848" spans="9:10" x14ac:dyDescent="0.25">
      <c r="I2848" s="17"/>
      <c r="J2848" s="18"/>
    </row>
    <row r="2849" spans="9:10" x14ac:dyDescent="0.25">
      <c r="I2849" s="17"/>
      <c r="J2849" s="18"/>
    </row>
    <row r="2850" spans="9:10" x14ac:dyDescent="0.25">
      <c r="I2850" s="17"/>
      <c r="J2850" s="18"/>
    </row>
    <row r="2851" spans="9:10" x14ac:dyDescent="0.25">
      <c r="I2851" s="17"/>
      <c r="J2851" s="18"/>
    </row>
    <row r="2852" spans="9:10" x14ac:dyDescent="0.25">
      <c r="I2852" s="17"/>
      <c r="J2852" s="18"/>
    </row>
    <row r="2853" spans="9:10" x14ac:dyDescent="0.25">
      <c r="I2853" s="17"/>
      <c r="J2853" s="18"/>
    </row>
    <row r="2854" spans="9:10" x14ac:dyDescent="0.25">
      <c r="I2854" s="17"/>
      <c r="J2854" s="18"/>
    </row>
    <row r="2855" spans="9:10" x14ac:dyDescent="0.25">
      <c r="I2855" s="17"/>
      <c r="J2855" s="18"/>
    </row>
    <row r="2856" spans="9:10" x14ac:dyDescent="0.25">
      <c r="I2856" s="17"/>
      <c r="J2856" s="18"/>
    </row>
    <row r="2857" spans="9:10" x14ac:dyDescent="0.25">
      <c r="I2857" s="17"/>
      <c r="J2857" s="18"/>
    </row>
    <row r="2858" spans="9:10" x14ac:dyDescent="0.25">
      <c r="I2858" s="17"/>
      <c r="J2858" s="18"/>
    </row>
    <row r="2859" spans="9:10" x14ac:dyDescent="0.25">
      <c r="I2859" s="17"/>
      <c r="J2859" s="18"/>
    </row>
    <row r="2860" spans="9:10" x14ac:dyDescent="0.25">
      <c r="I2860" s="17"/>
      <c r="J2860" s="18"/>
    </row>
    <row r="2861" spans="9:10" x14ac:dyDescent="0.25">
      <c r="I2861" s="17"/>
      <c r="J2861" s="18"/>
    </row>
    <row r="2862" spans="9:10" x14ac:dyDescent="0.25">
      <c r="I2862" s="17"/>
      <c r="J2862" s="18"/>
    </row>
    <row r="2863" spans="9:10" x14ac:dyDescent="0.25">
      <c r="I2863" s="17"/>
      <c r="J2863" s="18"/>
    </row>
    <row r="2864" spans="9:10" x14ac:dyDescent="0.25">
      <c r="I2864" s="17"/>
      <c r="J2864" s="18"/>
    </row>
    <row r="2865" spans="9:10" x14ac:dyDescent="0.25">
      <c r="I2865" s="17"/>
      <c r="J2865" s="18"/>
    </row>
    <row r="2866" spans="9:10" x14ac:dyDescent="0.25">
      <c r="I2866" s="17"/>
      <c r="J2866" s="18"/>
    </row>
    <row r="2867" spans="9:10" x14ac:dyDescent="0.25">
      <c r="I2867" s="17"/>
      <c r="J2867" s="18"/>
    </row>
    <row r="2868" spans="9:10" x14ac:dyDescent="0.25">
      <c r="I2868" s="17"/>
      <c r="J2868" s="18"/>
    </row>
    <row r="2869" spans="9:10" x14ac:dyDescent="0.25">
      <c r="I2869" s="17"/>
      <c r="J2869" s="18"/>
    </row>
    <row r="2870" spans="9:10" x14ac:dyDescent="0.25">
      <c r="I2870" s="17"/>
      <c r="J2870" s="18"/>
    </row>
    <row r="2871" spans="9:10" x14ac:dyDescent="0.25">
      <c r="I2871" s="17"/>
      <c r="J2871" s="18"/>
    </row>
    <row r="2872" spans="9:10" x14ac:dyDescent="0.25">
      <c r="I2872" s="17"/>
      <c r="J2872" s="18"/>
    </row>
    <row r="2873" spans="9:10" x14ac:dyDescent="0.25">
      <c r="I2873" s="17"/>
      <c r="J2873" s="18"/>
    </row>
    <row r="2874" spans="9:10" x14ac:dyDescent="0.25">
      <c r="I2874" s="17"/>
      <c r="J2874" s="18"/>
    </row>
    <row r="2875" spans="9:10" x14ac:dyDescent="0.25">
      <c r="I2875" s="17"/>
      <c r="J2875" s="18"/>
    </row>
    <row r="2876" spans="9:10" x14ac:dyDescent="0.25">
      <c r="I2876" s="17"/>
      <c r="J2876" s="18"/>
    </row>
    <row r="2877" spans="9:10" x14ac:dyDescent="0.25">
      <c r="I2877" s="17"/>
      <c r="J2877" s="18"/>
    </row>
    <row r="2878" spans="9:10" x14ac:dyDescent="0.25">
      <c r="I2878" s="17"/>
      <c r="J2878" s="18"/>
    </row>
    <row r="2879" spans="9:10" x14ac:dyDescent="0.25">
      <c r="I2879" s="17"/>
      <c r="J2879" s="18"/>
    </row>
    <row r="2880" spans="9:10" x14ac:dyDescent="0.25">
      <c r="I2880" s="17"/>
      <c r="J2880" s="18"/>
    </row>
    <row r="2881" spans="9:10" x14ac:dyDescent="0.25">
      <c r="I2881" s="17"/>
      <c r="J2881" s="18"/>
    </row>
    <row r="2882" spans="9:10" x14ac:dyDescent="0.25">
      <c r="I2882" s="17"/>
      <c r="J2882" s="18"/>
    </row>
    <row r="2883" spans="9:10" x14ac:dyDescent="0.25">
      <c r="I2883" s="17"/>
      <c r="J2883" s="18"/>
    </row>
    <row r="2884" spans="9:10" x14ac:dyDescent="0.25">
      <c r="I2884" s="17"/>
      <c r="J2884" s="18"/>
    </row>
    <row r="2885" spans="9:10" x14ac:dyDescent="0.25">
      <c r="I2885" s="17"/>
      <c r="J2885" s="18"/>
    </row>
    <row r="2886" spans="9:10" x14ac:dyDescent="0.25">
      <c r="I2886" s="17"/>
      <c r="J2886" s="18"/>
    </row>
    <row r="2887" spans="9:10" x14ac:dyDescent="0.25">
      <c r="I2887" s="17"/>
      <c r="J2887" s="18"/>
    </row>
    <row r="2888" spans="9:10" x14ac:dyDescent="0.25">
      <c r="I2888" s="17"/>
      <c r="J2888" s="18"/>
    </row>
    <row r="2889" spans="9:10" x14ac:dyDescent="0.25">
      <c r="I2889" s="17"/>
      <c r="J2889" s="18"/>
    </row>
    <row r="2890" spans="9:10" x14ac:dyDescent="0.25">
      <c r="I2890" s="17"/>
      <c r="J2890" s="18"/>
    </row>
    <row r="2891" spans="9:10" x14ac:dyDescent="0.25">
      <c r="I2891" s="17"/>
      <c r="J2891" s="18"/>
    </row>
    <row r="2892" spans="9:10" x14ac:dyDescent="0.25">
      <c r="I2892" s="17"/>
      <c r="J2892" s="18"/>
    </row>
    <row r="2893" spans="9:10" x14ac:dyDescent="0.25">
      <c r="I2893" s="17"/>
      <c r="J2893" s="18"/>
    </row>
    <row r="2894" spans="9:10" x14ac:dyDescent="0.25">
      <c r="I2894" s="17"/>
      <c r="J2894" s="18"/>
    </row>
    <row r="2895" spans="9:10" x14ac:dyDescent="0.25">
      <c r="I2895" s="17"/>
      <c r="J2895" s="18"/>
    </row>
    <row r="2896" spans="9:10" x14ac:dyDescent="0.25">
      <c r="I2896" s="17"/>
      <c r="J2896" s="18"/>
    </row>
    <row r="2897" spans="9:10" x14ac:dyDescent="0.25">
      <c r="I2897" s="17"/>
      <c r="J2897" s="18"/>
    </row>
    <row r="2898" spans="9:10" x14ac:dyDescent="0.25">
      <c r="I2898" s="17"/>
      <c r="J2898" s="18"/>
    </row>
    <row r="2899" spans="9:10" x14ac:dyDescent="0.25">
      <c r="I2899" s="17"/>
      <c r="J2899" s="18"/>
    </row>
    <row r="2900" spans="9:10" x14ac:dyDescent="0.25">
      <c r="I2900" s="17"/>
      <c r="J2900" s="18"/>
    </row>
    <row r="2901" spans="9:10" x14ac:dyDescent="0.25">
      <c r="I2901" s="17"/>
      <c r="J2901" s="18"/>
    </row>
    <row r="2902" spans="9:10" x14ac:dyDescent="0.25">
      <c r="I2902" s="17"/>
      <c r="J2902" s="18"/>
    </row>
    <row r="2903" spans="9:10" x14ac:dyDescent="0.25">
      <c r="I2903" s="17"/>
      <c r="J2903" s="18"/>
    </row>
    <row r="2904" spans="9:10" x14ac:dyDescent="0.25">
      <c r="I2904" s="17"/>
      <c r="J2904" s="18"/>
    </row>
    <row r="2905" spans="9:10" x14ac:dyDescent="0.25">
      <c r="I2905" s="17"/>
      <c r="J2905" s="18"/>
    </row>
    <row r="2906" spans="9:10" x14ac:dyDescent="0.25">
      <c r="I2906" s="17"/>
      <c r="J2906" s="18"/>
    </row>
    <row r="2907" spans="9:10" x14ac:dyDescent="0.25">
      <c r="I2907" s="17"/>
      <c r="J2907" s="18"/>
    </row>
    <row r="2908" spans="9:10" x14ac:dyDescent="0.25">
      <c r="I2908" s="17"/>
      <c r="J2908" s="18"/>
    </row>
    <row r="2909" spans="9:10" x14ac:dyDescent="0.25">
      <c r="I2909" s="17"/>
      <c r="J2909" s="18"/>
    </row>
    <row r="2910" spans="9:10" x14ac:dyDescent="0.25">
      <c r="I2910" s="17"/>
      <c r="J2910" s="18"/>
    </row>
    <row r="2911" spans="9:10" x14ac:dyDescent="0.25">
      <c r="I2911" s="17"/>
      <c r="J2911" s="18"/>
    </row>
    <row r="2912" spans="9:10" x14ac:dyDescent="0.25">
      <c r="I2912" s="17"/>
      <c r="J2912" s="18"/>
    </row>
    <row r="2913" spans="9:10" x14ac:dyDescent="0.25">
      <c r="I2913" s="17"/>
      <c r="J2913" s="18"/>
    </row>
    <row r="2914" spans="9:10" x14ac:dyDescent="0.25">
      <c r="I2914" s="17"/>
      <c r="J2914" s="18"/>
    </row>
    <row r="2915" spans="9:10" x14ac:dyDescent="0.25">
      <c r="I2915" s="17"/>
      <c r="J2915" s="18"/>
    </row>
    <row r="2916" spans="9:10" x14ac:dyDescent="0.25">
      <c r="I2916" s="17"/>
      <c r="J2916" s="18"/>
    </row>
    <row r="2917" spans="9:10" x14ac:dyDescent="0.25">
      <c r="I2917" s="17"/>
      <c r="J2917" s="18"/>
    </row>
    <row r="2918" spans="9:10" x14ac:dyDescent="0.25">
      <c r="I2918" s="17"/>
      <c r="J2918" s="18"/>
    </row>
    <row r="2919" spans="9:10" x14ac:dyDescent="0.25">
      <c r="I2919" s="17"/>
      <c r="J2919" s="18"/>
    </row>
    <row r="2920" spans="9:10" x14ac:dyDescent="0.25">
      <c r="I2920" s="17"/>
      <c r="J2920" s="18"/>
    </row>
    <row r="2921" spans="9:10" x14ac:dyDescent="0.25">
      <c r="I2921" s="17"/>
      <c r="J2921" s="18"/>
    </row>
    <row r="2922" spans="9:10" x14ac:dyDescent="0.25">
      <c r="I2922" s="17"/>
      <c r="J2922" s="18"/>
    </row>
    <row r="2923" spans="9:10" x14ac:dyDescent="0.25">
      <c r="I2923" s="17"/>
      <c r="J2923" s="18"/>
    </row>
    <row r="2924" spans="9:10" x14ac:dyDescent="0.25">
      <c r="I2924" s="17"/>
      <c r="J2924" s="18"/>
    </row>
    <row r="2925" spans="9:10" x14ac:dyDescent="0.25">
      <c r="I2925" s="17"/>
      <c r="J2925" s="18"/>
    </row>
    <row r="2926" spans="9:10" x14ac:dyDescent="0.25">
      <c r="I2926" s="17"/>
      <c r="J2926" s="18"/>
    </row>
    <row r="2927" spans="9:10" x14ac:dyDescent="0.25">
      <c r="I2927" s="17"/>
      <c r="J2927" s="18"/>
    </row>
    <row r="2928" spans="9:10" x14ac:dyDescent="0.25">
      <c r="I2928" s="17"/>
      <c r="J2928" s="18"/>
    </row>
    <row r="2929" spans="9:10" x14ac:dyDescent="0.25">
      <c r="I2929" s="17"/>
      <c r="J2929" s="18"/>
    </row>
    <row r="2930" spans="9:10" x14ac:dyDescent="0.25">
      <c r="I2930" s="17"/>
      <c r="J2930" s="18"/>
    </row>
    <row r="2931" spans="9:10" x14ac:dyDescent="0.25">
      <c r="I2931" s="17"/>
      <c r="J2931" s="18"/>
    </row>
    <row r="2932" spans="9:10" x14ac:dyDescent="0.25">
      <c r="I2932" s="17"/>
      <c r="J2932" s="18"/>
    </row>
    <row r="2933" spans="9:10" x14ac:dyDescent="0.25">
      <c r="I2933" s="17"/>
      <c r="J2933" s="18"/>
    </row>
    <row r="2934" spans="9:10" x14ac:dyDescent="0.25">
      <c r="I2934" s="17"/>
      <c r="J2934" s="18"/>
    </row>
    <row r="2935" spans="9:10" x14ac:dyDescent="0.25">
      <c r="I2935" s="17"/>
      <c r="J2935" s="18"/>
    </row>
    <row r="2936" spans="9:10" x14ac:dyDescent="0.25">
      <c r="I2936" s="17"/>
      <c r="J2936" s="18"/>
    </row>
    <row r="2937" spans="9:10" x14ac:dyDescent="0.25">
      <c r="I2937" s="17"/>
      <c r="J2937" s="18"/>
    </row>
    <row r="2938" spans="9:10" x14ac:dyDescent="0.25">
      <c r="I2938" s="17"/>
      <c r="J2938" s="18"/>
    </row>
    <row r="2939" spans="9:10" x14ac:dyDescent="0.25">
      <c r="I2939" s="17"/>
      <c r="J2939" s="18"/>
    </row>
    <row r="2940" spans="9:10" x14ac:dyDescent="0.25">
      <c r="I2940" s="17"/>
      <c r="J2940" s="18"/>
    </row>
    <row r="2941" spans="9:10" x14ac:dyDescent="0.25">
      <c r="I2941" s="17"/>
      <c r="J2941" s="18"/>
    </row>
    <row r="2942" spans="9:10" x14ac:dyDescent="0.25">
      <c r="I2942" s="17"/>
      <c r="J2942" s="18"/>
    </row>
    <row r="2943" spans="9:10" x14ac:dyDescent="0.25">
      <c r="I2943" s="17"/>
      <c r="J2943" s="18"/>
    </row>
    <row r="2944" spans="9:10" x14ac:dyDescent="0.25">
      <c r="I2944" s="17"/>
      <c r="J2944" s="18"/>
    </row>
    <row r="2945" spans="9:10" x14ac:dyDescent="0.25">
      <c r="I2945" s="17"/>
      <c r="J2945" s="18"/>
    </row>
    <row r="2946" spans="9:10" x14ac:dyDescent="0.25">
      <c r="I2946" s="17"/>
      <c r="J2946" s="18"/>
    </row>
    <row r="2947" spans="9:10" x14ac:dyDescent="0.25">
      <c r="I2947" s="17"/>
      <c r="J2947" s="18"/>
    </row>
    <row r="2948" spans="9:10" x14ac:dyDescent="0.25">
      <c r="I2948" s="17"/>
      <c r="J2948" s="18"/>
    </row>
    <row r="2949" spans="9:10" x14ac:dyDescent="0.25">
      <c r="I2949" s="17"/>
      <c r="J2949" s="18"/>
    </row>
    <row r="2950" spans="9:10" x14ac:dyDescent="0.25">
      <c r="I2950" s="17"/>
      <c r="J2950" s="18"/>
    </row>
    <row r="2951" spans="9:10" x14ac:dyDescent="0.25">
      <c r="I2951" s="17"/>
      <c r="J2951" s="18"/>
    </row>
    <row r="2952" spans="9:10" x14ac:dyDescent="0.25">
      <c r="I2952" s="17"/>
      <c r="J2952" s="18"/>
    </row>
    <row r="2953" spans="9:10" x14ac:dyDescent="0.25">
      <c r="I2953" s="17"/>
      <c r="J2953" s="18"/>
    </row>
    <row r="2954" spans="9:10" x14ac:dyDescent="0.25">
      <c r="I2954" s="17"/>
      <c r="J2954" s="18"/>
    </row>
    <row r="2955" spans="9:10" x14ac:dyDescent="0.25">
      <c r="I2955" s="17"/>
      <c r="J2955" s="18"/>
    </row>
    <row r="2956" spans="9:10" x14ac:dyDescent="0.25">
      <c r="I2956" s="17"/>
      <c r="J2956" s="18"/>
    </row>
    <row r="2957" spans="9:10" x14ac:dyDescent="0.25">
      <c r="I2957" s="17"/>
      <c r="J2957" s="18"/>
    </row>
    <row r="2958" spans="9:10" x14ac:dyDescent="0.25">
      <c r="I2958" s="17"/>
      <c r="J2958" s="18"/>
    </row>
    <row r="2959" spans="9:10" x14ac:dyDescent="0.25">
      <c r="I2959" s="17"/>
      <c r="J2959" s="18"/>
    </row>
    <row r="2960" spans="9:10" x14ac:dyDescent="0.25">
      <c r="I2960" s="17"/>
      <c r="J2960" s="18"/>
    </row>
    <row r="2961" spans="9:10" x14ac:dyDescent="0.25">
      <c r="I2961" s="17"/>
      <c r="J2961" s="18"/>
    </row>
    <row r="2962" spans="9:10" x14ac:dyDescent="0.25">
      <c r="I2962" s="17"/>
      <c r="J2962" s="18"/>
    </row>
    <row r="2963" spans="9:10" x14ac:dyDescent="0.25">
      <c r="I2963" s="17"/>
      <c r="J2963" s="18"/>
    </row>
    <row r="2964" spans="9:10" x14ac:dyDescent="0.25">
      <c r="I2964" s="17"/>
      <c r="J2964" s="18"/>
    </row>
    <row r="2965" spans="9:10" x14ac:dyDescent="0.25">
      <c r="I2965" s="17"/>
      <c r="J2965" s="18"/>
    </row>
    <row r="2966" spans="9:10" x14ac:dyDescent="0.25">
      <c r="I2966" s="17"/>
      <c r="J2966" s="18"/>
    </row>
    <row r="2967" spans="9:10" x14ac:dyDescent="0.25">
      <c r="I2967" s="17"/>
      <c r="J2967" s="18"/>
    </row>
    <row r="2968" spans="9:10" x14ac:dyDescent="0.25">
      <c r="I2968" s="17"/>
      <c r="J2968" s="18"/>
    </row>
    <row r="2969" spans="9:10" x14ac:dyDescent="0.25">
      <c r="I2969" s="17"/>
      <c r="J2969" s="18"/>
    </row>
    <row r="2970" spans="9:10" x14ac:dyDescent="0.25">
      <c r="I2970" s="17"/>
      <c r="J2970" s="18"/>
    </row>
    <row r="2971" spans="9:10" x14ac:dyDescent="0.25">
      <c r="I2971" s="17"/>
      <c r="J2971" s="18"/>
    </row>
    <row r="2972" spans="9:10" x14ac:dyDescent="0.25">
      <c r="I2972" s="17"/>
      <c r="J2972" s="18"/>
    </row>
    <row r="2973" spans="9:10" x14ac:dyDescent="0.25">
      <c r="I2973" s="17"/>
      <c r="J2973" s="18"/>
    </row>
    <row r="2974" spans="9:10" x14ac:dyDescent="0.25">
      <c r="I2974" s="17"/>
      <c r="J2974" s="18"/>
    </row>
    <row r="2975" spans="9:10" x14ac:dyDescent="0.25">
      <c r="I2975" s="17"/>
      <c r="J2975" s="18"/>
    </row>
    <row r="2976" spans="9:10" x14ac:dyDescent="0.25">
      <c r="I2976" s="17"/>
      <c r="J2976" s="18"/>
    </row>
    <row r="2977" spans="9:10" x14ac:dyDescent="0.25">
      <c r="I2977" s="17"/>
      <c r="J2977" s="18"/>
    </row>
    <row r="2978" spans="9:10" x14ac:dyDescent="0.25">
      <c r="I2978" s="17"/>
      <c r="J2978" s="18"/>
    </row>
    <row r="2979" spans="9:10" x14ac:dyDescent="0.25">
      <c r="I2979" s="17"/>
      <c r="J2979" s="18"/>
    </row>
    <row r="2980" spans="9:10" x14ac:dyDescent="0.25">
      <c r="I2980" s="17"/>
      <c r="J2980" s="18"/>
    </row>
    <row r="2981" spans="9:10" x14ac:dyDescent="0.25">
      <c r="I2981" s="17"/>
      <c r="J2981" s="18"/>
    </row>
    <row r="2982" spans="9:10" x14ac:dyDescent="0.25">
      <c r="I2982" s="17"/>
      <c r="J2982" s="18"/>
    </row>
    <row r="2983" spans="9:10" x14ac:dyDescent="0.25">
      <c r="I2983" s="17"/>
      <c r="J2983" s="18"/>
    </row>
    <row r="2984" spans="9:10" x14ac:dyDescent="0.25">
      <c r="I2984" s="17"/>
      <c r="J2984" s="18"/>
    </row>
    <row r="2985" spans="9:10" x14ac:dyDescent="0.25">
      <c r="I2985" s="17"/>
      <c r="J2985" s="18"/>
    </row>
    <row r="2986" spans="9:10" x14ac:dyDescent="0.25">
      <c r="I2986" s="17"/>
      <c r="J2986" s="18"/>
    </row>
    <row r="2987" spans="9:10" x14ac:dyDescent="0.25">
      <c r="I2987" s="17"/>
      <c r="J2987" s="18"/>
    </row>
    <row r="2988" spans="9:10" x14ac:dyDescent="0.25">
      <c r="I2988" s="17"/>
      <c r="J2988" s="18"/>
    </row>
    <row r="2989" spans="9:10" x14ac:dyDescent="0.25">
      <c r="I2989" s="17"/>
      <c r="J2989" s="18"/>
    </row>
    <row r="2990" spans="9:10" x14ac:dyDescent="0.25">
      <c r="I2990" s="17"/>
      <c r="J2990" s="18"/>
    </row>
    <row r="2991" spans="9:10" x14ac:dyDescent="0.25">
      <c r="I2991" s="17"/>
      <c r="J2991" s="18"/>
    </row>
    <row r="2992" spans="9:10" x14ac:dyDescent="0.25">
      <c r="I2992" s="17"/>
      <c r="J2992" s="18"/>
    </row>
    <row r="2993" spans="9:10" x14ac:dyDescent="0.25">
      <c r="I2993" s="17"/>
      <c r="J2993" s="18"/>
    </row>
    <row r="2994" spans="9:10" x14ac:dyDescent="0.25">
      <c r="I2994" s="17"/>
      <c r="J2994" s="18"/>
    </row>
    <row r="2995" spans="9:10" x14ac:dyDescent="0.25">
      <c r="I2995" s="17"/>
      <c r="J2995" s="18"/>
    </row>
    <row r="2996" spans="9:10" x14ac:dyDescent="0.25">
      <c r="I2996" s="17"/>
      <c r="J2996" s="18"/>
    </row>
    <row r="2997" spans="9:10" x14ac:dyDescent="0.25">
      <c r="I2997" s="17"/>
      <c r="J2997" s="18"/>
    </row>
    <row r="2998" spans="9:10" x14ac:dyDescent="0.25">
      <c r="I2998" s="17"/>
      <c r="J2998" s="18"/>
    </row>
    <row r="2999" spans="9:10" x14ac:dyDescent="0.25">
      <c r="I2999" s="17"/>
      <c r="J2999" s="18"/>
    </row>
    <row r="3000" spans="9:10" x14ac:dyDescent="0.25">
      <c r="I3000" s="17"/>
      <c r="J3000" s="18"/>
    </row>
    <row r="3001" spans="9:10" x14ac:dyDescent="0.25">
      <c r="I3001" s="17"/>
      <c r="J3001" s="18"/>
    </row>
    <row r="3002" spans="9:10" x14ac:dyDescent="0.25">
      <c r="I3002" s="17"/>
      <c r="J3002" s="18"/>
    </row>
    <row r="3003" spans="9:10" x14ac:dyDescent="0.25">
      <c r="I3003" s="17"/>
      <c r="J3003" s="18"/>
    </row>
    <row r="3004" spans="9:10" x14ac:dyDescent="0.25">
      <c r="I3004" s="17"/>
      <c r="J3004" s="18"/>
    </row>
    <row r="3005" spans="9:10" x14ac:dyDescent="0.25">
      <c r="I3005" s="17"/>
      <c r="J3005" s="18"/>
    </row>
    <row r="3006" spans="9:10" x14ac:dyDescent="0.25">
      <c r="I3006" s="17"/>
      <c r="J3006" s="18"/>
    </row>
    <row r="3007" spans="9:10" x14ac:dyDescent="0.25">
      <c r="I3007" s="17"/>
      <c r="J3007" s="18"/>
    </row>
    <row r="3008" spans="9:10" x14ac:dyDescent="0.25">
      <c r="I3008" s="17"/>
      <c r="J3008" s="18"/>
    </row>
    <row r="3009" spans="9:10" x14ac:dyDescent="0.25">
      <c r="I3009" s="17"/>
      <c r="J3009" s="18"/>
    </row>
    <row r="3010" spans="9:10" x14ac:dyDescent="0.25">
      <c r="I3010" s="17"/>
      <c r="J3010" s="18"/>
    </row>
    <row r="3011" spans="9:10" x14ac:dyDescent="0.25">
      <c r="I3011" s="17"/>
      <c r="J3011" s="18"/>
    </row>
    <row r="3012" spans="9:10" x14ac:dyDescent="0.25">
      <c r="I3012" s="17"/>
      <c r="J3012" s="18"/>
    </row>
    <row r="3013" spans="9:10" x14ac:dyDescent="0.25">
      <c r="I3013" s="17"/>
      <c r="J3013" s="18"/>
    </row>
    <row r="3014" spans="9:10" x14ac:dyDescent="0.25">
      <c r="I3014" s="17"/>
      <c r="J3014" s="18"/>
    </row>
    <row r="3015" spans="9:10" x14ac:dyDescent="0.25">
      <c r="I3015" s="17"/>
      <c r="J3015" s="18"/>
    </row>
    <row r="3016" spans="9:10" x14ac:dyDescent="0.25">
      <c r="I3016" s="17"/>
      <c r="J3016" s="18"/>
    </row>
    <row r="3017" spans="9:10" x14ac:dyDescent="0.25">
      <c r="I3017" s="17"/>
      <c r="J3017" s="18"/>
    </row>
    <row r="3018" spans="9:10" x14ac:dyDescent="0.25">
      <c r="I3018" s="17"/>
      <c r="J3018" s="18"/>
    </row>
    <row r="3019" spans="9:10" x14ac:dyDescent="0.25">
      <c r="I3019" s="17"/>
      <c r="J3019" s="18"/>
    </row>
    <row r="3020" spans="9:10" x14ac:dyDescent="0.25">
      <c r="I3020" s="17"/>
      <c r="J3020" s="18"/>
    </row>
    <row r="3021" spans="9:10" x14ac:dyDescent="0.25">
      <c r="I3021" s="17"/>
      <c r="J3021" s="18"/>
    </row>
    <row r="3022" spans="9:10" x14ac:dyDescent="0.25">
      <c r="I3022" s="17"/>
      <c r="J3022" s="18"/>
    </row>
    <row r="3023" spans="9:10" x14ac:dyDescent="0.25">
      <c r="I3023" s="17"/>
      <c r="J3023" s="18"/>
    </row>
    <row r="3024" spans="9:10" x14ac:dyDescent="0.25">
      <c r="I3024" s="17"/>
      <c r="J3024" s="18"/>
    </row>
    <row r="3025" spans="9:10" x14ac:dyDescent="0.25">
      <c r="I3025" s="17"/>
      <c r="J3025" s="18"/>
    </row>
    <row r="3026" spans="9:10" x14ac:dyDescent="0.25">
      <c r="I3026" s="17"/>
      <c r="J3026" s="18"/>
    </row>
    <row r="3027" spans="9:10" x14ac:dyDescent="0.25">
      <c r="I3027" s="17"/>
      <c r="J3027" s="18"/>
    </row>
    <row r="3028" spans="9:10" x14ac:dyDescent="0.25">
      <c r="I3028" s="17"/>
      <c r="J3028" s="18"/>
    </row>
    <row r="3029" spans="9:10" x14ac:dyDescent="0.25">
      <c r="I3029" s="17"/>
      <c r="J3029" s="18"/>
    </row>
    <row r="3030" spans="9:10" x14ac:dyDescent="0.25">
      <c r="I3030" s="17"/>
      <c r="J3030" s="18"/>
    </row>
    <row r="3031" spans="9:10" x14ac:dyDescent="0.25">
      <c r="I3031" s="17"/>
      <c r="J3031" s="18"/>
    </row>
    <row r="3032" spans="9:10" x14ac:dyDescent="0.25">
      <c r="I3032" s="17"/>
      <c r="J3032" s="18"/>
    </row>
    <row r="3033" spans="9:10" x14ac:dyDescent="0.25">
      <c r="I3033" s="17"/>
      <c r="J3033" s="18"/>
    </row>
    <row r="3034" spans="9:10" x14ac:dyDescent="0.25">
      <c r="I3034" s="17"/>
      <c r="J3034" s="18"/>
    </row>
    <row r="3035" spans="9:10" x14ac:dyDescent="0.25">
      <c r="I3035" s="17"/>
      <c r="J3035" s="18"/>
    </row>
    <row r="3036" spans="9:10" x14ac:dyDescent="0.25">
      <c r="I3036" s="17"/>
      <c r="J3036" s="18"/>
    </row>
    <row r="3037" spans="9:10" x14ac:dyDescent="0.25">
      <c r="I3037" s="17"/>
      <c r="J3037" s="18"/>
    </row>
    <row r="3038" spans="9:10" x14ac:dyDescent="0.25">
      <c r="I3038" s="17"/>
      <c r="J3038" s="18"/>
    </row>
    <row r="3039" spans="9:10" x14ac:dyDescent="0.25">
      <c r="I3039" s="17"/>
      <c r="J3039" s="18"/>
    </row>
    <row r="3040" spans="9:10" x14ac:dyDescent="0.25">
      <c r="I3040" s="17"/>
      <c r="J3040" s="18"/>
    </row>
    <row r="3041" spans="9:10" x14ac:dyDescent="0.25">
      <c r="I3041" s="17"/>
      <c r="J3041" s="18"/>
    </row>
    <row r="3042" spans="9:10" x14ac:dyDescent="0.25">
      <c r="I3042" s="17"/>
      <c r="J3042" s="18"/>
    </row>
    <row r="3043" spans="9:10" x14ac:dyDescent="0.25">
      <c r="I3043" s="17"/>
      <c r="J3043" s="18"/>
    </row>
    <row r="3044" spans="9:10" x14ac:dyDescent="0.25">
      <c r="I3044" s="17"/>
      <c r="J3044" s="18"/>
    </row>
    <row r="3045" spans="9:10" x14ac:dyDescent="0.25">
      <c r="I3045" s="17"/>
      <c r="J3045" s="18"/>
    </row>
    <row r="3046" spans="9:10" x14ac:dyDescent="0.25">
      <c r="I3046" s="17"/>
      <c r="J3046" s="18"/>
    </row>
    <row r="3047" spans="9:10" x14ac:dyDescent="0.25">
      <c r="I3047" s="17"/>
      <c r="J3047" s="18"/>
    </row>
    <row r="3048" spans="9:10" x14ac:dyDescent="0.25">
      <c r="I3048" s="17"/>
      <c r="J3048" s="18"/>
    </row>
    <row r="3049" spans="9:10" x14ac:dyDescent="0.25">
      <c r="I3049" s="17"/>
      <c r="J3049" s="18"/>
    </row>
    <row r="3050" spans="9:10" x14ac:dyDescent="0.25">
      <c r="I3050" s="17"/>
      <c r="J3050" s="18"/>
    </row>
    <row r="3051" spans="9:10" x14ac:dyDescent="0.25">
      <c r="I3051" s="17"/>
      <c r="J3051" s="18"/>
    </row>
    <row r="3052" spans="9:10" x14ac:dyDescent="0.25">
      <c r="I3052" s="17"/>
      <c r="J3052" s="18"/>
    </row>
    <row r="3053" spans="9:10" x14ac:dyDescent="0.25">
      <c r="I3053" s="17"/>
      <c r="J3053" s="18"/>
    </row>
    <row r="3054" spans="9:10" x14ac:dyDescent="0.25">
      <c r="I3054" s="17"/>
      <c r="J3054" s="18"/>
    </row>
    <row r="3055" spans="9:10" x14ac:dyDescent="0.25">
      <c r="I3055" s="17"/>
      <c r="J3055" s="18"/>
    </row>
    <row r="3056" spans="9:10" x14ac:dyDescent="0.25">
      <c r="I3056" s="17"/>
      <c r="J3056" s="18"/>
    </row>
    <row r="3057" spans="9:10" x14ac:dyDescent="0.25">
      <c r="I3057" s="17"/>
      <c r="J3057" s="18"/>
    </row>
    <row r="3058" spans="9:10" x14ac:dyDescent="0.25">
      <c r="I3058" s="17"/>
      <c r="J3058" s="18"/>
    </row>
    <row r="3059" spans="9:10" x14ac:dyDescent="0.25">
      <c r="I3059" s="17"/>
      <c r="J3059" s="18"/>
    </row>
    <row r="3060" spans="9:10" x14ac:dyDescent="0.25">
      <c r="I3060" s="17"/>
      <c r="J3060" s="18"/>
    </row>
    <row r="3061" spans="9:10" x14ac:dyDescent="0.25">
      <c r="I3061" s="17"/>
      <c r="J3061" s="18"/>
    </row>
    <row r="3062" spans="9:10" x14ac:dyDescent="0.25">
      <c r="I3062" s="17"/>
      <c r="J3062" s="18"/>
    </row>
    <row r="3063" spans="9:10" x14ac:dyDescent="0.25">
      <c r="I3063" s="17"/>
      <c r="J3063" s="18"/>
    </row>
    <row r="3064" spans="9:10" x14ac:dyDescent="0.25">
      <c r="I3064" s="17"/>
      <c r="J3064" s="18"/>
    </row>
    <row r="3065" spans="9:10" x14ac:dyDescent="0.25">
      <c r="I3065" s="17"/>
      <c r="J3065" s="18"/>
    </row>
    <row r="3066" spans="9:10" x14ac:dyDescent="0.25">
      <c r="I3066" s="17"/>
      <c r="J3066" s="18"/>
    </row>
    <row r="3067" spans="9:10" x14ac:dyDescent="0.25">
      <c r="I3067" s="17"/>
      <c r="J3067" s="18"/>
    </row>
    <row r="3068" spans="9:10" x14ac:dyDescent="0.25">
      <c r="I3068" s="17"/>
      <c r="J3068" s="18"/>
    </row>
    <row r="3069" spans="9:10" x14ac:dyDescent="0.25">
      <c r="I3069" s="17"/>
      <c r="J3069" s="18"/>
    </row>
    <row r="3070" spans="9:10" x14ac:dyDescent="0.25">
      <c r="I3070" s="17"/>
      <c r="J3070" s="18"/>
    </row>
    <row r="3071" spans="9:10" x14ac:dyDescent="0.25">
      <c r="I3071" s="17"/>
      <c r="J3071" s="18"/>
    </row>
    <row r="3072" spans="9:10" x14ac:dyDescent="0.25">
      <c r="I3072" s="17"/>
      <c r="J3072" s="18"/>
    </row>
    <row r="3073" spans="9:10" x14ac:dyDescent="0.25">
      <c r="I3073" s="17"/>
      <c r="J3073" s="18"/>
    </row>
    <row r="3074" spans="9:10" x14ac:dyDescent="0.25">
      <c r="I3074" s="17"/>
      <c r="J3074" s="18"/>
    </row>
    <row r="3075" spans="9:10" x14ac:dyDescent="0.25">
      <c r="I3075" s="17"/>
      <c r="J3075" s="18"/>
    </row>
    <row r="3076" spans="9:10" x14ac:dyDescent="0.25">
      <c r="I3076" s="17"/>
      <c r="J3076" s="18"/>
    </row>
    <row r="3077" spans="9:10" x14ac:dyDescent="0.25">
      <c r="I3077" s="17"/>
      <c r="J3077" s="18"/>
    </row>
    <row r="3078" spans="9:10" x14ac:dyDescent="0.25">
      <c r="I3078" s="17"/>
      <c r="J3078" s="18"/>
    </row>
    <row r="3079" spans="9:10" x14ac:dyDescent="0.25">
      <c r="I3079" s="17"/>
      <c r="J3079" s="18"/>
    </row>
    <row r="3080" spans="9:10" x14ac:dyDescent="0.25">
      <c r="I3080" s="17"/>
      <c r="J3080" s="18"/>
    </row>
    <row r="3081" spans="9:10" x14ac:dyDescent="0.25">
      <c r="I3081" s="17"/>
      <c r="J3081" s="18"/>
    </row>
    <row r="3082" spans="9:10" x14ac:dyDescent="0.25">
      <c r="I3082" s="17"/>
      <c r="J3082" s="18"/>
    </row>
    <row r="3083" spans="9:10" x14ac:dyDescent="0.25">
      <c r="I3083" s="17"/>
      <c r="J3083" s="18"/>
    </row>
    <row r="3084" spans="9:10" x14ac:dyDescent="0.25">
      <c r="I3084" s="17"/>
      <c r="J3084" s="18"/>
    </row>
    <row r="3085" spans="9:10" x14ac:dyDescent="0.25">
      <c r="I3085" s="17"/>
      <c r="J3085" s="18"/>
    </row>
    <row r="3086" spans="9:10" x14ac:dyDescent="0.25">
      <c r="I3086" s="17"/>
      <c r="J3086" s="18"/>
    </row>
    <row r="3087" spans="9:10" x14ac:dyDescent="0.25">
      <c r="I3087" s="17"/>
      <c r="J3087" s="18"/>
    </row>
    <row r="3088" spans="9:10" x14ac:dyDescent="0.25">
      <c r="I3088" s="17"/>
      <c r="J3088" s="18"/>
    </row>
    <row r="3089" spans="9:10" x14ac:dyDescent="0.25">
      <c r="I3089" s="17"/>
      <c r="J3089" s="18"/>
    </row>
    <row r="3090" spans="9:10" x14ac:dyDescent="0.25">
      <c r="I3090" s="17"/>
      <c r="J3090" s="18"/>
    </row>
    <row r="3091" spans="9:10" x14ac:dyDescent="0.25">
      <c r="I3091" s="17"/>
      <c r="J3091" s="18"/>
    </row>
    <row r="3092" spans="9:10" x14ac:dyDescent="0.25">
      <c r="I3092" s="17"/>
      <c r="J3092" s="18"/>
    </row>
    <row r="3093" spans="9:10" x14ac:dyDescent="0.25">
      <c r="I3093" s="17"/>
      <c r="J3093" s="18"/>
    </row>
    <row r="3094" spans="9:10" x14ac:dyDescent="0.25">
      <c r="I3094" s="17"/>
      <c r="J3094" s="18"/>
    </row>
    <row r="3095" spans="9:10" x14ac:dyDescent="0.25">
      <c r="I3095" s="17"/>
      <c r="J3095" s="18"/>
    </row>
    <row r="3096" spans="9:10" x14ac:dyDescent="0.25">
      <c r="I3096" s="17"/>
      <c r="J3096" s="18"/>
    </row>
    <row r="3097" spans="9:10" x14ac:dyDescent="0.25">
      <c r="I3097" s="17"/>
      <c r="J3097" s="18"/>
    </row>
    <row r="3098" spans="9:10" x14ac:dyDescent="0.25">
      <c r="I3098" s="17"/>
      <c r="J3098" s="18"/>
    </row>
    <row r="3099" spans="9:10" x14ac:dyDescent="0.25">
      <c r="I3099" s="17"/>
      <c r="J3099" s="18"/>
    </row>
    <row r="3100" spans="9:10" x14ac:dyDescent="0.25">
      <c r="I3100" s="17"/>
      <c r="J3100" s="18"/>
    </row>
    <row r="3101" spans="9:10" x14ac:dyDescent="0.25">
      <c r="I3101" s="17"/>
      <c r="J3101" s="18"/>
    </row>
    <row r="3102" spans="9:10" x14ac:dyDescent="0.25">
      <c r="I3102" s="17"/>
      <c r="J3102" s="18"/>
    </row>
    <row r="3103" spans="9:10" x14ac:dyDescent="0.25">
      <c r="I3103" s="17"/>
      <c r="J3103" s="18"/>
    </row>
    <row r="3104" spans="9:10" x14ac:dyDescent="0.25">
      <c r="I3104" s="17"/>
      <c r="J3104" s="18"/>
    </row>
    <row r="3105" spans="9:10" x14ac:dyDescent="0.25">
      <c r="I3105" s="17"/>
      <c r="J3105" s="18"/>
    </row>
    <row r="3106" spans="9:10" x14ac:dyDescent="0.25">
      <c r="I3106" s="17"/>
      <c r="J3106" s="18"/>
    </row>
    <row r="3107" spans="9:10" x14ac:dyDescent="0.25">
      <c r="I3107" s="17"/>
      <c r="J3107" s="18"/>
    </row>
    <row r="3108" spans="9:10" x14ac:dyDescent="0.25">
      <c r="I3108" s="17"/>
      <c r="J3108" s="18"/>
    </row>
    <row r="3109" spans="9:10" x14ac:dyDescent="0.25">
      <c r="I3109" s="17"/>
      <c r="J3109" s="18"/>
    </row>
    <row r="3110" spans="9:10" x14ac:dyDescent="0.25">
      <c r="I3110" s="17"/>
      <c r="J3110" s="18"/>
    </row>
    <row r="3111" spans="9:10" x14ac:dyDescent="0.25">
      <c r="I3111" s="17"/>
      <c r="J3111" s="18"/>
    </row>
    <row r="3112" spans="9:10" x14ac:dyDescent="0.25">
      <c r="I3112" s="17"/>
      <c r="J3112" s="18"/>
    </row>
    <row r="3113" spans="9:10" x14ac:dyDescent="0.25">
      <c r="I3113" s="17"/>
      <c r="J3113" s="18"/>
    </row>
    <row r="3114" spans="9:10" x14ac:dyDescent="0.25">
      <c r="I3114" s="17"/>
      <c r="J3114" s="18"/>
    </row>
    <row r="3115" spans="9:10" x14ac:dyDescent="0.25">
      <c r="I3115" s="17"/>
      <c r="J3115" s="18"/>
    </row>
    <row r="3116" spans="9:10" x14ac:dyDescent="0.25">
      <c r="I3116" s="17"/>
      <c r="J3116" s="18"/>
    </row>
    <row r="3117" spans="9:10" x14ac:dyDescent="0.25">
      <c r="I3117" s="17"/>
      <c r="J3117" s="18"/>
    </row>
    <row r="3118" spans="9:10" x14ac:dyDescent="0.25">
      <c r="I3118" s="17"/>
      <c r="J3118" s="18"/>
    </row>
    <row r="3119" spans="9:10" x14ac:dyDescent="0.25">
      <c r="I3119" s="17"/>
      <c r="J3119" s="18"/>
    </row>
    <row r="3120" spans="9:10" x14ac:dyDescent="0.25">
      <c r="I3120" s="17"/>
      <c r="J3120" s="18"/>
    </row>
    <row r="3121" spans="9:10" x14ac:dyDescent="0.25">
      <c r="I3121" s="17"/>
      <c r="J3121" s="18"/>
    </row>
    <row r="3122" spans="9:10" x14ac:dyDescent="0.25">
      <c r="I3122" s="17"/>
      <c r="J3122" s="18"/>
    </row>
    <row r="3123" spans="9:10" x14ac:dyDescent="0.25">
      <c r="I3123" s="17"/>
      <c r="J3123" s="18"/>
    </row>
    <row r="3124" spans="9:10" x14ac:dyDescent="0.25">
      <c r="I3124" s="17"/>
      <c r="J3124" s="18"/>
    </row>
    <row r="3125" spans="9:10" x14ac:dyDescent="0.25">
      <c r="I3125" s="17"/>
      <c r="J3125" s="18"/>
    </row>
    <row r="3126" spans="9:10" x14ac:dyDescent="0.25">
      <c r="I3126" s="17"/>
      <c r="J3126" s="18"/>
    </row>
    <row r="3127" spans="9:10" x14ac:dyDescent="0.25">
      <c r="I3127" s="17"/>
      <c r="J3127" s="18"/>
    </row>
    <row r="3128" spans="9:10" x14ac:dyDescent="0.25">
      <c r="I3128" s="17"/>
      <c r="J3128" s="18"/>
    </row>
    <row r="3129" spans="9:10" x14ac:dyDescent="0.25">
      <c r="I3129" s="17"/>
      <c r="J3129" s="18"/>
    </row>
    <row r="3130" spans="9:10" x14ac:dyDescent="0.25">
      <c r="I3130" s="17"/>
      <c r="J3130" s="18"/>
    </row>
    <row r="3131" spans="9:10" x14ac:dyDescent="0.25">
      <c r="I3131" s="17"/>
      <c r="J3131" s="18"/>
    </row>
    <row r="3132" spans="9:10" x14ac:dyDescent="0.25">
      <c r="I3132" s="17"/>
      <c r="J3132" s="18"/>
    </row>
    <row r="3133" spans="9:10" x14ac:dyDescent="0.25">
      <c r="I3133" s="17"/>
      <c r="J3133" s="18"/>
    </row>
    <row r="3134" spans="9:10" x14ac:dyDescent="0.25">
      <c r="I3134" s="17"/>
      <c r="J3134" s="18"/>
    </row>
    <row r="3135" spans="9:10" x14ac:dyDescent="0.25">
      <c r="I3135" s="17"/>
      <c r="J3135" s="18"/>
    </row>
    <row r="3136" spans="9:10" x14ac:dyDescent="0.25">
      <c r="I3136" s="17"/>
      <c r="J3136" s="18"/>
    </row>
    <row r="3137" spans="9:10" x14ac:dyDescent="0.25">
      <c r="I3137" s="17"/>
      <c r="J3137" s="18"/>
    </row>
    <row r="3138" spans="9:10" x14ac:dyDescent="0.25">
      <c r="I3138" s="17"/>
      <c r="J3138" s="18"/>
    </row>
    <row r="3139" spans="9:10" x14ac:dyDescent="0.25">
      <c r="I3139" s="17"/>
      <c r="J3139" s="18"/>
    </row>
    <row r="3140" spans="9:10" x14ac:dyDescent="0.25">
      <c r="I3140" s="17"/>
      <c r="J3140" s="18"/>
    </row>
    <row r="3141" spans="9:10" x14ac:dyDescent="0.25">
      <c r="I3141" s="17"/>
      <c r="J3141" s="18"/>
    </row>
    <row r="3142" spans="9:10" x14ac:dyDescent="0.25">
      <c r="I3142" s="17"/>
      <c r="J3142" s="18"/>
    </row>
    <row r="3143" spans="9:10" x14ac:dyDescent="0.25">
      <c r="I3143" s="17"/>
      <c r="J3143" s="18"/>
    </row>
    <row r="3144" spans="9:10" x14ac:dyDescent="0.25">
      <c r="I3144" s="17"/>
      <c r="J3144" s="18"/>
    </row>
    <row r="3145" spans="9:10" x14ac:dyDescent="0.25">
      <c r="I3145" s="17"/>
      <c r="J3145" s="18"/>
    </row>
    <row r="3146" spans="9:10" x14ac:dyDescent="0.25">
      <c r="I3146" s="17"/>
      <c r="J3146" s="18"/>
    </row>
    <row r="3147" spans="9:10" x14ac:dyDescent="0.25">
      <c r="I3147" s="17"/>
      <c r="J3147" s="18"/>
    </row>
    <row r="3148" spans="9:10" x14ac:dyDescent="0.25">
      <c r="I3148" s="17"/>
      <c r="J3148" s="18"/>
    </row>
    <row r="3149" spans="9:10" x14ac:dyDescent="0.25">
      <c r="I3149" s="17"/>
      <c r="J3149" s="18"/>
    </row>
    <row r="3150" spans="9:10" x14ac:dyDescent="0.25">
      <c r="I3150" s="17"/>
      <c r="J3150" s="18"/>
    </row>
    <row r="3151" spans="9:10" x14ac:dyDescent="0.25">
      <c r="I3151" s="17"/>
      <c r="J3151" s="18"/>
    </row>
    <row r="3152" spans="9:10" x14ac:dyDescent="0.25">
      <c r="I3152" s="17"/>
      <c r="J3152" s="18"/>
    </row>
    <row r="3153" spans="9:10" x14ac:dyDescent="0.25">
      <c r="I3153" s="17"/>
      <c r="J3153" s="18"/>
    </row>
    <row r="3154" spans="9:10" x14ac:dyDescent="0.25">
      <c r="I3154" s="17"/>
      <c r="J3154" s="18"/>
    </row>
    <row r="3155" spans="9:10" x14ac:dyDescent="0.25">
      <c r="I3155" s="17"/>
      <c r="J3155" s="18"/>
    </row>
    <row r="3156" spans="9:10" x14ac:dyDescent="0.25">
      <c r="I3156" s="17"/>
      <c r="J3156" s="18"/>
    </row>
    <row r="3157" spans="9:10" x14ac:dyDescent="0.25">
      <c r="I3157" s="17"/>
      <c r="J3157" s="18"/>
    </row>
    <row r="3158" spans="9:10" x14ac:dyDescent="0.25">
      <c r="I3158" s="17"/>
      <c r="J3158" s="18"/>
    </row>
    <row r="3159" spans="9:10" x14ac:dyDescent="0.25">
      <c r="I3159" s="17"/>
      <c r="J3159" s="18"/>
    </row>
    <row r="3160" spans="9:10" x14ac:dyDescent="0.25">
      <c r="I3160" s="17"/>
      <c r="J3160" s="18"/>
    </row>
    <row r="3161" spans="9:10" x14ac:dyDescent="0.25">
      <c r="I3161" s="17"/>
      <c r="J3161" s="18"/>
    </row>
    <row r="3162" spans="9:10" x14ac:dyDescent="0.25">
      <c r="I3162" s="17"/>
      <c r="J3162" s="18"/>
    </row>
    <row r="3163" spans="9:10" x14ac:dyDescent="0.25">
      <c r="I3163" s="17"/>
      <c r="J3163" s="18"/>
    </row>
    <row r="3164" spans="9:10" x14ac:dyDescent="0.25">
      <c r="I3164" s="17"/>
      <c r="J3164" s="18"/>
    </row>
    <row r="3165" spans="9:10" x14ac:dyDescent="0.25">
      <c r="I3165" s="17"/>
      <c r="J3165" s="18"/>
    </row>
    <row r="3166" spans="9:10" x14ac:dyDescent="0.25">
      <c r="I3166" s="17"/>
      <c r="J3166" s="18"/>
    </row>
    <row r="3167" spans="9:10" x14ac:dyDescent="0.25">
      <c r="I3167" s="17"/>
      <c r="J3167" s="18"/>
    </row>
    <row r="3168" spans="9:10" x14ac:dyDescent="0.25">
      <c r="I3168" s="17"/>
      <c r="J3168" s="18"/>
    </row>
    <row r="3169" spans="9:10" x14ac:dyDescent="0.25">
      <c r="I3169" s="17"/>
      <c r="J3169" s="18"/>
    </row>
    <row r="3170" spans="9:10" x14ac:dyDescent="0.25">
      <c r="I3170" s="17"/>
      <c r="J3170" s="18"/>
    </row>
    <row r="3171" spans="9:10" x14ac:dyDescent="0.25">
      <c r="I3171" s="17"/>
      <c r="J3171" s="18"/>
    </row>
    <row r="3172" spans="9:10" x14ac:dyDescent="0.25">
      <c r="I3172" s="17"/>
      <c r="J3172" s="18"/>
    </row>
    <row r="3173" spans="9:10" x14ac:dyDescent="0.25">
      <c r="I3173" s="17"/>
      <c r="J3173" s="18"/>
    </row>
    <row r="3174" spans="9:10" x14ac:dyDescent="0.25">
      <c r="I3174" s="17"/>
      <c r="J3174" s="18"/>
    </row>
    <row r="3175" spans="9:10" x14ac:dyDescent="0.25">
      <c r="I3175" s="17"/>
      <c r="J3175" s="18"/>
    </row>
    <row r="3176" spans="9:10" x14ac:dyDescent="0.25">
      <c r="I3176" s="17"/>
      <c r="J3176" s="18"/>
    </row>
    <row r="3177" spans="9:10" x14ac:dyDescent="0.25">
      <c r="I3177" s="17"/>
      <c r="J3177" s="18"/>
    </row>
    <row r="3178" spans="9:10" x14ac:dyDescent="0.25">
      <c r="I3178" s="17"/>
      <c r="J3178" s="18"/>
    </row>
    <row r="3179" spans="9:10" x14ac:dyDescent="0.25">
      <c r="I3179" s="17"/>
      <c r="J3179" s="18"/>
    </row>
    <row r="3180" spans="9:10" x14ac:dyDescent="0.25">
      <c r="I3180" s="17"/>
      <c r="J3180" s="18"/>
    </row>
    <row r="3181" spans="9:10" x14ac:dyDescent="0.25">
      <c r="I3181" s="17"/>
      <c r="J3181" s="18"/>
    </row>
    <row r="3182" spans="9:10" x14ac:dyDescent="0.25">
      <c r="I3182" s="17"/>
      <c r="J3182" s="18"/>
    </row>
    <row r="3183" spans="9:10" x14ac:dyDescent="0.25">
      <c r="I3183" s="17"/>
      <c r="J3183" s="18"/>
    </row>
    <row r="3184" spans="9:10" x14ac:dyDescent="0.25">
      <c r="I3184" s="17"/>
      <c r="J3184" s="18"/>
    </row>
    <row r="3185" spans="9:10" x14ac:dyDescent="0.25">
      <c r="I3185" s="17"/>
      <c r="J3185" s="18"/>
    </row>
    <row r="3186" spans="9:10" x14ac:dyDescent="0.25">
      <c r="I3186" s="17"/>
      <c r="J3186" s="18"/>
    </row>
    <row r="3187" spans="9:10" x14ac:dyDescent="0.25">
      <c r="I3187" s="17"/>
      <c r="J3187" s="18"/>
    </row>
    <row r="3188" spans="9:10" x14ac:dyDescent="0.25">
      <c r="I3188" s="17"/>
      <c r="J3188" s="18"/>
    </row>
    <row r="3189" spans="9:10" x14ac:dyDescent="0.25">
      <c r="I3189" s="17"/>
      <c r="J3189" s="18"/>
    </row>
    <row r="3190" spans="9:10" x14ac:dyDescent="0.25">
      <c r="I3190" s="17"/>
      <c r="J3190" s="18"/>
    </row>
    <row r="3191" spans="9:10" x14ac:dyDescent="0.25">
      <c r="I3191" s="17"/>
      <c r="J3191" s="18"/>
    </row>
    <row r="3192" spans="9:10" x14ac:dyDescent="0.25">
      <c r="I3192" s="17"/>
      <c r="J3192" s="18"/>
    </row>
    <row r="3193" spans="9:10" x14ac:dyDescent="0.25">
      <c r="I3193" s="17"/>
      <c r="J3193" s="18"/>
    </row>
    <row r="3194" spans="9:10" x14ac:dyDescent="0.25">
      <c r="I3194" s="17"/>
      <c r="J3194" s="18"/>
    </row>
    <row r="3195" spans="9:10" x14ac:dyDescent="0.25">
      <c r="I3195" s="17"/>
      <c r="J3195" s="18"/>
    </row>
    <row r="3196" spans="9:10" x14ac:dyDescent="0.25">
      <c r="I3196" s="17"/>
      <c r="J3196" s="18"/>
    </row>
    <row r="3197" spans="9:10" x14ac:dyDescent="0.25">
      <c r="I3197" s="17"/>
      <c r="J3197" s="18"/>
    </row>
    <row r="3198" spans="9:10" x14ac:dyDescent="0.25">
      <c r="I3198" s="17"/>
      <c r="J3198" s="18"/>
    </row>
    <row r="3199" spans="9:10" x14ac:dyDescent="0.25">
      <c r="I3199" s="17"/>
      <c r="J3199" s="18"/>
    </row>
    <row r="3200" spans="9:10" x14ac:dyDescent="0.25">
      <c r="I3200" s="17"/>
      <c r="J3200" s="18"/>
    </row>
    <row r="3201" spans="9:10" x14ac:dyDescent="0.25">
      <c r="I3201" s="17"/>
      <c r="J3201" s="18"/>
    </row>
    <row r="3202" spans="9:10" x14ac:dyDescent="0.25">
      <c r="I3202" s="17"/>
      <c r="J3202" s="18"/>
    </row>
    <row r="3203" spans="9:10" x14ac:dyDescent="0.25">
      <c r="I3203" s="17"/>
      <c r="J3203" s="18"/>
    </row>
    <row r="3204" spans="9:10" x14ac:dyDescent="0.25">
      <c r="I3204" s="17"/>
      <c r="J3204" s="18"/>
    </row>
    <row r="3205" spans="9:10" x14ac:dyDescent="0.25">
      <c r="I3205" s="17"/>
      <c r="J3205" s="18"/>
    </row>
    <row r="3206" spans="9:10" x14ac:dyDescent="0.25">
      <c r="I3206" s="17"/>
      <c r="J3206" s="18"/>
    </row>
    <row r="3207" spans="9:10" x14ac:dyDescent="0.25">
      <c r="I3207" s="17"/>
      <c r="J3207" s="18"/>
    </row>
    <row r="3208" spans="9:10" x14ac:dyDescent="0.25">
      <c r="I3208" s="17"/>
      <c r="J3208" s="18"/>
    </row>
    <row r="3209" spans="9:10" x14ac:dyDescent="0.25">
      <c r="I3209" s="17"/>
      <c r="J3209" s="18"/>
    </row>
    <row r="3210" spans="9:10" x14ac:dyDescent="0.25">
      <c r="I3210" s="17"/>
      <c r="J3210" s="18"/>
    </row>
    <row r="3211" spans="9:10" x14ac:dyDescent="0.25">
      <c r="I3211" s="17"/>
      <c r="J3211" s="18"/>
    </row>
    <row r="3212" spans="9:10" x14ac:dyDescent="0.25">
      <c r="I3212" s="17"/>
      <c r="J3212" s="18"/>
    </row>
    <row r="3213" spans="9:10" x14ac:dyDescent="0.25">
      <c r="I3213" s="17"/>
      <c r="J3213" s="18"/>
    </row>
    <row r="3214" spans="9:10" x14ac:dyDescent="0.25">
      <c r="I3214" s="17"/>
      <c r="J3214" s="18"/>
    </row>
    <row r="3215" spans="9:10" x14ac:dyDescent="0.25">
      <c r="I3215" s="17"/>
      <c r="J3215" s="18"/>
    </row>
    <row r="3216" spans="9:10" x14ac:dyDescent="0.25">
      <c r="I3216" s="17"/>
      <c r="J3216" s="18"/>
    </row>
    <row r="3217" spans="9:10" x14ac:dyDescent="0.25">
      <c r="I3217" s="17"/>
      <c r="J3217" s="18"/>
    </row>
    <row r="3218" spans="9:10" x14ac:dyDescent="0.25">
      <c r="I3218" s="17"/>
      <c r="J3218" s="18"/>
    </row>
    <row r="3219" spans="9:10" x14ac:dyDescent="0.25">
      <c r="I3219" s="17"/>
      <c r="J3219" s="18"/>
    </row>
    <row r="3220" spans="9:10" x14ac:dyDescent="0.25">
      <c r="I3220" s="17"/>
      <c r="J3220" s="18"/>
    </row>
    <row r="3221" spans="9:10" x14ac:dyDescent="0.25">
      <c r="I3221" s="17"/>
      <c r="J3221" s="18"/>
    </row>
    <row r="3222" spans="9:10" x14ac:dyDescent="0.25">
      <c r="I3222" s="17"/>
      <c r="J3222" s="18"/>
    </row>
    <row r="3223" spans="9:10" x14ac:dyDescent="0.25">
      <c r="I3223" s="17"/>
      <c r="J3223" s="18"/>
    </row>
    <row r="3224" spans="9:10" x14ac:dyDescent="0.25">
      <c r="I3224" s="17"/>
      <c r="J3224" s="18"/>
    </row>
    <row r="3225" spans="9:10" x14ac:dyDescent="0.25">
      <c r="I3225" s="17"/>
      <c r="J3225" s="18"/>
    </row>
    <row r="3226" spans="9:10" x14ac:dyDescent="0.25">
      <c r="I3226" s="17"/>
      <c r="J3226" s="18"/>
    </row>
    <row r="3227" spans="9:10" x14ac:dyDescent="0.25">
      <c r="I3227" s="17"/>
      <c r="J3227" s="18"/>
    </row>
    <row r="3228" spans="9:10" x14ac:dyDescent="0.25">
      <c r="I3228" s="17"/>
      <c r="J3228" s="18"/>
    </row>
    <row r="3229" spans="9:10" x14ac:dyDescent="0.25">
      <c r="I3229" s="17"/>
      <c r="J3229" s="18"/>
    </row>
    <row r="3230" spans="9:10" x14ac:dyDescent="0.25">
      <c r="I3230" s="17"/>
      <c r="J3230" s="18"/>
    </row>
    <row r="3231" spans="9:10" x14ac:dyDescent="0.25">
      <c r="I3231" s="17"/>
      <c r="J3231" s="18"/>
    </row>
    <row r="3232" spans="9:10" x14ac:dyDescent="0.25">
      <c r="I3232" s="17"/>
      <c r="J3232" s="18"/>
    </row>
    <row r="3233" spans="9:10" x14ac:dyDescent="0.25">
      <c r="I3233" s="17"/>
      <c r="J3233" s="18"/>
    </row>
    <row r="3234" spans="9:10" x14ac:dyDescent="0.25">
      <c r="I3234" s="17"/>
      <c r="J3234" s="18"/>
    </row>
    <row r="3235" spans="9:10" x14ac:dyDescent="0.25">
      <c r="I3235" s="17"/>
      <c r="J3235" s="18"/>
    </row>
    <row r="3236" spans="9:10" x14ac:dyDescent="0.25">
      <c r="I3236" s="17"/>
      <c r="J3236" s="18"/>
    </row>
    <row r="3237" spans="9:10" x14ac:dyDescent="0.25">
      <c r="I3237" s="17"/>
      <c r="J3237" s="18"/>
    </row>
    <row r="3238" spans="9:10" x14ac:dyDescent="0.25">
      <c r="I3238" s="17"/>
      <c r="J3238" s="18"/>
    </row>
    <row r="3239" spans="9:10" x14ac:dyDescent="0.25">
      <c r="I3239" s="17"/>
      <c r="J3239" s="18"/>
    </row>
    <row r="3240" spans="9:10" x14ac:dyDescent="0.25">
      <c r="I3240" s="17"/>
      <c r="J3240" s="18"/>
    </row>
    <row r="3241" spans="9:10" x14ac:dyDescent="0.25">
      <c r="I3241" s="17"/>
      <c r="J3241" s="18"/>
    </row>
    <row r="3242" spans="9:10" x14ac:dyDescent="0.25">
      <c r="I3242" s="17"/>
      <c r="J3242" s="18"/>
    </row>
    <row r="3243" spans="9:10" x14ac:dyDescent="0.25">
      <c r="I3243" s="17"/>
      <c r="J3243" s="18"/>
    </row>
    <row r="3244" spans="9:10" x14ac:dyDescent="0.25">
      <c r="I3244" s="17"/>
      <c r="J3244" s="18"/>
    </row>
    <row r="3245" spans="9:10" x14ac:dyDescent="0.25">
      <c r="I3245" s="17"/>
      <c r="J3245" s="18"/>
    </row>
    <row r="3246" spans="9:10" x14ac:dyDescent="0.25">
      <c r="I3246" s="17"/>
      <c r="J3246" s="18"/>
    </row>
    <row r="3247" spans="9:10" x14ac:dyDescent="0.25">
      <c r="I3247" s="17"/>
      <c r="J3247" s="18"/>
    </row>
    <row r="3248" spans="9:10" x14ac:dyDescent="0.25">
      <c r="I3248" s="17"/>
      <c r="J3248" s="18"/>
    </row>
    <row r="3249" spans="9:10" x14ac:dyDescent="0.25">
      <c r="I3249" s="17"/>
      <c r="J3249" s="18"/>
    </row>
    <row r="3250" spans="9:10" x14ac:dyDescent="0.25">
      <c r="I3250" s="17"/>
      <c r="J3250" s="18"/>
    </row>
    <row r="3251" spans="9:10" x14ac:dyDescent="0.25">
      <c r="I3251" s="17"/>
      <c r="J3251" s="18"/>
    </row>
    <row r="3252" spans="9:10" x14ac:dyDescent="0.25">
      <c r="I3252" s="17"/>
      <c r="J3252" s="18"/>
    </row>
    <row r="3253" spans="9:10" x14ac:dyDescent="0.25">
      <c r="I3253" s="17"/>
      <c r="J3253" s="18"/>
    </row>
    <row r="3254" spans="9:10" x14ac:dyDescent="0.25">
      <c r="I3254" s="17"/>
      <c r="J3254" s="18"/>
    </row>
    <row r="3255" spans="9:10" x14ac:dyDescent="0.25">
      <c r="I3255" s="17"/>
      <c r="J3255" s="18"/>
    </row>
    <row r="3256" spans="9:10" x14ac:dyDescent="0.25">
      <c r="I3256" s="17"/>
      <c r="J3256" s="18"/>
    </row>
    <row r="3257" spans="9:10" x14ac:dyDescent="0.25">
      <c r="I3257" s="17"/>
      <c r="J3257" s="18"/>
    </row>
    <row r="3258" spans="9:10" x14ac:dyDescent="0.25">
      <c r="I3258" s="17"/>
      <c r="J3258" s="18"/>
    </row>
    <row r="3259" spans="9:10" x14ac:dyDescent="0.25">
      <c r="I3259" s="17"/>
      <c r="J3259" s="18"/>
    </row>
    <row r="3260" spans="9:10" x14ac:dyDescent="0.25">
      <c r="I3260" s="17"/>
      <c r="J3260" s="18"/>
    </row>
    <row r="3261" spans="9:10" x14ac:dyDescent="0.25">
      <c r="I3261" s="17"/>
      <c r="J3261" s="18"/>
    </row>
    <row r="3262" spans="9:10" x14ac:dyDescent="0.25">
      <c r="I3262" s="17"/>
      <c r="J3262" s="18"/>
    </row>
    <row r="3263" spans="9:10" x14ac:dyDescent="0.25">
      <c r="I3263" s="17"/>
      <c r="J3263" s="18"/>
    </row>
    <row r="3264" spans="9:10" x14ac:dyDescent="0.25">
      <c r="I3264" s="17"/>
      <c r="J3264" s="18"/>
    </row>
    <row r="3265" spans="9:10" x14ac:dyDescent="0.25">
      <c r="I3265" s="17"/>
      <c r="J3265" s="18"/>
    </row>
    <row r="3266" spans="9:10" x14ac:dyDescent="0.25">
      <c r="I3266" s="17"/>
      <c r="J3266" s="18"/>
    </row>
    <row r="3267" spans="9:10" x14ac:dyDescent="0.25">
      <c r="I3267" s="17"/>
      <c r="J3267" s="18"/>
    </row>
    <row r="3268" spans="9:10" x14ac:dyDescent="0.25">
      <c r="I3268" s="17"/>
      <c r="J3268" s="18"/>
    </row>
    <row r="3269" spans="9:10" x14ac:dyDescent="0.25">
      <c r="I3269" s="17"/>
      <c r="J3269" s="18"/>
    </row>
    <row r="3270" spans="9:10" x14ac:dyDescent="0.25">
      <c r="I3270" s="17"/>
      <c r="J3270" s="18"/>
    </row>
    <row r="3271" spans="9:10" x14ac:dyDescent="0.25">
      <c r="I3271" s="17"/>
      <c r="J3271" s="18"/>
    </row>
    <row r="3272" spans="9:10" x14ac:dyDescent="0.25">
      <c r="I3272" s="17"/>
      <c r="J3272" s="18"/>
    </row>
    <row r="3273" spans="9:10" x14ac:dyDescent="0.25">
      <c r="I3273" s="17"/>
      <c r="J3273" s="18"/>
    </row>
    <row r="3274" spans="9:10" x14ac:dyDescent="0.25">
      <c r="I3274" s="17"/>
      <c r="J3274" s="18"/>
    </row>
    <row r="3275" spans="9:10" x14ac:dyDescent="0.25">
      <c r="I3275" s="17"/>
      <c r="J3275" s="18"/>
    </row>
    <row r="3276" spans="9:10" x14ac:dyDescent="0.25">
      <c r="I3276" s="17"/>
      <c r="J3276" s="18"/>
    </row>
    <row r="3277" spans="9:10" x14ac:dyDescent="0.25">
      <c r="I3277" s="17"/>
      <c r="J3277" s="18"/>
    </row>
    <row r="3278" spans="9:10" x14ac:dyDescent="0.25">
      <c r="I3278" s="17"/>
      <c r="J3278" s="18"/>
    </row>
    <row r="3279" spans="9:10" x14ac:dyDescent="0.25">
      <c r="I3279" s="17"/>
      <c r="J3279" s="18"/>
    </row>
    <row r="3280" spans="9:10" x14ac:dyDescent="0.25">
      <c r="I3280" s="17"/>
      <c r="J3280" s="18"/>
    </row>
    <row r="3281" spans="9:10" x14ac:dyDescent="0.25">
      <c r="I3281" s="17"/>
      <c r="J3281" s="18"/>
    </row>
    <row r="3282" spans="9:10" x14ac:dyDescent="0.25">
      <c r="I3282" s="17"/>
      <c r="J3282" s="18"/>
    </row>
    <row r="3283" spans="9:10" x14ac:dyDescent="0.25">
      <c r="I3283" s="17"/>
      <c r="J3283" s="18"/>
    </row>
    <row r="3284" spans="9:10" x14ac:dyDescent="0.25">
      <c r="I3284" s="17"/>
      <c r="J3284" s="18"/>
    </row>
    <row r="3285" spans="9:10" x14ac:dyDescent="0.25">
      <c r="I3285" s="17"/>
      <c r="J3285" s="18"/>
    </row>
    <row r="3286" spans="9:10" x14ac:dyDescent="0.25">
      <c r="I3286" s="17"/>
      <c r="J3286" s="18"/>
    </row>
    <row r="3287" spans="9:10" x14ac:dyDescent="0.25">
      <c r="I3287" s="17"/>
      <c r="J3287" s="18"/>
    </row>
    <row r="3288" spans="9:10" x14ac:dyDescent="0.25">
      <c r="I3288" s="17"/>
      <c r="J3288" s="18"/>
    </row>
    <row r="3289" spans="9:10" x14ac:dyDescent="0.25">
      <c r="I3289" s="17"/>
      <c r="J3289" s="18"/>
    </row>
    <row r="3290" spans="9:10" x14ac:dyDescent="0.25">
      <c r="I3290" s="17"/>
      <c r="J3290" s="18"/>
    </row>
    <row r="3291" spans="9:10" x14ac:dyDescent="0.25">
      <c r="I3291" s="17"/>
      <c r="J3291" s="18"/>
    </row>
    <row r="3292" spans="9:10" x14ac:dyDescent="0.25">
      <c r="I3292" s="17"/>
      <c r="J3292" s="18"/>
    </row>
    <row r="3293" spans="9:10" x14ac:dyDescent="0.25">
      <c r="I3293" s="17"/>
      <c r="J3293" s="18"/>
    </row>
    <row r="3294" spans="9:10" x14ac:dyDescent="0.25">
      <c r="I3294" s="17"/>
      <c r="J3294" s="18"/>
    </row>
    <row r="3295" spans="9:10" x14ac:dyDescent="0.25">
      <c r="I3295" s="17"/>
      <c r="J3295" s="18"/>
    </row>
    <row r="3296" spans="9:10" x14ac:dyDescent="0.25">
      <c r="I3296" s="17"/>
      <c r="J3296" s="18"/>
    </row>
    <row r="3297" spans="9:10" x14ac:dyDescent="0.25">
      <c r="I3297" s="17"/>
      <c r="J3297" s="18"/>
    </row>
    <row r="3298" spans="9:10" x14ac:dyDescent="0.25">
      <c r="I3298" s="17"/>
      <c r="J3298" s="18"/>
    </row>
    <row r="3299" spans="9:10" x14ac:dyDescent="0.25">
      <c r="I3299" s="17"/>
      <c r="J3299" s="18"/>
    </row>
    <row r="3300" spans="9:10" x14ac:dyDescent="0.25">
      <c r="I3300" s="17"/>
      <c r="J3300" s="18"/>
    </row>
    <row r="3301" spans="9:10" x14ac:dyDescent="0.25">
      <c r="I3301" s="17"/>
      <c r="J3301" s="18"/>
    </row>
    <row r="3302" spans="9:10" x14ac:dyDescent="0.25">
      <c r="I3302" s="17"/>
      <c r="J3302" s="18"/>
    </row>
    <row r="3303" spans="9:10" x14ac:dyDescent="0.25">
      <c r="I3303" s="17"/>
      <c r="J3303" s="18"/>
    </row>
    <row r="3304" spans="9:10" x14ac:dyDescent="0.25">
      <c r="I3304" s="17"/>
      <c r="J3304" s="18"/>
    </row>
    <row r="3305" spans="9:10" x14ac:dyDescent="0.25">
      <c r="I3305" s="17"/>
      <c r="J3305" s="18"/>
    </row>
    <row r="3306" spans="9:10" x14ac:dyDescent="0.25">
      <c r="I3306" s="17"/>
      <c r="J3306" s="18"/>
    </row>
    <row r="3307" spans="9:10" x14ac:dyDescent="0.25">
      <c r="I3307" s="17"/>
      <c r="J3307" s="18"/>
    </row>
    <row r="3308" spans="9:10" x14ac:dyDescent="0.25">
      <c r="I3308" s="17"/>
      <c r="J3308" s="18"/>
    </row>
    <row r="3309" spans="9:10" x14ac:dyDescent="0.25">
      <c r="I3309" s="17"/>
      <c r="J3309" s="18"/>
    </row>
    <row r="3310" spans="9:10" x14ac:dyDescent="0.25">
      <c r="I3310" s="17"/>
      <c r="J3310" s="18"/>
    </row>
    <row r="3311" spans="9:10" x14ac:dyDescent="0.25">
      <c r="I3311" s="17"/>
      <c r="J3311" s="18"/>
    </row>
    <row r="3312" spans="9:10" x14ac:dyDescent="0.25">
      <c r="I3312" s="17"/>
      <c r="J3312" s="18"/>
    </row>
    <row r="3313" spans="9:10" x14ac:dyDescent="0.25">
      <c r="I3313" s="17"/>
      <c r="J3313" s="18"/>
    </row>
    <row r="3314" spans="9:10" x14ac:dyDescent="0.25">
      <c r="I3314" s="17"/>
      <c r="J3314" s="18"/>
    </row>
    <row r="3315" spans="9:10" x14ac:dyDescent="0.25">
      <c r="I3315" s="17"/>
      <c r="J3315" s="18"/>
    </row>
    <row r="3316" spans="9:10" x14ac:dyDescent="0.25">
      <c r="I3316" s="17"/>
      <c r="J3316" s="18"/>
    </row>
    <row r="3317" spans="9:10" x14ac:dyDescent="0.25">
      <c r="I3317" s="17"/>
      <c r="J3317" s="18"/>
    </row>
    <row r="3318" spans="9:10" x14ac:dyDescent="0.25">
      <c r="I3318" s="17"/>
      <c r="J3318" s="18"/>
    </row>
    <row r="3319" spans="9:10" x14ac:dyDescent="0.25">
      <c r="I3319" s="17"/>
      <c r="J3319" s="18"/>
    </row>
    <row r="3320" spans="9:10" x14ac:dyDescent="0.25">
      <c r="I3320" s="17"/>
      <c r="J3320" s="18"/>
    </row>
    <row r="3321" spans="9:10" x14ac:dyDescent="0.25">
      <c r="I3321" s="17"/>
      <c r="J3321" s="18"/>
    </row>
    <row r="3322" spans="9:10" x14ac:dyDescent="0.25">
      <c r="I3322" s="17"/>
      <c r="J3322" s="18"/>
    </row>
    <row r="3323" spans="9:10" x14ac:dyDescent="0.25">
      <c r="I3323" s="17"/>
      <c r="J3323" s="18"/>
    </row>
    <row r="3324" spans="9:10" x14ac:dyDescent="0.25">
      <c r="I3324" s="17"/>
      <c r="J3324" s="18"/>
    </row>
    <row r="3325" spans="9:10" x14ac:dyDescent="0.25">
      <c r="I3325" s="17"/>
      <c r="J3325" s="18"/>
    </row>
    <row r="3326" spans="9:10" x14ac:dyDescent="0.25">
      <c r="I3326" s="17"/>
      <c r="J3326" s="18"/>
    </row>
    <row r="3327" spans="9:10" x14ac:dyDescent="0.25">
      <c r="I3327" s="17"/>
      <c r="J3327" s="18"/>
    </row>
    <row r="3328" spans="9:10" x14ac:dyDescent="0.25">
      <c r="I3328" s="17"/>
      <c r="J3328" s="18"/>
    </row>
    <row r="3329" spans="9:10" x14ac:dyDescent="0.25">
      <c r="I3329" s="17"/>
      <c r="J3329" s="18"/>
    </row>
    <row r="3330" spans="9:10" x14ac:dyDescent="0.25">
      <c r="I3330" s="17"/>
      <c r="J3330" s="18"/>
    </row>
    <row r="3331" spans="9:10" x14ac:dyDescent="0.25">
      <c r="I3331" s="17"/>
      <c r="J3331" s="18"/>
    </row>
    <row r="3332" spans="9:10" x14ac:dyDescent="0.25">
      <c r="I3332" s="17"/>
      <c r="J3332" s="18"/>
    </row>
    <row r="3333" spans="9:10" x14ac:dyDescent="0.25">
      <c r="I3333" s="17"/>
      <c r="J3333" s="18"/>
    </row>
    <row r="3334" spans="9:10" x14ac:dyDescent="0.25">
      <c r="I3334" s="17"/>
      <c r="J3334" s="18"/>
    </row>
    <row r="3335" spans="9:10" x14ac:dyDescent="0.25">
      <c r="I3335" s="17"/>
      <c r="J3335" s="18"/>
    </row>
    <row r="3336" spans="9:10" x14ac:dyDescent="0.25">
      <c r="I3336" s="17"/>
      <c r="J3336" s="18"/>
    </row>
    <row r="3337" spans="9:10" x14ac:dyDescent="0.25">
      <c r="I3337" s="17"/>
      <c r="J3337" s="18"/>
    </row>
    <row r="3338" spans="9:10" x14ac:dyDescent="0.25">
      <c r="I3338" s="17"/>
      <c r="J3338" s="18"/>
    </row>
    <row r="3339" spans="9:10" x14ac:dyDescent="0.25">
      <c r="I3339" s="17"/>
      <c r="J3339" s="18"/>
    </row>
    <row r="3340" spans="9:10" x14ac:dyDescent="0.25">
      <c r="I3340" s="17"/>
      <c r="J3340" s="18"/>
    </row>
    <row r="3341" spans="9:10" x14ac:dyDescent="0.25">
      <c r="I3341" s="17"/>
      <c r="J3341" s="18"/>
    </row>
    <row r="3342" spans="9:10" x14ac:dyDescent="0.25">
      <c r="I3342" s="17"/>
      <c r="J3342" s="18"/>
    </row>
    <row r="3343" spans="9:10" x14ac:dyDescent="0.25">
      <c r="I3343" s="17"/>
      <c r="J3343" s="18"/>
    </row>
    <row r="3344" spans="9:10" x14ac:dyDescent="0.25">
      <c r="I3344" s="17"/>
      <c r="J3344" s="18"/>
    </row>
    <row r="3345" spans="9:10" x14ac:dyDescent="0.25">
      <c r="I3345" s="17"/>
      <c r="J3345" s="18"/>
    </row>
    <row r="3346" spans="9:10" x14ac:dyDescent="0.25">
      <c r="I3346" s="17"/>
      <c r="J3346" s="18"/>
    </row>
    <row r="3347" spans="9:10" x14ac:dyDescent="0.25">
      <c r="I3347" s="17"/>
      <c r="J3347" s="18"/>
    </row>
    <row r="3348" spans="9:10" x14ac:dyDescent="0.25">
      <c r="I3348" s="17"/>
      <c r="J3348" s="18"/>
    </row>
    <row r="3349" spans="9:10" x14ac:dyDescent="0.25">
      <c r="I3349" s="17"/>
      <c r="J3349" s="18"/>
    </row>
    <row r="3350" spans="9:10" x14ac:dyDescent="0.25">
      <c r="I3350" s="17"/>
      <c r="J3350" s="18"/>
    </row>
    <row r="3351" spans="9:10" x14ac:dyDescent="0.25">
      <c r="I3351" s="17"/>
      <c r="J3351" s="18"/>
    </row>
    <row r="3352" spans="9:10" x14ac:dyDescent="0.25">
      <c r="I3352" s="17"/>
      <c r="J3352" s="18"/>
    </row>
    <row r="3353" spans="9:10" x14ac:dyDescent="0.25">
      <c r="I3353" s="17"/>
      <c r="J3353" s="18"/>
    </row>
    <row r="3354" spans="9:10" x14ac:dyDescent="0.25">
      <c r="I3354" s="17"/>
      <c r="J3354" s="18"/>
    </row>
    <row r="3355" spans="9:10" x14ac:dyDescent="0.25">
      <c r="I3355" s="17"/>
      <c r="J3355" s="18"/>
    </row>
    <row r="3356" spans="9:10" x14ac:dyDescent="0.25">
      <c r="I3356" s="17"/>
      <c r="J3356" s="18"/>
    </row>
    <row r="3357" spans="9:10" x14ac:dyDescent="0.25">
      <c r="I3357" s="17"/>
      <c r="J3357" s="18"/>
    </row>
    <row r="3358" spans="9:10" x14ac:dyDescent="0.25">
      <c r="I3358" s="17"/>
      <c r="J3358" s="18"/>
    </row>
    <row r="3359" spans="9:10" x14ac:dyDescent="0.25">
      <c r="I3359" s="17"/>
      <c r="J3359" s="18"/>
    </row>
    <row r="3360" spans="9:10" x14ac:dyDescent="0.25">
      <c r="I3360" s="17"/>
      <c r="J3360" s="18"/>
    </row>
    <row r="3361" spans="9:10" x14ac:dyDescent="0.25">
      <c r="I3361" s="17"/>
      <c r="J3361" s="18"/>
    </row>
    <row r="3362" spans="9:10" x14ac:dyDescent="0.25">
      <c r="I3362" s="17"/>
      <c r="J3362" s="18"/>
    </row>
    <row r="3363" spans="9:10" x14ac:dyDescent="0.25">
      <c r="I3363" s="17"/>
      <c r="J3363" s="18"/>
    </row>
    <row r="3364" spans="9:10" x14ac:dyDescent="0.25">
      <c r="I3364" s="17"/>
      <c r="J3364" s="18"/>
    </row>
    <row r="3365" spans="9:10" x14ac:dyDescent="0.25">
      <c r="I3365" s="17"/>
      <c r="J3365" s="18"/>
    </row>
    <row r="3366" spans="9:10" x14ac:dyDescent="0.25">
      <c r="I3366" s="17"/>
      <c r="J3366" s="18"/>
    </row>
    <row r="3367" spans="9:10" x14ac:dyDescent="0.25">
      <c r="I3367" s="17"/>
      <c r="J3367" s="18"/>
    </row>
    <row r="3368" spans="9:10" x14ac:dyDescent="0.25">
      <c r="I3368" s="17"/>
      <c r="J3368" s="18"/>
    </row>
    <row r="3369" spans="9:10" x14ac:dyDescent="0.25">
      <c r="I3369" s="17"/>
      <c r="J3369" s="18"/>
    </row>
    <row r="3370" spans="9:10" x14ac:dyDescent="0.25">
      <c r="I3370" s="17"/>
      <c r="J3370" s="18"/>
    </row>
    <row r="3371" spans="9:10" x14ac:dyDescent="0.25">
      <c r="I3371" s="17"/>
      <c r="J3371" s="18"/>
    </row>
    <row r="3372" spans="9:10" x14ac:dyDescent="0.25">
      <c r="I3372" s="17"/>
      <c r="J3372" s="18"/>
    </row>
    <row r="3373" spans="9:10" x14ac:dyDescent="0.25">
      <c r="I3373" s="17"/>
      <c r="J3373" s="18"/>
    </row>
    <row r="3374" spans="9:10" x14ac:dyDescent="0.25">
      <c r="I3374" s="17"/>
      <c r="J3374" s="18"/>
    </row>
    <row r="3375" spans="9:10" x14ac:dyDescent="0.25">
      <c r="I3375" s="17"/>
      <c r="J3375" s="18"/>
    </row>
    <row r="3376" spans="9:10" x14ac:dyDescent="0.25">
      <c r="I3376" s="17"/>
      <c r="J3376" s="18"/>
    </row>
    <row r="3377" spans="9:10" x14ac:dyDescent="0.25">
      <c r="I3377" s="17"/>
      <c r="J3377" s="18"/>
    </row>
    <row r="3378" spans="9:10" x14ac:dyDescent="0.25">
      <c r="I3378" s="17"/>
      <c r="J3378" s="18"/>
    </row>
    <row r="3379" spans="9:10" x14ac:dyDescent="0.25">
      <c r="I3379" s="17"/>
      <c r="J3379" s="18"/>
    </row>
    <row r="3380" spans="9:10" x14ac:dyDescent="0.25">
      <c r="I3380" s="17"/>
      <c r="J3380" s="18"/>
    </row>
    <row r="3381" spans="9:10" x14ac:dyDescent="0.25">
      <c r="I3381" s="17"/>
      <c r="J3381" s="18"/>
    </row>
    <row r="3382" spans="9:10" x14ac:dyDescent="0.25">
      <c r="I3382" s="17"/>
      <c r="J3382" s="18"/>
    </row>
    <row r="3383" spans="9:10" x14ac:dyDescent="0.25">
      <c r="I3383" s="17"/>
      <c r="J3383" s="18"/>
    </row>
    <row r="3384" spans="9:10" x14ac:dyDescent="0.25">
      <c r="I3384" s="17"/>
      <c r="J3384" s="18"/>
    </row>
    <row r="3385" spans="9:10" x14ac:dyDescent="0.25">
      <c r="I3385" s="17"/>
      <c r="J3385" s="18"/>
    </row>
    <row r="3386" spans="9:10" x14ac:dyDescent="0.25">
      <c r="I3386" s="17"/>
      <c r="J3386" s="18"/>
    </row>
    <row r="3387" spans="9:10" x14ac:dyDescent="0.25">
      <c r="I3387" s="17"/>
      <c r="J3387" s="18"/>
    </row>
    <row r="3388" spans="9:10" x14ac:dyDescent="0.25">
      <c r="I3388" s="17"/>
      <c r="J3388" s="18"/>
    </row>
    <row r="3389" spans="9:10" x14ac:dyDescent="0.25">
      <c r="I3389" s="17"/>
      <c r="J3389" s="18"/>
    </row>
    <row r="3390" spans="9:10" x14ac:dyDescent="0.25">
      <c r="I3390" s="17"/>
      <c r="J3390" s="18"/>
    </row>
    <row r="3391" spans="9:10" x14ac:dyDescent="0.25">
      <c r="I3391" s="17"/>
      <c r="J3391" s="18"/>
    </row>
    <row r="3392" spans="9:10" x14ac:dyDescent="0.25">
      <c r="I3392" s="17"/>
      <c r="J3392" s="18"/>
    </row>
    <row r="3393" spans="9:10" x14ac:dyDescent="0.25">
      <c r="I3393" s="17"/>
      <c r="J3393" s="18"/>
    </row>
    <row r="3394" spans="9:10" x14ac:dyDescent="0.25">
      <c r="I3394" s="17"/>
      <c r="J3394" s="18"/>
    </row>
    <row r="3395" spans="9:10" x14ac:dyDescent="0.25">
      <c r="I3395" s="17"/>
      <c r="J3395" s="18"/>
    </row>
    <row r="3396" spans="9:10" x14ac:dyDescent="0.25">
      <c r="I3396" s="17"/>
      <c r="J3396" s="18"/>
    </row>
    <row r="3397" spans="9:10" x14ac:dyDescent="0.25">
      <c r="I3397" s="17"/>
      <c r="J3397" s="18"/>
    </row>
    <row r="3398" spans="9:10" x14ac:dyDescent="0.25">
      <c r="I3398" s="17"/>
      <c r="J3398" s="18"/>
    </row>
    <row r="3399" spans="9:10" x14ac:dyDescent="0.25">
      <c r="I3399" s="17"/>
      <c r="J3399" s="18"/>
    </row>
    <row r="3400" spans="9:10" x14ac:dyDescent="0.25">
      <c r="I3400" s="17"/>
      <c r="J3400" s="18"/>
    </row>
    <row r="3401" spans="9:10" x14ac:dyDescent="0.25">
      <c r="I3401" s="17"/>
      <c r="J3401" s="18"/>
    </row>
    <row r="3402" spans="9:10" x14ac:dyDescent="0.25">
      <c r="I3402" s="17"/>
      <c r="J3402" s="18"/>
    </row>
    <row r="3403" spans="9:10" x14ac:dyDescent="0.25">
      <c r="I3403" s="17"/>
      <c r="J3403" s="18"/>
    </row>
    <row r="3404" spans="9:10" x14ac:dyDescent="0.25">
      <c r="I3404" s="17"/>
      <c r="J3404" s="18"/>
    </row>
    <row r="3405" spans="9:10" x14ac:dyDescent="0.25">
      <c r="I3405" s="17"/>
      <c r="J3405" s="18"/>
    </row>
    <row r="3406" spans="9:10" x14ac:dyDescent="0.25">
      <c r="I3406" s="17"/>
      <c r="J3406" s="18"/>
    </row>
    <row r="3407" spans="9:10" x14ac:dyDescent="0.25">
      <c r="I3407" s="17"/>
      <c r="J3407" s="18"/>
    </row>
    <row r="3408" spans="9:10" x14ac:dyDescent="0.25">
      <c r="I3408" s="17"/>
      <c r="J3408" s="18"/>
    </row>
    <row r="3409" spans="9:10" x14ac:dyDescent="0.25">
      <c r="I3409" s="17"/>
      <c r="J3409" s="18"/>
    </row>
    <row r="3410" spans="9:10" x14ac:dyDescent="0.25">
      <c r="I3410" s="17"/>
      <c r="J3410" s="18"/>
    </row>
    <row r="3411" spans="9:10" x14ac:dyDescent="0.25">
      <c r="I3411" s="17"/>
      <c r="J3411" s="18"/>
    </row>
    <row r="3412" spans="9:10" x14ac:dyDescent="0.25">
      <c r="I3412" s="17"/>
      <c r="J3412" s="18"/>
    </row>
    <row r="3413" spans="9:10" x14ac:dyDescent="0.25">
      <c r="I3413" s="17"/>
      <c r="J3413" s="18"/>
    </row>
    <row r="3414" spans="9:10" x14ac:dyDescent="0.25">
      <c r="I3414" s="17"/>
      <c r="J3414" s="18"/>
    </row>
    <row r="3415" spans="9:10" x14ac:dyDescent="0.25">
      <c r="I3415" s="17"/>
      <c r="J3415" s="18"/>
    </row>
    <row r="3416" spans="9:10" x14ac:dyDescent="0.25">
      <c r="I3416" s="17"/>
      <c r="J3416" s="18"/>
    </row>
    <row r="3417" spans="9:10" x14ac:dyDescent="0.25">
      <c r="I3417" s="17"/>
      <c r="J3417" s="18"/>
    </row>
    <row r="3418" spans="9:10" x14ac:dyDescent="0.25">
      <c r="I3418" s="17"/>
      <c r="J3418" s="18"/>
    </row>
    <row r="3419" spans="9:10" x14ac:dyDescent="0.25">
      <c r="I3419" s="17"/>
      <c r="J3419" s="18"/>
    </row>
    <row r="3420" spans="9:10" x14ac:dyDescent="0.25">
      <c r="I3420" s="17"/>
      <c r="J3420" s="18"/>
    </row>
    <row r="3421" spans="9:10" x14ac:dyDescent="0.25">
      <c r="I3421" s="17"/>
      <c r="J3421" s="18"/>
    </row>
    <row r="3422" spans="9:10" x14ac:dyDescent="0.25">
      <c r="I3422" s="17"/>
      <c r="J3422" s="18"/>
    </row>
    <row r="3423" spans="9:10" x14ac:dyDescent="0.25">
      <c r="I3423" s="17"/>
      <c r="J3423" s="18"/>
    </row>
    <row r="3424" spans="9:10" x14ac:dyDescent="0.25">
      <c r="I3424" s="17"/>
      <c r="J3424" s="18"/>
    </row>
    <row r="3425" spans="9:10" x14ac:dyDescent="0.25">
      <c r="I3425" s="17"/>
      <c r="J3425" s="18"/>
    </row>
    <row r="3426" spans="9:10" x14ac:dyDescent="0.25">
      <c r="I3426" s="17"/>
      <c r="J3426" s="18"/>
    </row>
    <row r="3427" spans="9:10" x14ac:dyDescent="0.25">
      <c r="I3427" s="17"/>
      <c r="J3427" s="18"/>
    </row>
    <row r="3428" spans="9:10" x14ac:dyDescent="0.25">
      <c r="I3428" s="17"/>
      <c r="J3428" s="18"/>
    </row>
    <row r="3429" spans="9:10" x14ac:dyDescent="0.25">
      <c r="I3429" s="17"/>
      <c r="J3429" s="18"/>
    </row>
    <row r="3430" spans="9:10" x14ac:dyDescent="0.25">
      <c r="I3430" s="17"/>
      <c r="J3430" s="18"/>
    </row>
    <row r="3431" spans="9:10" x14ac:dyDescent="0.25">
      <c r="I3431" s="17"/>
      <c r="J3431" s="18"/>
    </row>
    <row r="3432" spans="9:10" x14ac:dyDescent="0.25">
      <c r="I3432" s="17"/>
      <c r="J3432" s="18"/>
    </row>
    <row r="3433" spans="9:10" x14ac:dyDescent="0.25">
      <c r="I3433" s="17"/>
      <c r="J3433" s="18"/>
    </row>
    <row r="3434" spans="9:10" x14ac:dyDescent="0.25">
      <c r="I3434" s="17"/>
      <c r="J3434" s="18"/>
    </row>
    <row r="3435" spans="9:10" x14ac:dyDescent="0.25">
      <c r="I3435" s="17"/>
      <c r="J3435" s="18"/>
    </row>
    <row r="3436" spans="9:10" x14ac:dyDescent="0.25">
      <c r="I3436" s="17"/>
      <c r="J3436" s="18"/>
    </row>
    <row r="3437" spans="9:10" x14ac:dyDescent="0.25">
      <c r="I3437" s="17"/>
      <c r="J3437" s="18"/>
    </row>
    <row r="3438" spans="9:10" x14ac:dyDescent="0.25">
      <c r="I3438" s="17"/>
      <c r="J3438" s="18"/>
    </row>
    <row r="3439" spans="9:10" x14ac:dyDescent="0.25">
      <c r="I3439" s="17"/>
      <c r="J3439" s="18"/>
    </row>
    <row r="3440" spans="9:10" x14ac:dyDescent="0.25">
      <c r="I3440" s="17"/>
      <c r="J3440" s="18"/>
    </row>
    <row r="3441" spans="9:10" x14ac:dyDescent="0.25">
      <c r="I3441" s="17"/>
      <c r="J3441" s="18"/>
    </row>
    <row r="3442" spans="9:10" x14ac:dyDescent="0.25">
      <c r="I3442" s="17"/>
      <c r="J3442" s="18"/>
    </row>
    <row r="3443" spans="9:10" x14ac:dyDescent="0.25">
      <c r="I3443" s="17"/>
      <c r="J3443" s="18"/>
    </row>
    <row r="3444" spans="9:10" x14ac:dyDescent="0.25">
      <c r="I3444" s="17"/>
      <c r="J3444" s="18"/>
    </row>
    <row r="3445" spans="9:10" x14ac:dyDescent="0.25">
      <c r="I3445" s="17"/>
      <c r="J3445" s="18"/>
    </row>
    <row r="3446" spans="9:10" x14ac:dyDescent="0.25">
      <c r="I3446" s="17"/>
      <c r="J3446" s="18"/>
    </row>
    <row r="3447" spans="9:10" x14ac:dyDescent="0.25">
      <c r="I3447" s="17"/>
      <c r="J3447" s="18"/>
    </row>
    <row r="3448" spans="9:10" x14ac:dyDescent="0.25">
      <c r="I3448" s="17"/>
      <c r="J3448" s="18"/>
    </row>
    <row r="3449" spans="9:10" x14ac:dyDescent="0.25">
      <c r="I3449" s="17"/>
      <c r="J3449" s="18"/>
    </row>
    <row r="3450" spans="9:10" x14ac:dyDescent="0.25">
      <c r="I3450" s="17"/>
      <c r="J3450" s="18"/>
    </row>
    <row r="3451" spans="9:10" x14ac:dyDescent="0.25">
      <c r="I3451" s="17"/>
      <c r="J3451" s="18"/>
    </row>
    <row r="3452" spans="9:10" x14ac:dyDescent="0.25">
      <c r="I3452" s="17"/>
      <c r="J3452" s="18"/>
    </row>
    <row r="3453" spans="9:10" x14ac:dyDescent="0.25">
      <c r="I3453" s="17"/>
      <c r="J3453" s="18"/>
    </row>
    <row r="3454" spans="9:10" x14ac:dyDescent="0.25">
      <c r="I3454" s="17"/>
      <c r="J3454" s="18"/>
    </row>
    <row r="3455" spans="9:10" x14ac:dyDescent="0.25">
      <c r="I3455" s="17"/>
      <c r="J3455" s="18"/>
    </row>
    <row r="3456" spans="9:10" x14ac:dyDescent="0.25">
      <c r="I3456" s="17"/>
      <c r="J3456" s="18"/>
    </row>
    <row r="3457" spans="9:10" x14ac:dyDescent="0.25">
      <c r="I3457" s="17"/>
      <c r="J3457" s="18"/>
    </row>
    <row r="3458" spans="9:10" x14ac:dyDescent="0.25">
      <c r="I3458" s="17"/>
      <c r="J3458" s="18"/>
    </row>
    <row r="3459" spans="9:10" x14ac:dyDescent="0.25">
      <c r="I3459" s="17"/>
      <c r="J3459" s="18"/>
    </row>
    <row r="3460" spans="9:10" x14ac:dyDescent="0.25">
      <c r="I3460" s="17"/>
      <c r="J3460" s="18"/>
    </row>
    <row r="3461" spans="9:10" x14ac:dyDescent="0.25">
      <c r="I3461" s="17"/>
      <c r="J3461" s="18"/>
    </row>
    <row r="3462" spans="9:10" x14ac:dyDescent="0.25">
      <c r="I3462" s="17"/>
      <c r="J3462" s="18"/>
    </row>
    <row r="3463" spans="9:10" x14ac:dyDescent="0.25">
      <c r="I3463" s="17"/>
      <c r="J3463" s="18"/>
    </row>
    <row r="3464" spans="9:10" x14ac:dyDescent="0.25">
      <c r="I3464" s="17"/>
      <c r="J3464" s="18"/>
    </row>
    <row r="3465" spans="9:10" x14ac:dyDescent="0.25">
      <c r="I3465" s="17"/>
      <c r="J3465" s="18"/>
    </row>
    <row r="3466" spans="9:10" x14ac:dyDescent="0.25">
      <c r="I3466" s="17"/>
      <c r="J3466" s="18"/>
    </row>
    <row r="3467" spans="9:10" x14ac:dyDescent="0.25">
      <c r="I3467" s="17"/>
      <c r="J3467" s="18"/>
    </row>
    <row r="3468" spans="9:10" x14ac:dyDescent="0.25">
      <c r="I3468" s="17"/>
      <c r="J3468" s="18"/>
    </row>
    <row r="3469" spans="9:10" x14ac:dyDescent="0.25">
      <c r="I3469" s="17"/>
      <c r="J3469" s="18"/>
    </row>
    <row r="3470" spans="9:10" x14ac:dyDescent="0.25">
      <c r="I3470" s="17"/>
      <c r="J3470" s="18"/>
    </row>
    <row r="3471" spans="9:10" x14ac:dyDescent="0.25">
      <c r="I3471" s="17"/>
      <c r="J3471" s="18"/>
    </row>
    <row r="3472" spans="9:10" x14ac:dyDescent="0.25">
      <c r="I3472" s="17"/>
      <c r="J3472" s="18"/>
    </row>
    <row r="3473" spans="9:10" x14ac:dyDescent="0.25">
      <c r="I3473" s="17"/>
      <c r="J3473" s="18"/>
    </row>
    <row r="3474" spans="9:10" x14ac:dyDescent="0.25">
      <c r="I3474" s="17"/>
      <c r="J3474" s="18"/>
    </row>
    <row r="3475" spans="9:10" x14ac:dyDescent="0.25">
      <c r="I3475" s="17"/>
      <c r="J3475" s="18"/>
    </row>
    <row r="3476" spans="9:10" x14ac:dyDescent="0.25">
      <c r="I3476" s="17"/>
      <c r="J3476" s="18"/>
    </row>
    <row r="3477" spans="9:10" x14ac:dyDescent="0.25">
      <c r="I3477" s="17"/>
      <c r="J3477" s="18"/>
    </row>
    <row r="3478" spans="9:10" x14ac:dyDescent="0.25">
      <c r="I3478" s="17"/>
      <c r="J3478" s="18"/>
    </row>
    <row r="3479" spans="9:10" x14ac:dyDescent="0.25">
      <c r="I3479" s="17"/>
      <c r="J3479" s="18"/>
    </row>
    <row r="3480" spans="9:10" x14ac:dyDescent="0.25">
      <c r="I3480" s="17"/>
      <c r="J3480" s="18"/>
    </row>
    <row r="3481" spans="9:10" x14ac:dyDescent="0.25">
      <c r="I3481" s="17"/>
      <c r="J3481" s="18"/>
    </row>
    <row r="3482" spans="9:10" x14ac:dyDescent="0.25">
      <c r="I3482" s="17"/>
      <c r="J3482" s="18"/>
    </row>
    <row r="3483" spans="9:10" x14ac:dyDescent="0.25">
      <c r="I3483" s="17"/>
      <c r="J3483" s="18"/>
    </row>
    <row r="3484" spans="9:10" x14ac:dyDescent="0.25">
      <c r="I3484" s="17"/>
      <c r="J3484" s="18"/>
    </row>
    <row r="3485" spans="9:10" x14ac:dyDescent="0.25">
      <c r="I3485" s="17"/>
      <c r="J3485" s="18"/>
    </row>
    <row r="3486" spans="9:10" x14ac:dyDescent="0.25">
      <c r="I3486" s="17"/>
      <c r="J3486" s="18"/>
    </row>
    <row r="3487" spans="9:10" x14ac:dyDescent="0.25">
      <c r="I3487" s="17"/>
      <c r="J3487" s="18"/>
    </row>
    <row r="3488" spans="9:10" x14ac:dyDescent="0.25">
      <c r="I3488" s="17"/>
      <c r="J3488" s="18"/>
    </row>
    <row r="3489" spans="9:10" x14ac:dyDescent="0.25">
      <c r="I3489" s="17"/>
      <c r="J3489" s="18"/>
    </row>
    <row r="3490" spans="9:10" x14ac:dyDescent="0.25">
      <c r="I3490" s="17"/>
      <c r="J3490" s="18"/>
    </row>
    <row r="3491" spans="9:10" x14ac:dyDescent="0.25">
      <c r="I3491" s="17"/>
      <c r="J3491" s="18"/>
    </row>
    <row r="3492" spans="9:10" x14ac:dyDescent="0.25">
      <c r="I3492" s="17"/>
      <c r="J3492" s="18"/>
    </row>
    <row r="3493" spans="9:10" x14ac:dyDescent="0.25">
      <c r="I3493" s="17"/>
      <c r="J3493" s="18"/>
    </row>
    <row r="3494" spans="9:10" x14ac:dyDescent="0.25">
      <c r="I3494" s="17"/>
      <c r="J3494" s="18"/>
    </row>
    <row r="3495" spans="9:10" x14ac:dyDescent="0.25">
      <c r="I3495" s="17"/>
      <c r="J3495" s="18"/>
    </row>
    <row r="3496" spans="9:10" x14ac:dyDescent="0.25">
      <c r="I3496" s="17"/>
      <c r="J3496" s="18"/>
    </row>
    <row r="3497" spans="9:10" x14ac:dyDescent="0.25">
      <c r="I3497" s="17"/>
      <c r="J3497" s="18"/>
    </row>
    <row r="3498" spans="9:10" x14ac:dyDescent="0.25">
      <c r="I3498" s="17"/>
      <c r="J3498" s="18"/>
    </row>
    <row r="3499" spans="9:10" x14ac:dyDescent="0.25">
      <c r="I3499" s="17"/>
      <c r="J3499" s="18"/>
    </row>
    <row r="3500" spans="9:10" x14ac:dyDescent="0.25">
      <c r="I3500" s="17"/>
      <c r="J3500" s="18"/>
    </row>
    <row r="3501" spans="9:10" x14ac:dyDescent="0.25">
      <c r="I3501" s="17"/>
      <c r="J3501" s="18"/>
    </row>
    <row r="3502" spans="9:10" x14ac:dyDescent="0.25">
      <c r="I3502" s="17"/>
      <c r="J3502" s="18"/>
    </row>
    <row r="3503" spans="9:10" x14ac:dyDescent="0.25">
      <c r="I3503" s="17"/>
      <c r="J3503" s="18"/>
    </row>
    <row r="3504" spans="9:10" x14ac:dyDescent="0.25">
      <c r="I3504" s="17"/>
      <c r="J3504" s="18"/>
    </row>
    <row r="3505" spans="9:10" x14ac:dyDescent="0.25">
      <c r="I3505" s="17"/>
      <c r="J3505" s="18"/>
    </row>
    <row r="3506" spans="9:10" x14ac:dyDescent="0.25">
      <c r="I3506" s="17"/>
      <c r="J3506" s="18"/>
    </row>
    <row r="3507" spans="9:10" x14ac:dyDescent="0.25">
      <c r="I3507" s="17"/>
      <c r="J3507" s="18"/>
    </row>
    <row r="3508" spans="9:10" x14ac:dyDescent="0.25">
      <c r="I3508" s="17"/>
      <c r="J3508" s="18"/>
    </row>
    <row r="3509" spans="9:10" x14ac:dyDescent="0.25">
      <c r="I3509" s="17"/>
      <c r="J3509" s="18"/>
    </row>
    <row r="3510" spans="9:10" x14ac:dyDescent="0.25">
      <c r="I3510" s="17"/>
      <c r="J3510" s="18"/>
    </row>
    <row r="3511" spans="9:10" x14ac:dyDescent="0.25">
      <c r="I3511" s="17"/>
      <c r="J3511" s="18"/>
    </row>
    <row r="3512" spans="9:10" x14ac:dyDescent="0.25">
      <c r="I3512" s="17"/>
      <c r="J3512" s="18"/>
    </row>
    <row r="3513" spans="9:10" x14ac:dyDescent="0.25">
      <c r="I3513" s="17"/>
      <c r="J3513" s="18"/>
    </row>
    <row r="3514" spans="9:10" x14ac:dyDescent="0.25">
      <c r="I3514" s="17"/>
      <c r="J3514" s="18"/>
    </row>
    <row r="3515" spans="9:10" x14ac:dyDescent="0.25">
      <c r="I3515" s="17"/>
      <c r="J3515" s="18"/>
    </row>
    <row r="3516" spans="9:10" x14ac:dyDescent="0.25">
      <c r="I3516" s="17"/>
      <c r="J3516" s="18"/>
    </row>
    <row r="3517" spans="9:10" x14ac:dyDescent="0.25">
      <c r="I3517" s="17"/>
      <c r="J3517" s="18"/>
    </row>
    <row r="3518" spans="9:10" x14ac:dyDescent="0.25">
      <c r="I3518" s="17"/>
      <c r="J3518" s="18"/>
    </row>
    <row r="3519" spans="9:10" x14ac:dyDescent="0.25">
      <c r="I3519" s="17"/>
      <c r="J3519" s="18"/>
    </row>
    <row r="3520" spans="9:10" x14ac:dyDescent="0.25">
      <c r="I3520" s="17"/>
      <c r="J3520" s="18"/>
    </row>
    <row r="3521" spans="9:10" x14ac:dyDescent="0.25">
      <c r="I3521" s="17"/>
      <c r="J3521" s="18"/>
    </row>
    <row r="3522" spans="9:10" x14ac:dyDescent="0.25">
      <c r="I3522" s="17"/>
      <c r="J3522" s="18"/>
    </row>
    <row r="3523" spans="9:10" x14ac:dyDescent="0.25">
      <c r="I3523" s="17"/>
      <c r="J3523" s="18"/>
    </row>
    <row r="3524" spans="9:10" x14ac:dyDescent="0.25">
      <c r="I3524" s="17"/>
      <c r="J3524" s="18"/>
    </row>
    <row r="3525" spans="9:10" x14ac:dyDescent="0.25">
      <c r="I3525" s="17"/>
      <c r="J3525" s="18"/>
    </row>
    <row r="3526" spans="9:10" x14ac:dyDescent="0.25">
      <c r="I3526" s="17"/>
      <c r="J3526" s="18"/>
    </row>
    <row r="3527" spans="9:10" x14ac:dyDescent="0.25">
      <c r="I3527" s="17"/>
      <c r="J3527" s="18"/>
    </row>
    <row r="3528" spans="9:10" x14ac:dyDescent="0.25">
      <c r="I3528" s="17"/>
      <c r="J3528" s="18"/>
    </row>
    <row r="3529" spans="9:10" x14ac:dyDescent="0.25">
      <c r="I3529" s="17"/>
      <c r="J3529" s="18"/>
    </row>
    <row r="3530" spans="9:10" x14ac:dyDescent="0.25">
      <c r="I3530" s="17"/>
      <c r="J3530" s="18"/>
    </row>
    <row r="3531" spans="9:10" x14ac:dyDescent="0.25">
      <c r="I3531" s="17"/>
      <c r="J3531" s="18"/>
    </row>
    <row r="3532" spans="9:10" x14ac:dyDescent="0.25">
      <c r="I3532" s="17"/>
      <c r="J3532" s="18"/>
    </row>
    <row r="3533" spans="9:10" x14ac:dyDescent="0.25">
      <c r="I3533" s="17"/>
      <c r="J3533" s="18"/>
    </row>
    <row r="3534" spans="9:10" x14ac:dyDescent="0.25">
      <c r="I3534" s="17"/>
      <c r="J3534" s="18"/>
    </row>
    <row r="3535" spans="9:10" x14ac:dyDescent="0.25">
      <c r="I3535" s="17"/>
      <c r="J3535" s="18"/>
    </row>
    <row r="3536" spans="9:10" x14ac:dyDescent="0.25">
      <c r="I3536" s="17"/>
      <c r="J3536" s="18"/>
    </row>
    <row r="3537" spans="9:10" x14ac:dyDescent="0.25">
      <c r="I3537" s="17"/>
      <c r="J3537" s="18"/>
    </row>
    <row r="3538" spans="9:10" x14ac:dyDescent="0.25">
      <c r="I3538" s="17"/>
      <c r="J3538" s="18"/>
    </row>
    <row r="3539" spans="9:10" x14ac:dyDescent="0.25">
      <c r="I3539" s="17"/>
      <c r="J3539" s="18"/>
    </row>
    <row r="3540" spans="9:10" x14ac:dyDescent="0.25">
      <c r="I3540" s="17"/>
      <c r="J3540" s="18"/>
    </row>
    <row r="3541" spans="9:10" x14ac:dyDescent="0.25">
      <c r="I3541" s="17"/>
      <c r="J3541" s="18"/>
    </row>
    <row r="3542" spans="9:10" x14ac:dyDescent="0.25">
      <c r="I3542" s="17"/>
      <c r="J3542" s="18"/>
    </row>
    <row r="3543" spans="9:10" x14ac:dyDescent="0.25">
      <c r="I3543" s="17"/>
      <c r="J3543" s="18"/>
    </row>
    <row r="3544" spans="9:10" x14ac:dyDescent="0.25">
      <c r="I3544" s="17"/>
      <c r="J3544" s="18"/>
    </row>
    <row r="3545" spans="9:10" x14ac:dyDescent="0.25">
      <c r="I3545" s="17"/>
      <c r="J3545" s="18"/>
    </row>
    <row r="3546" spans="9:10" x14ac:dyDescent="0.25">
      <c r="I3546" s="17"/>
      <c r="J3546" s="18"/>
    </row>
    <row r="3547" spans="9:10" x14ac:dyDescent="0.25">
      <c r="I3547" s="17"/>
      <c r="J3547" s="18"/>
    </row>
    <row r="3548" spans="9:10" x14ac:dyDescent="0.25">
      <c r="I3548" s="17"/>
      <c r="J3548" s="18"/>
    </row>
    <row r="3549" spans="9:10" x14ac:dyDescent="0.25">
      <c r="I3549" s="17"/>
      <c r="J3549" s="18"/>
    </row>
    <row r="3550" spans="9:10" x14ac:dyDescent="0.25">
      <c r="I3550" s="17"/>
      <c r="J3550" s="18"/>
    </row>
    <row r="3551" spans="9:10" x14ac:dyDescent="0.25">
      <c r="I3551" s="17"/>
      <c r="J3551" s="18"/>
    </row>
    <row r="3552" spans="9:10" x14ac:dyDescent="0.25">
      <c r="I3552" s="17"/>
      <c r="J3552" s="18"/>
    </row>
    <row r="3553" spans="9:10" x14ac:dyDescent="0.25">
      <c r="I3553" s="17"/>
      <c r="J3553" s="18"/>
    </row>
    <row r="3554" spans="9:10" x14ac:dyDescent="0.25">
      <c r="I3554" s="17"/>
      <c r="J3554" s="18"/>
    </row>
    <row r="3555" spans="9:10" x14ac:dyDescent="0.25">
      <c r="I3555" s="17"/>
      <c r="J3555" s="18"/>
    </row>
    <row r="3556" spans="9:10" x14ac:dyDescent="0.25">
      <c r="I3556" s="17"/>
      <c r="J3556" s="18"/>
    </row>
    <row r="3557" spans="9:10" x14ac:dyDescent="0.25">
      <c r="I3557" s="17"/>
      <c r="J3557" s="18"/>
    </row>
    <row r="3558" spans="9:10" x14ac:dyDescent="0.25">
      <c r="I3558" s="17"/>
      <c r="J3558" s="18"/>
    </row>
    <row r="3559" spans="9:10" x14ac:dyDescent="0.25">
      <c r="I3559" s="17"/>
      <c r="J3559" s="18"/>
    </row>
    <row r="3560" spans="9:10" x14ac:dyDescent="0.25">
      <c r="I3560" s="17"/>
      <c r="J3560" s="18"/>
    </row>
    <row r="3561" spans="9:10" x14ac:dyDescent="0.25">
      <c r="I3561" s="17"/>
      <c r="J3561" s="18"/>
    </row>
    <row r="3562" spans="9:10" x14ac:dyDescent="0.25">
      <c r="I3562" s="17"/>
      <c r="J3562" s="18"/>
    </row>
    <row r="3563" spans="9:10" x14ac:dyDescent="0.25">
      <c r="I3563" s="17"/>
      <c r="J3563" s="18"/>
    </row>
    <row r="3564" spans="9:10" x14ac:dyDescent="0.25">
      <c r="I3564" s="17"/>
      <c r="J3564" s="18"/>
    </row>
    <row r="3565" spans="9:10" x14ac:dyDescent="0.25">
      <c r="I3565" s="17"/>
      <c r="J3565" s="18"/>
    </row>
    <row r="3566" spans="9:10" x14ac:dyDescent="0.25">
      <c r="I3566" s="17"/>
      <c r="J3566" s="18"/>
    </row>
    <row r="3567" spans="9:10" x14ac:dyDescent="0.25">
      <c r="I3567" s="17"/>
      <c r="J3567" s="18"/>
    </row>
    <row r="3568" spans="9:10" x14ac:dyDescent="0.25">
      <c r="I3568" s="17"/>
      <c r="J3568" s="18"/>
    </row>
    <row r="3569" spans="9:10" x14ac:dyDescent="0.25">
      <c r="I3569" s="17"/>
      <c r="J3569" s="18"/>
    </row>
    <row r="3570" spans="9:10" x14ac:dyDescent="0.25">
      <c r="I3570" s="17"/>
      <c r="J3570" s="18"/>
    </row>
    <row r="3571" spans="9:10" x14ac:dyDescent="0.25">
      <c r="I3571" s="17"/>
      <c r="J3571" s="18"/>
    </row>
    <row r="3572" spans="9:10" x14ac:dyDescent="0.25">
      <c r="I3572" s="17"/>
      <c r="J3572" s="18"/>
    </row>
    <row r="3573" spans="9:10" x14ac:dyDescent="0.25">
      <c r="I3573" s="17"/>
      <c r="J3573" s="18"/>
    </row>
    <row r="3574" spans="9:10" x14ac:dyDescent="0.25">
      <c r="I3574" s="17"/>
      <c r="J3574" s="18"/>
    </row>
    <row r="3575" spans="9:10" x14ac:dyDescent="0.25">
      <c r="I3575" s="17"/>
      <c r="J3575" s="18"/>
    </row>
    <row r="3576" spans="9:10" x14ac:dyDescent="0.25">
      <c r="I3576" s="17"/>
      <c r="J3576" s="18"/>
    </row>
    <row r="3577" spans="9:10" x14ac:dyDescent="0.25">
      <c r="I3577" s="17"/>
      <c r="J3577" s="18"/>
    </row>
    <row r="3578" spans="9:10" x14ac:dyDescent="0.25">
      <c r="I3578" s="17"/>
      <c r="J3578" s="18"/>
    </row>
    <row r="3579" spans="9:10" x14ac:dyDescent="0.25">
      <c r="I3579" s="17"/>
      <c r="J3579" s="18"/>
    </row>
    <row r="3580" spans="9:10" x14ac:dyDescent="0.25">
      <c r="I3580" s="17"/>
      <c r="J3580" s="18"/>
    </row>
    <row r="3581" spans="9:10" x14ac:dyDescent="0.25">
      <c r="I3581" s="17"/>
      <c r="J3581" s="18"/>
    </row>
    <row r="3582" spans="9:10" x14ac:dyDescent="0.25">
      <c r="I3582" s="17"/>
      <c r="J3582" s="18"/>
    </row>
    <row r="3583" spans="9:10" x14ac:dyDescent="0.25">
      <c r="I3583" s="17"/>
      <c r="J3583" s="18"/>
    </row>
    <row r="3584" spans="9:10" x14ac:dyDescent="0.25">
      <c r="I3584" s="17"/>
      <c r="J3584" s="18"/>
    </row>
    <row r="3585" spans="9:10" x14ac:dyDescent="0.25">
      <c r="I3585" s="17"/>
      <c r="J3585" s="18"/>
    </row>
    <row r="3586" spans="9:10" x14ac:dyDescent="0.25">
      <c r="I3586" s="17"/>
      <c r="J3586" s="18"/>
    </row>
    <row r="3587" spans="9:10" x14ac:dyDescent="0.25">
      <c r="I3587" s="17"/>
      <c r="J3587" s="18"/>
    </row>
    <row r="3588" spans="9:10" x14ac:dyDescent="0.25">
      <c r="I3588" s="17"/>
      <c r="J3588" s="18"/>
    </row>
    <row r="3589" spans="9:10" x14ac:dyDescent="0.25">
      <c r="I3589" s="17"/>
      <c r="J3589" s="18"/>
    </row>
    <row r="3590" spans="9:10" x14ac:dyDescent="0.25">
      <c r="I3590" s="17"/>
      <c r="J3590" s="18"/>
    </row>
    <row r="3591" spans="9:10" x14ac:dyDescent="0.25">
      <c r="I3591" s="17"/>
      <c r="J3591" s="18"/>
    </row>
    <row r="3592" spans="9:10" x14ac:dyDescent="0.25">
      <c r="I3592" s="17"/>
      <c r="J3592" s="18"/>
    </row>
    <row r="3593" spans="9:10" x14ac:dyDescent="0.25">
      <c r="I3593" s="17"/>
      <c r="J3593" s="18"/>
    </row>
    <row r="3594" spans="9:10" x14ac:dyDescent="0.25">
      <c r="I3594" s="17"/>
      <c r="J3594" s="18"/>
    </row>
    <row r="3595" spans="9:10" x14ac:dyDescent="0.25">
      <c r="I3595" s="17"/>
      <c r="J3595" s="18"/>
    </row>
    <row r="3596" spans="9:10" x14ac:dyDescent="0.25">
      <c r="I3596" s="17"/>
      <c r="J3596" s="18"/>
    </row>
    <row r="3597" spans="9:10" x14ac:dyDescent="0.25">
      <c r="I3597" s="17"/>
      <c r="J3597" s="18"/>
    </row>
    <row r="3598" spans="9:10" x14ac:dyDescent="0.25">
      <c r="I3598" s="17"/>
      <c r="J3598" s="18"/>
    </row>
    <row r="3599" spans="9:10" x14ac:dyDescent="0.25">
      <c r="I3599" s="17"/>
      <c r="J3599" s="18"/>
    </row>
    <row r="3600" spans="9:10" x14ac:dyDescent="0.25">
      <c r="I3600" s="17"/>
      <c r="J3600" s="18"/>
    </row>
    <row r="3601" spans="9:10" x14ac:dyDescent="0.25">
      <c r="I3601" s="17"/>
      <c r="J3601" s="18"/>
    </row>
    <row r="3602" spans="9:10" x14ac:dyDescent="0.25">
      <c r="I3602" s="17"/>
      <c r="J3602" s="18"/>
    </row>
    <row r="3603" spans="9:10" x14ac:dyDescent="0.25">
      <c r="I3603" s="17"/>
      <c r="J3603" s="18"/>
    </row>
    <row r="3604" spans="9:10" x14ac:dyDescent="0.25">
      <c r="I3604" s="17"/>
      <c r="J3604" s="18"/>
    </row>
    <row r="3605" spans="9:10" x14ac:dyDescent="0.25">
      <c r="I3605" s="17"/>
      <c r="J3605" s="18"/>
    </row>
    <row r="3606" spans="9:10" x14ac:dyDescent="0.25">
      <c r="I3606" s="17"/>
      <c r="J3606" s="18"/>
    </row>
    <row r="3607" spans="9:10" x14ac:dyDescent="0.25">
      <c r="I3607" s="17"/>
      <c r="J3607" s="18"/>
    </row>
    <row r="3608" spans="9:10" x14ac:dyDescent="0.25">
      <c r="I3608" s="17"/>
      <c r="J3608" s="18"/>
    </row>
    <row r="3609" spans="9:10" x14ac:dyDescent="0.25">
      <c r="I3609" s="17"/>
      <c r="J3609" s="18"/>
    </row>
    <row r="3610" spans="9:10" x14ac:dyDescent="0.25">
      <c r="I3610" s="17"/>
      <c r="J3610" s="18"/>
    </row>
    <row r="3611" spans="9:10" x14ac:dyDescent="0.25">
      <c r="I3611" s="17"/>
      <c r="J3611" s="18"/>
    </row>
    <row r="3612" spans="9:10" x14ac:dyDescent="0.25">
      <c r="I3612" s="17"/>
      <c r="J3612" s="18"/>
    </row>
    <row r="3613" spans="9:10" x14ac:dyDescent="0.25">
      <c r="I3613" s="17"/>
      <c r="J3613" s="18"/>
    </row>
    <row r="3614" spans="9:10" x14ac:dyDescent="0.25">
      <c r="I3614" s="17"/>
      <c r="J3614" s="18"/>
    </row>
    <row r="3615" spans="9:10" x14ac:dyDescent="0.25">
      <c r="I3615" s="17"/>
      <c r="J3615" s="18"/>
    </row>
    <row r="3616" spans="9:10" x14ac:dyDescent="0.25">
      <c r="I3616" s="17"/>
      <c r="J3616" s="18"/>
    </row>
    <row r="3617" spans="9:10" x14ac:dyDescent="0.25">
      <c r="I3617" s="17"/>
      <c r="J3617" s="18"/>
    </row>
    <row r="3618" spans="9:10" x14ac:dyDescent="0.25">
      <c r="I3618" s="17"/>
      <c r="J3618" s="18"/>
    </row>
    <row r="3619" spans="9:10" x14ac:dyDescent="0.25">
      <c r="I3619" s="17"/>
      <c r="J3619" s="18"/>
    </row>
    <row r="3620" spans="9:10" x14ac:dyDescent="0.25">
      <c r="I3620" s="17"/>
      <c r="J3620" s="18"/>
    </row>
    <row r="3621" spans="9:10" x14ac:dyDescent="0.25">
      <c r="I3621" s="17"/>
      <c r="J3621" s="18"/>
    </row>
    <row r="3622" spans="9:10" x14ac:dyDescent="0.25">
      <c r="I3622" s="17"/>
      <c r="J3622" s="18"/>
    </row>
    <row r="3623" spans="9:10" x14ac:dyDescent="0.25">
      <c r="I3623" s="17"/>
      <c r="J3623" s="18"/>
    </row>
    <row r="3624" spans="9:10" x14ac:dyDescent="0.25">
      <c r="I3624" s="17"/>
      <c r="J3624" s="18"/>
    </row>
    <row r="3625" spans="9:10" x14ac:dyDescent="0.25">
      <c r="I3625" s="17"/>
      <c r="J3625" s="18"/>
    </row>
    <row r="3626" spans="9:10" x14ac:dyDescent="0.25">
      <c r="I3626" s="17"/>
      <c r="J3626" s="18"/>
    </row>
    <row r="3627" spans="9:10" x14ac:dyDescent="0.25">
      <c r="I3627" s="17"/>
      <c r="J3627" s="18"/>
    </row>
    <row r="3628" spans="9:10" x14ac:dyDescent="0.25">
      <c r="I3628" s="17"/>
      <c r="J3628" s="18"/>
    </row>
    <row r="3629" spans="9:10" x14ac:dyDescent="0.25">
      <c r="I3629" s="17"/>
      <c r="J3629" s="18"/>
    </row>
    <row r="3630" spans="9:10" x14ac:dyDescent="0.25">
      <c r="I3630" s="17"/>
      <c r="J3630" s="18"/>
    </row>
    <row r="3631" spans="9:10" x14ac:dyDescent="0.25">
      <c r="I3631" s="17"/>
      <c r="J3631" s="18"/>
    </row>
    <row r="3632" spans="9:10" x14ac:dyDescent="0.25">
      <c r="I3632" s="17"/>
      <c r="J3632" s="18"/>
    </row>
    <row r="3633" spans="9:10" x14ac:dyDescent="0.25">
      <c r="I3633" s="17"/>
      <c r="J3633" s="18"/>
    </row>
    <row r="3634" spans="9:10" x14ac:dyDescent="0.25">
      <c r="I3634" s="17"/>
      <c r="J3634" s="18"/>
    </row>
    <row r="3635" spans="9:10" x14ac:dyDescent="0.25">
      <c r="I3635" s="17"/>
      <c r="J3635" s="18"/>
    </row>
    <row r="3636" spans="9:10" x14ac:dyDescent="0.25">
      <c r="I3636" s="17"/>
      <c r="J3636" s="18"/>
    </row>
    <row r="3637" spans="9:10" x14ac:dyDescent="0.25">
      <c r="I3637" s="17"/>
      <c r="J3637" s="18"/>
    </row>
    <row r="3638" spans="9:10" x14ac:dyDescent="0.25">
      <c r="I3638" s="17"/>
      <c r="J3638" s="18"/>
    </row>
    <row r="3639" spans="9:10" x14ac:dyDescent="0.25">
      <c r="I3639" s="17"/>
      <c r="J3639" s="18"/>
    </row>
    <row r="3640" spans="9:10" x14ac:dyDescent="0.25">
      <c r="I3640" s="17"/>
      <c r="J3640" s="18"/>
    </row>
    <row r="3641" spans="9:10" x14ac:dyDescent="0.25">
      <c r="I3641" s="17"/>
      <c r="J3641" s="18"/>
    </row>
    <row r="3642" spans="9:10" x14ac:dyDescent="0.25">
      <c r="I3642" s="17"/>
      <c r="J3642" s="18"/>
    </row>
    <row r="3643" spans="9:10" x14ac:dyDescent="0.25">
      <c r="I3643" s="17"/>
      <c r="J3643" s="18"/>
    </row>
    <row r="3644" spans="9:10" x14ac:dyDescent="0.25">
      <c r="I3644" s="17"/>
      <c r="J3644" s="18"/>
    </row>
    <row r="3645" spans="9:10" x14ac:dyDescent="0.25">
      <c r="I3645" s="17"/>
      <c r="J3645" s="18"/>
    </row>
    <row r="3646" spans="9:10" x14ac:dyDescent="0.25">
      <c r="I3646" s="17"/>
      <c r="J3646" s="18"/>
    </row>
    <row r="3647" spans="9:10" x14ac:dyDescent="0.25">
      <c r="I3647" s="17"/>
      <c r="J3647" s="18"/>
    </row>
    <row r="3648" spans="9:10" x14ac:dyDescent="0.25">
      <c r="I3648" s="17"/>
      <c r="J3648" s="18"/>
    </row>
    <row r="3649" spans="9:10" x14ac:dyDescent="0.25">
      <c r="I3649" s="17"/>
      <c r="J3649" s="18"/>
    </row>
    <row r="3650" spans="9:10" x14ac:dyDescent="0.25">
      <c r="I3650" s="17"/>
      <c r="J3650" s="18"/>
    </row>
    <row r="3651" spans="9:10" x14ac:dyDescent="0.25">
      <c r="I3651" s="17"/>
      <c r="J3651" s="18"/>
    </row>
    <row r="3652" spans="9:10" x14ac:dyDescent="0.25">
      <c r="I3652" s="17"/>
      <c r="J3652" s="18"/>
    </row>
    <row r="3653" spans="9:10" x14ac:dyDescent="0.25">
      <c r="I3653" s="17"/>
      <c r="J3653" s="18"/>
    </row>
    <row r="3654" spans="9:10" x14ac:dyDescent="0.25">
      <c r="I3654" s="17"/>
      <c r="J3654" s="18"/>
    </row>
    <row r="3655" spans="9:10" x14ac:dyDescent="0.25">
      <c r="I3655" s="17"/>
      <c r="J3655" s="18"/>
    </row>
    <row r="3656" spans="9:10" x14ac:dyDescent="0.25">
      <c r="I3656" s="17"/>
      <c r="J3656" s="18"/>
    </row>
    <row r="3657" spans="9:10" x14ac:dyDescent="0.25">
      <c r="I3657" s="17"/>
      <c r="J3657" s="18"/>
    </row>
    <row r="3658" spans="9:10" x14ac:dyDescent="0.25">
      <c r="I3658" s="17"/>
      <c r="J3658" s="18"/>
    </row>
    <row r="3659" spans="9:10" x14ac:dyDescent="0.25">
      <c r="I3659" s="17"/>
      <c r="J3659" s="18"/>
    </row>
    <row r="3660" spans="9:10" x14ac:dyDescent="0.25">
      <c r="I3660" s="17"/>
      <c r="J3660" s="18"/>
    </row>
    <row r="3661" spans="9:10" x14ac:dyDescent="0.25">
      <c r="I3661" s="17"/>
      <c r="J3661" s="18"/>
    </row>
    <row r="3662" spans="9:10" x14ac:dyDescent="0.25">
      <c r="I3662" s="17"/>
      <c r="J3662" s="18"/>
    </row>
    <row r="3663" spans="9:10" x14ac:dyDescent="0.25">
      <c r="I3663" s="17"/>
      <c r="J3663" s="18"/>
    </row>
    <row r="3664" spans="9:10" x14ac:dyDescent="0.25">
      <c r="I3664" s="17"/>
      <c r="J3664" s="18"/>
    </row>
    <row r="3665" spans="9:10" x14ac:dyDescent="0.25">
      <c r="I3665" s="17"/>
      <c r="J3665" s="18"/>
    </row>
    <row r="3666" spans="9:10" x14ac:dyDescent="0.25">
      <c r="I3666" s="17"/>
      <c r="J3666" s="18"/>
    </row>
    <row r="3667" spans="9:10" x14ac:dyDescent="0.25">
      <c r="I3667" s="17"/>
      <c r="J3667" s="18"/>
    </row>
    <row r="3668" spans="9:10" x14ac:dyDescent="0.25">
      <c r="I3668" s="17"/>
      <c r="J3668" s="18"/>
    </row>
    <row r="3669" spans="9:10" x14ac:dyDescent="0.25">
      <c r="I3669" s="17"/>
      <c r="J3669" s="18"/>
    </row>
    <row r="3670" spans="9:10" x14ac:dyDescent="0.25">
      <c r="I3670" s="17"/>
      <c r="J3670" s="18"/>
    </row>
    <row r="3671" spans="9:10" x14ac:dyDescent="0.25">
      <c r="I3671" s="17"/>
      <c r="J3671" s="18"/>
    </row>
    <row r="3672" spans="9:10" x14ac:dyDescent="0.25">
      <c r="I3672" s="17"/>
      <c r="J3672" s="18"/>
    </row>
    <row r="3673" spans="9:10" x14ac:dyDescent="0.25">
      <c r="I3673" s="17"/>
      <c r="J3673" s="18"/>
    </row>
    <row r="3674" spans="9:10" x14ac:dyDescent="0.25">
      <c r="I3674" s="17"/>
      <c r="J3674" s="18"/>
    </row>
    <row r="3675" spans="9:10" x14ac:dyDescent="0.25">
      <c r="I3675" s="17"/>
      <c r="J3675" s="18"/>
    </row>
    <row r="3676" spans="9:10" x14ac:dyDescent="0.25">
      <c r="I3676" s="17"/>
      <c r="J3676" s="18"/>
    </row>
    <row r="3677" spans="9:10" x14ac:dyDescent="0.25">
      <c r="I3677" s="17"/>
      <c r="J3677" s="18"/>
    </row>
    <row r="3678" spans="9:10" x14ac:dyDescent="0.25">
      <c r="I3678" s="17"/>
      <c r="J3678" s="18"/>
    </row>
    <row r="3679" spans="9:10" x14ac:dyDescent="0.25">
      <c r="I3679" s="17"/>
      <c r="J3679" s="18"/>
    </row>
    <row r="3680" spans="9:10" x14ac:dyDescent="0.25">
      <c r="I3680" s="17"/>
      <c r="J3680" s="18"/>
    </row>
    <row r="3681" spans="9:10" x14ac:dyDescent="0.25">
      <c r="I3681" s="17"/>
      <c r="J3681" s="18"/>
    </row>
    <row r="3682" spans="9:10" x14ac:dyDescent="0.25">
      <c r="I3682" s="17"/>
      <c r="J3682" s="18"/>
    </row>
    <row r="3683" spans="9:10" x14ac:dyDescent="0.25">
      <c r="I3683" s="17"/>
      <c r="J3683" s="18"/>
    </row>
    <row r="3684" spans="9:10" x14ac:dyDescent="0.25">
      <c r="I3684" s="17"/>
      <c r="J3684" s="18"/>
    </row>
    <row r="3685" spans="9:10" x14ac:dyDescent="0.25">
      <c r="I3685" s="17"/>
      <c r="J3685" s="18"/>
    </row>
    <row r="3686" spans="9:10" x14ac:dyDescent="0.25">
      <c r="I3686" s="17"/>
      <c r="J3686" s="18"/>
    </row>
    <row r="3687" spans="9:10" x14ac:dyDescent="0.25">
      <c r="I3687" s="17"/>
      <c r="J3687" s="18"/>
    </row>
    <row r="3688" spans="9:10" x14ac:dyDescent="0.25">
      <c r="I3688" s="17"/>
      <c r="J3688" s="18"/>
    </row>
    <row r="3689" spans="9:10" x14ac:dyDescent="0.25">
      <c r="I3689" s="17"/>
      <c r="J3689" s="18"/>
    </row>
    <row r="3690" spans="9:10" x14ac:dyDescent="0.25">
      <c r="I3690" s="17"/>
      <c r="J3690" s="18"/>
    </row>
    <row r="3691" spans="9:10" x14ac:dyDescent="0.25">
      <c r="I3691" s="17"/>
      <c r="J3691" s="18"/>
    </row>
    <row r="3692" spans="9:10" x14ac:dyDescent="0.25">
      <c r="I3692" s="17"/>
      <c r="J3692" s="18"/>
    </row>
    <row r="3693" spans="9:10" x14ac:dyDescent="0.25">
      <c r="I3693" s="17"/>
      <c r="J3693" s="18"/>
    </row>
    <row r="3694" spans="9:10" x14ac:dyDescent="0.25">
      <c r="I3694" s="17"/>
      <c r="J3694" s="18"/>
    </row>
    <row r="3695" spans="9:10" x14ac:dyDescent="0.25">
      <c r="I3695" s="17"/>
      <c r="J3695" s="18"/>
    </row>
    <row r="3696" spans="9:10" x14ac:dyDescent="0.25">
      <c r="I3696" s="17"/>
      <c r="J3696" s="18"/>
    </row>
    <row r="3697" spans="9:10" x14ac:dyDescent="0.25">
      <c r="I3697" s="17"/>
      <c r="J3697" s="18"/>
    </row>
    <row r="3698" spans="9:10" x14ac:dyDescent="0.25">
      <c r="I3698" s="17"/>
      <c r="J3698" s="18"/>
    </row>
    <row r="3699" spans="9:10" x14ac:dyDescent="0.25">
      <c r="I3699" s="17"/>
      <c r="J3699" s="18"/>
    </row>
    <row r="3700" spans="9:10" x14ac:dyDescent="0.25">
      <c r="I3700" s="17"/>
      <c r="J3700" s="18"/>
    </row>
    <row r="3701" spans="9:10" x14ac:dyDescent="0.25">
      <c r="I3701" s="17"/>
      <c r="J3701" s="18"/>
    </row>
    <row r="3702" spans="9:10" x14ac:dyDescent="0.25">
      <c r="I3702" s="17"/>
      <c r="J3702" s="18"/>
    </row>
    <row r="3703" spans="9:10" x14ac:dyDescent="0.25">
      <c r="I3703" s="17"/>
      <c r="J3703" s="18"/>
    </row>
    <row r="3704" spans="9:10" x14ac:dyDescent="0.25">
      <c r="I3704" s="17"/>
      <c r="J3704" s="18"/>
    </row>
    <row r="3705" spans="9:10" x14ac:dyDescent="0.25">
      <c r="I3705" s="17"/>
      <c r="J3705" s="18"/>
    </row>
    <row r="3706" spans="9:10" x14ac:dyDescent="0.25">
      <c r="I3706" s="17"/>
      <c r="J3706" s="18"/>
    </row>
    <row r="3707" spans="9:10" x14ac:dyDescent="0.25">
      <c r="I3707" s="17"/>
      <c r="J3707" s="18"/>
    </row>
    <row r="3708" spans="9:10" x14ac:dyDescent="0.25">
      <c r="I3708" s="17"/>
      <c r="J3708" s="18"/>
    </row>
    <row r="3709" spans="9:10" x14ac:dyDescent="0.25">
      <c r="I3709" s="17"/>
      <c r="J3709" s="18"/>
    </row>
    <row r="3710" spans="9:10" x14ac:dyDescent="0.25">
      <c r="I3710" s="17"/>
      <c r="J3710" s="18"/>
    </row>
    <row r="3711" spans="9:10" x14ac:dyDescent="0.25">
      <c r="I3711" s="17"/>
      <c r="J3711" s="18"/>
    </row>
    <row r="3712" spans="9:10" x14ac:dyDescent="0.25">
      <c r="I3712" s="17"/>
      <c r="J3712" s="18"/>
    </row>
    <row r="3713" spans="9:10" x14ac:dyDescent="0.25">
      <c r="I3713" s="17"/>
      <c r="J3713" s="18"/>
    </row>
    <row r="3714" spans="9:10" x14ac:dyDescent="0.25">
      <c r="I3714" s="17"/>
      <c r="J3714" s="18"/>
    </row>
    <row r="3715" spans="9:10" x14ac:dyDescent="0.25">
      <c r="I3715" s="17"/>
      <c r="J3715" s="18"/>
    </row>
    <row r="3716" spans="9:10" x14ac:dyDescent="0.25">
      <c r="I3716" s="17"/>
      <c r="J3716" s="18"/>
    </row>
    <row r="3717" spans="9:10" x14ac:dyDescent="0.25">
      <c r="I3717" s="17"/>
      <c r="J3717" s="18"/>
    </row>
    <row r="3718" spans="9:10" x14ac:dyDescent="0.25">
      <c r="I3718" s="17"/>
      <c r="J3718" s="18"/>
    </row>
    <row r="3719" spans="9:10" x14ac:dyDescent="0.25">
      <c r="I3719" s="17"/>
      <c r="J3719" s="18"/>
    </row>
    <row r="3720" spans="9:10" x14ac:dyDescent="0.25">
      <c r="I3720" s="17"/>
      <c r="J3720" s="18"/>
    </row>
    <row r="3721" spans="9:10" x14ac:dyDescent="0.25">
      <c r="I3721" s="17"/>
      <c r="J3721" s="18"/>
    </row>
    <row r="3722" spans="9:10" x14ac:dyDescent="0.25">
      <c r="I3722" s="17"/>
      <c r="J3722" s="18"/>
    </row>
    <row r="3723" spans="9:10" x14ac:dyDescent="0.25">
      <c r="I3723" s="17"/>
      <c r="J3723" s="18"/>
    </row>
    <row r="3724" spans="9:10" x14ac:dyDescent="0.25">
      <c r="I3724" s="17"/>
      <c r="J3724" s="18"/>
    </row>
    <row r="3725" spans="9:10" x14ac:dyDescent="0.25">
      <c r="I3725" s="17"/>
      <c r="J3725" s="18"/>
    </row>
    <row r="3726" spans="9:10" x14ac:dyDescent="0.25">
      <c r="I3726" s="17"/>
      <c r="J3726" s="18"/>
    </row>
    <row r="3727" spans="9:10" x14ac:dyDescent="0.25">
      <c r="I3727" s="17"/>
      <c r="J3727" s="18"/>
    </row>
    <row r="3728" spans="9:10" x14ac:dyDescent="0.25">
      <c r="I3728" s="17"/>
      <c r="J3728" s="18"/>
    </row>
    <row r="3729" spans="9:10" x14ac:dyDescent="0.25">
      <c r="I3729" s="17"/>
      <c r="J3729" s="18"/>
    </row>
    <row r="3730" spans="9:10" x14ac:dyDescent="0.25">
      <c r="I3730" s="17"/>
      <c r="J3730" s="18"/>
    </row>
    <row r="3731" spans="9:10" x14ac:dyDescent="0.25">
      <c r="I3731" s="17"/>
      <c r="J3731" s="18"/>
    </row>
    <row r="3732" spans="9:10" x14ac:dyDescent="0.25">
      <c r="I3732" s="17"/>
      <c r="J3732" s="18"/>
    </row>
    <row r="3733" spans="9:10" x14ac:dyDescent="0.25">
      <c r="I3733" s="17"/>
      <c r="J3733" s="18"/>
    </row>
    <row r="3734" spans="9:10" x14ac:dyDescent="0.25">
      <c r="I3734" s="17"/>
      <c r="J3734" s="18"/>
    </row>
    <row r="3735" spans="9:10" x14ac:dyDescent="0.25">
      <c r="I3735" s="17"/>
      <c r="J3735" s="18"/>
    </row>
    <row r="3736" spans="9:10" x14ac:dyDescent="0.25">
      <c r="I3736" s="17"/>
      <c r="J3736" s="18"/>
    </row>
    <row r="3737" spans="9:10" x14ac:dyDescent="0.25">
      <c r="I3737" s="17"/>
      <c r="J3737" s="18"/>
    </row>
    <row r="3738" spans="9:10" x14ac:dyDescent="0.25">
      <c r="I3738" s="17"/>
      <c r="J3738" s="18"/>
    </row>
    <row r="3739" spans="9:10" x14ac:dyDescent="0.25">
      <c r="I3739" s="17"/>
      <c r="J3739" s="18"/>
    </row>
    <row r="3740" spans="9:10" x14ac:dyDescent="0.25">
      <c r="I3740" s="17"/>
      <c r="J3740" s="18"/>
    </row>
    <row r="3741" spans="9:10" x14ac:dyDescent="0.25">
      <c r="I3741" s="17"/>
      <c r="J3741" s="18"/>
    </row>
    <row r="3742" spans="9:10" x14ac:dyDescent="0.25">
      <c r="I3742" s="17"/>
      <c r="J3742" s="18"/>
    </row>
    <row r="3743" spans="9:10" x14ac:dyDescent="0.25">
      <c r="I3743" s="17"/>
      <c r="J3743" s="18"/>
    </row>
    <row r="3744" spans="9:10" x14ac:dyDescent="0.25">
      <c r="I3744" s="17"/>
      <c r="J3744" s="18"/>
    </row>
    <row r="3745" spans="9:10" x14ac:dyDescent="0.25">
      <c r="I3745" s="17"/>
      <c r="J3745" s="18"/>
    </row>
    <row r="3746" spans="9:10" x14ac:dyDescent="0.25">
      <c r="I3746" s="17"/>
      <c r="J3746" s="18"/>
    </row>
    <row r="3747" spans="9:10" x14ac:dyDescent="0.25">
      <c r="I3747" s="17"/>
      <c r="J3747" s="18"/>
    </row>
    <row r="3748" spans="9:10" x14ac:dyDescent="0.25">
      <c r="I3748" s="17"/>
      <c r="J3748" s="18"/>
    </row>
    <row r="3749" spans="9:10" x14ac:dyDescent="0.25">
      <c r="I3749" s="17"/>
      <c r="J3749" s="18"/>
    </row>
    <row r="3750" spans="9:10" x14ac:dyDescent="0.25">
      <c r="I3750" s="17"/>
      <c r="J3750" s="18"/>
    </row>
    <row r="3751" spans="9:10" x14ac:dyDescent="0.25">
      <c r="I3751" s="17"/>
      <c r="J3751" s="18"/>
    </row>
    <row r="3752" spans="9:10" x14ac:dyDescent="0.25">
      <c r="I3752" s="17"/>
      <c r="J3752" s="18"/>
    </row>
    <row r="3753" spans="9:10" x14ac:dyDescent="0.25">
      <c r="I3753" s="17"/>
      <c r="J3753" s="18"/>
    </row>
    <row r="3754" spans="9:10" x14ac:dyDescent="0.25">
      <c r="I3754" s="17"/>
      <c r="J3754" s="18"/>
    </row>
    <row r="3755" spans="9:10" x14ac:dyDescent="0.25">
      <c r="I3755" s="17"/>
      <c r="J3755" s="18"/>
    </row>
    <row r="3756" spans="9:10" x14ac:dyDescent="0.25">
      <c r="I3756" s="17"/>
      <c r="J3756" s="18"/>
    </row>
    <row r="3757" spans="9:10" x14ac:dyDescent="0.25">
      <c r="I3757" s="17"/>
      <c r="J3757" s="18"/>
    </row>
    <row r="3758" spans="9:10" x14ac:dyDescent="0.25">
      <c r="I3758" s="17"/>
      <c r="J3758" s="18"/>
    </row>
    <row r="3759" spans="9:10" x14ac:dyDescent="0.25">
      <c r="I3759" s="17"/>
      <c r="J3759" s="18"/>
    </row>
    <row r="3760" spans="9:10" x14ac:dyDescent="0.25">
      <c r="I3760" s="17"/>
      <c r="J3760" s="18"/>
    </row>
    <row r="3761" spans="9:10" x14ac:dyDescent="0.25">
      <c r="I3761" s="17"/>
      <c r="J3761" s="18"/>
    </row>
    <row r="3762" spans="9:10" x14ac:dyDescent="0.25">
      <c r="I3762" s="17"/>
      <c r="J3762" s="18"/>
    </row>
    <row r="3763" spans="9:10" x14ac:dyDescent="0.25">
      <c r="I3763" s="17"/>
      <c r="J3763" s="18"/>
    </row>
    <row r="3764" spans="9:10" x14ac:dyDescent="0.25">
      <c r="I3764" s="17"/>
      <c r="J3764" s="18"/>
    </row>
    <row r="3765" spans="9:10" x14ac:dyDescent="0.25">
      <c r="I3765" s="17"/>
      <c r="J3765" s="18"/>
    </row>
    <row r="3766" spans="9:10" x14ac:dyDescent="0.25">
      <c r="I3766" s="17"/>
      <c r="J3766" s="18"/>
    </row>
    <row r="3767" spans="9:10" x14ac:dyDescent="0.25">
      <c r="I3767" s="17"/>
      <c r="J3767" s="18"/>
    </row>
    <row r="3768" spans="9:10" x14ac:dyDescent="0.25">
      <c r="I3768" s="17"/>
      <c r="J3768" s="18"/>
    </row>
    <row r="3769" spans="9:10" x14ac:dyDescent="0.25">
      <c r="I3769" s="17"/>
      <c r="J3769" s="18"/>
    </row>
    <row r="3770" spans="9:10" x14ac:dyDescent="0.25">
      <c r="I3770" s="17"/>
      <c r="J3770" s="18"/>
    </row>
    <row r="3771" spans="9:10" x14ac:dyDescent="0.25">
      <c r="I3771" s="17"/>
      <c r="J3771" s="18"/>
    </row>
    <row r="3772" spans="9:10" x14ac:dyDescent="0.25">
      <c r="I3772" s="17"/>
      <c r="J3772" s="18"/>
    </row>
    <row r="3773" spans="9:10" x14ac:dyDescent="0.25">
      <c r="I3773" s="17"/>
      <c r="J3773" s="18"/>
    </row>
    <row r="3774" spans="9:10" x14ac:dyDescent="0.25">
      <c r="I3774" s="17"/>
      <c r="J3774" s="18"/>
    </row>
    <row r="3775" spans="9:10" x14ac:dyDescent="0.25">
      <c r="I3775" s="17"/>
      <c r="J3775" s="18"/>
    </row>
    <row r="3776" spans="9:10" x14ac:dyDescent="0.25">
      <c r="I3776" s="17"/>
      <c r="J3776" s="18"/>
    </row>
    <row r="3777" spans="9:10" x14ac:dyDescent="0.25">
      <c r="I3777" s="17"/>
      <c r="J3777" s="18"/>
    </row>
    <row r="3778" spans="9:10" x14ac:dyDescent="0.25">
      <c r="I3778" s="17"/>
      <c r="J3778" s="18"/>
    </row>
    <row r="3779" spans="9:10" x14ac:dyDescent="0.25">
      <c r="I3779" s="17"/>
      <c r="J3779" s="18"/>
    </row>
    <row r="3780" spans="9:10" x14ac:dyDescent="0.25">
      <c r="I3780" s="17"/>
      <c r="J3780" s="18"/>
    </row>
    <row r="3781" spans="9:10" x14ac:dyDescent="0.25">
      <c r="I3781" s="17"/>
      <c r="J3781" s="18"/>
    </row>
    <row r="3782" spans="9:10" x14ac:dyDescent="0.25">
      <c r="I3782" s="17"/>
      <c r="J3782" s="18"/>
    </row>
    <row r="3783" spans="9:10" x14ac:dyDescent="0.25">
      <c r="I3783" s="17"/>
      <c r="J3783" s="18"/>
    </row>
    <row r="3784" spans="9:10" x14ac:dyDescent="0.25">
      <c r="I3784" s="17"/>
      <c r="J3784" s="18"/>
    </row>
    <row r="3785" spans="9:10" x14ac:dyDescent="0.25">
      <c r="I3785" s="17"/>
      <c r="J3785" s="18"/>
    </row>
    <row r="3786" spans="9:10" x14ac:dyDescent="0.25">
      <c r="I3786" s="17"/>
      <c r="J3786" s="18"/>
    </row>
    <row r="3787" spans="9:10" x14ac:dyDescent="0.25">
      <c r="I3787" s="17"/>
      <c r="J3787" s="18"/>
    </row>
    <row r="3788" spans="9:10" x14ac:dyDescent="0.25">
      <c r="I3788" s="17"/>
      <c r="J3788" s="18"/>
    </row>
    <row r="3789" spans="9:10" x14ac:dyDescent="0.25">
      <c r="I3789" s="17"/>
      <c r="J3789" s="18"/>
    </row>
    <row r="3790" spans="9:10" x14ac:dyDescent="0.25">
      <c r="I3790" s="17"/>
      <c r="J3790" s="18"/>
    </row>
    <row r="3791" spans="9:10" x14ac:dyDescent="0.25">
      <c r="I3791" s="17"/>
      <c r="J3791" s="18"/>
    </row>
    <row r="3792" spans="9:10" x14ac:dyDescent="0.25">
      <c r="I3792" s="17"/>
      <c r="J3792" s="18"/>
    </row>
    <row r="3793" spans="9:10" x14ac:dyDescent="0.25">
      <c r="I3793" s="17"/>
      <c r="J3793" s="18"/>
    </row>
    <row r="3794" spans="9:10" x14ac:dyDescent="0.25">
      <c r="I3794" s="17"/>
      <c r="J3794" s="18"/>
    </row>
    <row r="3795" spans="9:10" x14ac:dyDescent="0.25">
      <c r="I3795" s="17"/>
      <c r="J3795" s="18"/>
    </row>
    <row r="3796" spans="9:10" x14ac:dyDescent="0.25">
      <c r="I3796" s="17"/>
      <c r="J3796" s="18"/>
    </row>
    <row r="3797" spans="9:10" x14ac:dyDescent="0.25">
      <c r="I3797" s="17"/>
      <c r="J3797" s="18"/>
    </row>
    <row r="3798" spans="9:10" x14ac:dyDescent="0.25">
      <c r="I3798" s="17"/>
      <c r="J3798" s="18"/>
    </row>
    <row r="3799" spans="9:10" x14ac:dyDescent="0.25">
      <c r="I3799" s="17"/>
      <c r="J3799" s="18"/>
    </row>
    <row r="3800" spans="9:10" x14ac:dyDescent="0.25">
      <c r="I3800" s="17"/>
      <c r="J3800" s="18"/>
    </row>
    <row r="3801" spans="9:10" x14ac:dyDescent="0.25">
      <c r="I3801" s="17"/>
      <c r="J3801" s="18"/>
    </row>
    <row r="3802" spans="9:10" x14ac:dyDescent="0.25">
      <c r="I3802" s="17"/>
      <c r="J3802" s="18"/>
    </row>
    <row r="3803" spans="9:10" x14ac:dyDescent="0.25">
      <c r="I3803" s="17"/>
      <c r="J3803" s="18"/>
    </row>
    <row r="3804" spans="9:10" x14ac:dyDescent="0.25">
      <c r="I3804" s="17"/>
      <c r="J3804" s="18"/>
    </row>
    <row r="3805" spans="9:10" x14ac:dyDescent="0.25">
      <c r="I3805" s="17"/>
      <c r="J3805" s="18"/>
    </row>
    <row r="3806" spans="9:10" x14ac:dyDescent="0.25">
      <c r="I3806" s="17"/>
      <c r="J3806" s="18"/>
    </row>
    <row r="3807" spans="9:10" x14ac:dyDescent="0.25">
      <c r="I3807" s="17"/>
      <c r="J3807" s="18"/>
    </row>
    <row r="3808" spans="9:10" x14ac:dyDescent="0.25">
      <c r="I3808" s="17"/>
      <c r="J3808" s="18"/>
    </row>
    <row r="3809" spans="9:10" x14ac:dyDescent="0.25">
      <c r="I3809" s="17"/>
      <c r="J3809" s="18"/>
    </row>
    <row r="3810" spans="9:10" x14ac:dyDescent="0.25">
      <c r="I3810" s="17"/>
      <c r="J3810" s="18"/>
    </row>
    <row r="3811" spans="9:10" x14ac:dyDescent="0.25">
      <c r="I3811" s="17"/>
      <c r="J3811" s="18"/>
    </row>
    <row r="3812" spans="9:10" x14ac:dyDescent="0.25">
      <c r="I3812" s="17"/>
      <c r="J3812" s="18"/>
    </row>
    <row r="3813" spans="9:10" x14ac:dyDescent="0.25">
      <c r="I3813" s="17"/>
      <c r="J3813" s="18"/>
    </row>
    <row r="3814" spans="9:10" x14ac:dyDescent="0.25">
      <c r="I3814" s="17"/>
      <c r="J3814" s="18"/>
    </row>
    <row r="3815" spans="9:10" x14ac:dyDescent="0.25">
      <c r="I3815" s="17"/>
      <c r="J3815" s="18"/>
    </row>
    <row r="3816" spans="9:10" x14ac:dyDescent="0.25">
      <c r="I3816" s="17"/>
      <c r="J3816" s="18"/>
    </row>
    <row r="3817" spans="9:10" x14ac:dyDescent="0.25">
      <c r="I3817" s="17"/>
      <c r="J3817" s="18"/>
    </row>
    <row r="3818" spans="9:10" x14ac:dyDescent="0.25">
      <c r="I3818" s="17"/>
      <c r="J3818" s="18"/>
    </row>
    <row r="3819" spans="9:10" x14ac:dyDescent="0.25">
      <c r="I3819" s="17"/>
      <c r="J3819" s="18"/>
    </row>
    <row r="3820" spans="9:10" x14ac:dyDescent="0.25">
      <c r="I3820" s="17"/>
      <c r="J3820" s="18"/>
    </row>
    <row r="3821" spans="9:10" x14ac:dyDescent="0.25">
      <c r="I3821" s="17"/>
      <c r="J3821" s="18"/>
    </row>
    <row r="3822" spans="9:10" x14ac:dyDescent="0.25">
      <c r="I3822" s="17"/>
      <c r="J3822" s="18"/>
    </row>
    <row r="3823" spans="9:10" x14ac:dyDescent="0.25">
      <c r="I3823" s="17"/>
      <c r="J3823" s="18"/>
    </row>
    <row r="3824" spans="9:10" x14ac:dyDescent="0.25">
      <c r="I3824" s="17"/>
      <c r="J3824" s="18"/>
    </row>
    <row r="3825" spans="9:10" x14ac:dyDescent="0.25">
      <c r="I3825" s="17"/>
      <c r="J3825" s="18"/>
    </row>
    <row r="3826" spans="9:10" x14ac:dyDescent="0.25">
      <c r="I3826" s="17"/>
      <c r="J3826" s="18"/>
    </row>
    <row r="3827" spans="9:10" x14ac:dyDescent="0.25">
      <c r="I3827" s="17"/>
      <c r="J3827" s="18"/>
    </row>
    <row r="3828" spans="9:10" x14ac:dyDescent="0.25">
      <c r="I3828" s="17"/>
      <c r="J3828" s="18"/>
    </row>
    <row r="3829" spans="9:10" x14ac:dyDescent="0.25">
      <c r="I3829" s="17"/>
      <c r="J3829" s="18"/>
    </row>
    <row r="3830" spans="9:10" x14ac:dyDescent="0.25">
      <c r="I3830" s="17"/>
      <c r="J3830" s="18"/>
    </row>
    <row r="3831" spans="9:10" x14ac:dyDescent="0.25">
      <c r="I3831" s="17"/>
      <c r="J3831" s="18"/>
    </row>
    <row r="3832" spans="9:10" x14ac:dyDescent="0.25">
      <c r="I3832" s="17"/>
      <c r="J3832" s="18"/>
    </row>
    <row r="3833" spans="9:10" x14ac:dyDescent="0.25">
      <c r="I3833" s="17"/>
      <c r="J3833" s="18"/>
    </row>
    <row r="3834" spans="9:10" x14ac:dyDescent="0.25">
      <c r="I3834" s="17"/>
      <c r="J3834" s="18"/>
    </row>
    <row r="3835" spans="9:10" x14ac:dyDescent="0.25">
      <c r="I3835" s="17"/>
      <c r="J3835" s="18"/>
    </row>
    <row r="3836" spans="9:10" x14ac:dyDescent="0.25">
      <c r="I3836" s="17"/>
      <c r="J3836" s="18"/>
    </row>
    <row r="3837" spans="9:10" x14ac:dyDescent="0.25">
      <c r="I3837" s="17"/>
      <c r="J3837" s="18"/>
    </row>
    <row r="3838" spans="9:10" x14ac:dyDescent="0.25">
      <c r="I3838" s="17"/>
      <c r="J3838" s="18"/>
    </row>
    <row r="3839" spans="9:10" x14ac:dyDescent="0.25">
      <c r="I3839" s="17"/>
      <c r="J3839" s="18"/>
    </row>
    <row r="3840" spans="9:10" x14ac:dyDescent="0.25">
      <c r="I3840" s="17"/>
      <c r="J3840" s="18"/>
    </row>
    <row r="3841" spans="9:10" x14ac:dyDescent="0.25">
      <c r="I3841" s="17"/>
      <c r="J3841" s="18"/>
    </row>
    <row r="3842" spans="9:10" x14ac:dyDescent="0.25">
      <c r="I3842" s="17"/>
      <c r="J3842" s="18"/>
    </row>
    <row r="3843" spans="9:10" x14ac:dyDescent="0.25">
      <c r="I3843" s="17"/>
      <c r="J3843" s="18"/>
    </row>
    <row r="3844" spans="9:10" x14ac:dyDescent="0.25">
      <c r="I3844" s="17"/>
      <c r="J3844" s="18"/>
    </row>
    <row r="3845" spans="9:10" x14ac:dyDescent="0.25">
      <c r="I3845" s="17"/>
      <c r="J3845" s="18"/>
    </row>
    <row r="3846" spans="9:10" x14ac:dyDescent="0.25">
      <c r="I3846" s="17"/>
      <c r="J3846" s="18"/>
    </row>
    <row r="3847" spans="9:10" x14ac:dyDescent="0.25">
      <c r="I3847" s="17"/>
      <c r="J3847" s="18"/>
    </row>
    <row r="3848" spans="9:10" x14ac:dyDescent="0.25">
      <c r="I3848" s="17"/>
      <c r="J3848" s="18"/>
    </row>
    <row r="3849" spans="9:10" x14ac:dyDescent="0.25">
      <c r="I3849" s="17"/>
      <c r="J3849" s="18"/>
    </row>
    <row r="3850" spans="9:10" x14ac:dyDescent="0.25">
      <c r="I3850" s="17"/>
      <c r="J3850" s="18"/>
    </row>
    <row r="3851" spans="9:10" x14ac:dyDescent="0.25">
      <c r="I3851" s="17"/>
      <c r="J3851" s="18"/>
    </row>
    <row r="3852" spans="9:10" x14ac:dyDescent="0.25">
      <c r="I3852" s="17"/>
      <c r="J3852" s="18"/>
    </row>
    <row r="3853" spans="9:10" x14ac:dyDescent="0.25">
      <c r="I3853" s="17"/>
      <c r="J3853" s="18"/>
    </row>
    <row r="3854" spans="9:10" x14ac:dyDescent="0.25">
      <c r="I3854" s="17"/>
      <c r="J3854" s="18"/>
    </row>
    <row r="3855" spans="9:10" x14ac:dyDescent="0.25">
      <c r="I3855" s="17"/>
      <c r="J3855" s="18"/>
    </row>
    <row r="3856" spans="9:10" x14ac:dyDescent="0.25">
      <c r="I3856" s="17"/>
      <c r="J3856" s="18"/>
    </row>
    <row r="3857" spans="9:10" x14ac:dyDescent="0.25">
      <c r="I3857" s="17"/>
      <c r="J3857" s="18"/>
    </row>
    <row r="3858" spans="9:10" x14ac:dyDescent="0.25">
      <c r="I3858" s="17"/>
      <c r="J3858" s="18"/>
    </row>
    <row r="3859" spans="9:10" x14ac:dyDescent="0.25">
      <c r="I3859" s="17"/>
      <c r="J3859" s="18"/>
    </row>
    <row r="3860" spans="9:10" x14ac:dyDescent="0.25">
      <c r="I3860" s="17"/>
      <c r="J3860" s="18"/>
    </row>
    <row r="3861" spans="9:10" x14ac:dyDescent="0.25">
      <c r="I3861" s="17"/>
      <c r="J3861" s="18"/>
    </row>
    <row r="3862" spans="9:10" x14ac:dyDescent="0.25">
      <c r="I3862" s="17"/>
      <c r="J3862" s="18"/>
    </row>
    <row r="3863" spans="9:10" x14ac:dyDescent="0.25">
      <c r="I3863" s="17"/>
      <c r="J3863" s="18"/>
    </row>
    <row r="3864" spans="9:10" x14ac:dyDescent="0.25">
      <c r="I3864" s="17"/>
      <c r="J3864" s="18"/>
    </row>
    <row r="3865" spans="9:10" x14ac:dyDescent="0.25">
      <c r="I3865" s="17"/>
      <c r="J3865" s="18"/>
    </row>
    <row r="3866" spans="9:10" x14ac:dyDescent="0.25">
      <c r="I3866" s="17"/>
      <c r="J3866" s="18"/>
    </row>
    <row r="3867" spans="9:10" x14ac:dyDescent="0.25">
      <c r="I3867" s="17"/>
      <c r="J3867" s="18"/>
    </row>
    <row r="3868" spans="9:10" x14ac:dyDescent="0.25">
      <c r="I3868" s="17"/>
      <c r="J3868" s="18"/>
    </row>
    <row r="3869" spans="9:10" x14ac:dyDescent="0.25">
      <c r="I3869" s="17"/>
      <c r="J3869" s="18"/>
    </row>
    <row r="3870" spans="9:10" x14ac:dyDescent="0.25">
      <c r="I3870" s="17"/>
      <c r="J3870" s="18"/>
    </row>
    <row r="3871" spans="9:10" x14ac:dyDescent="0.25">
      <c r="I3871" s="17"/>
      <c r="J3871" s="18"/>
    </row>
    <row r="3872" spans="9:10" x14ac:dyDescent="0.25">
      <c r="I3872" s="17"/>
      <c r="J3872" s="18"/>
    </row>
    <row r="3873" spans="9:10" x14ac:dyDescent="0.25">
      <c r="I3873" s="17"/>
      <c r="J3873" s="18"/>
    </row>
    <row r="3874" spans="9:10" x14ac:dyDescent="0.25">
      <c r="I3874" s="17"/>
      <c r="J3874" s="18"/>
    </row>
    <row r="3875" spans="9:10" x14ac:dyDescent="0.25">
      <c r="I3875" s="17"/>
      <c r="J3875" s="18"/>
    </row>
    <row r="3876" spans="9:10" x14ac:dyDescent="0.25">
      <c r="I3876" s="17"/>
      <c r="J3876" s="18"/>
    </row>
    <row r="3877" spans="9:10" x14ac:dyDescent="0.25">
      <c r="I3877" s="17"/>
      <c r="J3877" s="18"/>
    </row>
    <row r="3878" spans="9:10" x14ac:dyDescent="0.25">
      <c r="I3878" s="17"/>
      <c r="J3878" s="18"/>
    </row>
    <row r="3879" spans="9:10" x14ac:dyDescent="0.25">
      <c r="I3879" s="17"/>
      <c r="J3879" s="18"/>
    </row>
    <row r="3880" spans="9:10" x14ac:dyDescent="0.25">
      <c r="I3880" s="17"/>
      <c r="J3880" s="18"/>
    </row>
    <row r="3881" spans="9:10" x14ac:dyDescent="0.25">
      <c r="I3881" s="17"/>
      <c r="J3881" s="18"/>
    </row>
    <row r="3882" spans="9:10" x14ac:dyDescent="0.25">
      <c r="I3882" s="17"/>
      <c r="J3882" s="18"/>
    </row>
    <row r="3883" spans="9:10" x14ac:dyDescent="0.25">
      <c r="I3883" s="17"/>
      <c r="J3883" s="18"/>
    </row>
    <row r="3884" spans="9:10" x14ac:dyDescent="0.25">
      <c r="I3884" s="17"/>
      <c r="J3884" s="18"/>
    </row>
    <row r="3885" spans="9:10" x14ac:dyDescent="0.25">
      <c r="I3885" s="17"/>
      <c r="J3885" s="18"/>
    </row>
    <row r="3886" spans="9:10" x14ac:dyDescent="0.25">
      <c r="I3886" s="17"/>
      <c r="J3886" s="18"/>
    </row>
    <row r="3887" spans="9:10" x14ac:dyDescent="0.25">
      <c r="I3887" s="17"/>
      <c r="J3887" s="18"/>
    </row>
    <row r="3888" spans="9:10" x14ac:dyDescent="0.25">
      <c r="I3888" s="17"/>
      <c r="J3888" s="18"/>
    </row>
    <row r="3889" spans="9:10" x14ac:dyDescent="0.25">
      <c r="I3889" s="17"/>
      <c r="J3889" s="18"/>
    </row>
    <row r="3890" spans="9:10" x14ac:dyDescent="0.25">
      <c r="I3890" s="17"/>
      <c r="J3890" s="18"/>
    </row>
    <row r="3891" spans="9:10" x14ac:dyDescent="0.25">
      <c r="I3891" s="17"/>
      <c r="J3891" s="18"/>
    </row>
    <row r="3892" spans="9:10" x14ac:dyDescent="0.25">
      <c r="I3892" s="17"/>
      <c r="J3892" s="18"/>
    </row>
    <row r="3893" spans="9:10" x14ac:dyDescent="0.25">
      <c r="I3893" s="17"/>
      <c r="J3893" s="18"/>
    </row>
    <row r="3894" spans="9:10" x14ac:dyDescent="0.25">
      <c r="I3894" s="17"/>
      <c r="J3894" s="18"/>
    </row>
    <row r="3895" spans="9:10" x14ac:dyDescent="0.25">
      <c r="I3895" s="17"/>
      <c r="J3895" s="18"/>
    </row>
    <row r="3896" spans="9:10" x14ac:dyDescent="0.25">
      <c r="I3896" s="17"/>
      <c r="J3896" s="18"/>
    </row>
    <row r="3897" spans="9:10" x14ac:dyDescent="0.25">
      <c r="I3897" s="17"/>
      <c r="J3897" s="18"/>
    </row>
    <row r="3898" spans="9:10" x14ac:dyDescent="0.25">
      <c r="I3898" s="17"/>
      <c r="J3898" s="18"/>
    </row>
    <row r="3899" spans="9:10" x14ac:dyDescent="0.25">
      <c r="I3899" s="17"/>
      <c r="J3899" s="18"/>
    </row>
    <row r="3900" spans="9:10" x14ac:dyDescent="0.25">
      <c r="I3900" s="17"/>
      <c r="J3900" s="18"/>
    </row>
    <row r="3901" spans="9:10" x14ac:dyDescent="0.25">
      <c r="I3901" s="17"/>
      <c r="J3901" s="18"/>
    </row>
    <row r="3902" spans="9:10" x14ac:dyDescent="0.25">
      <c r="I3902" s="17"/>
      <c r="J3902" s="18"/>
    </row>
    <row r="3903" spans="9:10" x14ac:dyDescent="0.25">
      <c r="I3903" s="17"/>
      <c r="J3903" s="18"/>
    </row>
    <row r="3904" spans="9:10" x14ac:dyDescent="0.25">
      <c r="I3904" s="17"/>
      <c r="J3904" s="18"/>
    </row>
    <row r="3905" spans="9:10" x14ac:dyDescent="0.25">
      <c r="I3905" s="17"/>
      <c r="J3905" s="18"/>
    </row>
    <row r="3906" spans="9:10" x14ac:dyDescent="0.25">
      <c r="I3906" s="17"/>
      <c r="J3906" s="18"/>
    </row>
    <row r="3907" spans="9:10" x14ac:dyDescent="0.25">
      <c r="I3907" s="17"/>
      <c r="J3907" s="18"/>
    </row>
    <row r="3908" spans="9:10" x14ac:dyDescent="0.25">
      <c r="I3908" s="17"/>
      <c r="J3908" s="18"/>
    </row>
    <row r="3909" spans="9:10" x14ac:dyDescent="0.25">
      <c r="I3909" s="17"/>
      <c r="J3909" s="18"/>
    </row>
    <row r="3910" spans="9:10" x14ac:dyDescent="0.25">
      <c r="I3910" s="17"/>
      <c r="J3910" s="18"/>
    </row>
    <row r="3911" spans="9:10" x14ac:dyDescent="0.25">
      <c r="I3911" s="17"/>
      <c r="J3911" s="18"/>
    </row>
    <row r="3912" spans="9:10" x14ac:dyDescent="0.25">
      <c r="I3912" s="17"/>
      <c r="J3912" s="18"/>
    </row>
    <row r="3913" spans="9:10" x14ac:dyDescent="0.25">
      <c r="I3913" s="17"/>
      <c r="J3913" s="18"/>
    </row>
    <row r="3914" spans="9:10" x14ac:dyDescent="0.25">
      <c r="I3914" s="17"/>
      <c r="J3914" s="18"/>
    </row>
    <row r="3915" spans="9:10" x14ac:dyDescent="0.25">
      <c r="I3915" s="17"/>
      <c r="J3915" s="18"/>
    </row>
    <row r="3916" spans="9:10" x14ac:dyDescent="0.25">
      <c r="I3916" s="17"/>
      <c r="J3916" s="18"/>
    </row>
    <row r="3917" spans="9:10" x14ac:dyDescent="0.25">
      <c r="I3917" s="17"/>
      <c r="J3917" s="18"/>
    </row>
    <row r="3918" spans="9:10" x14ac:dyDescent="0.25">
      <c r="I3918" s="17"/>
      <c r="J3918" s="18"/>
    </row>
    <row r="3919" spans="9:10" x14ac:dyDescent="0.25">
      <c r="I3919" s="17"/>
      <c r="J3919" s="18"/>
    </row>
    <row r="3920" spans="9:10" x14ac:dyDescent="0.25">
      <c r="I3920" s="17"/>
      <c r="J3920" s="18"/>
    </row>
    <row r="3921" spans="9:10" x14ac:dyDescent="0.25">
      <c r="I3921" s="17"/>
      <c r="J3921" s="18"/>
    </row>
    <row r="3922" spans="9:10" x14ac:dyDescent="0.25">
      <c r="I3922" s="17"/>
      <c r="J3922" s="18"/>
    </row>
    <row r="3923" spans="9:10" x14ac:dyDescent="0.25">
      <c r="I3923" s="17"/>
      <c r="J3923" s="18"/>
    </row>
    <row r="3924" spans="9:10" x14ac:dyDescent="0.25">
      <c r="I3924" s="17"/>
      <c r="J3924" s="18"/>
    </row>
    <row r="3925" spans="9:10" x14ac:dyDescent="0.25">
      <c r="I3925" s="17"/>
      <c r="J3925" s="18"/>
    </row>
    <row r="3926" spans="9:10" x14ac:dyDescent="0.25">
      <c r="I3926" s="17"/>
      <c r="J3926" s="18"/>
    </row>
    <row r="3927" spans="9:10" x14ac:dyDescent="0.25">
      <c r="I3927" s="17"/>
      <c r="J3927" s="18"/>
    </row>
    <row r="3928" spans="9:10" x14ac:dyDescent="0.25">
      <c r="I3928" s="17"/>
      <c r="J3928" s="18"/>
    </row>
    <row r="3929" spans="9:10" x14ac:dyDescent="0.25">
      <c r="I3929" s="17"/>
      <c r="J3929" s="18"/>
    </row>
    <row r="3930" spans="9:10" x14ac:dyDescent="0.25">
      <c r="I3930" s="17"/>
      <c r="J3930" s="18"/>
    </row>
    <row r="3931" spans="9:10" x14ac:dyDescent="0.25">
      <c r="I3931" s="17"/>
      <c r="J3931" s="18"/>
    </row>
    <row r="3932" spans="9:10" x14ac:dyDescent="0.25">
      <c r="I3932" s="17"/>
      <c r="J3932" s="18"/>
    </row>
    <row r="3933" spans="9:10" x14ac:dyDescent="0.25">
      <c r="I3933" s="17"/>
      <c r="J3933" s="18"/>
    </row>
    <row r="3934" spans="9:10" x14ac:dyDescent="0.25">
      <c r="I3934" s="17"/>
      <c r="J3934" s="18"/>
    </row>
    <row r="3935" spans="9:10" x14ac:dyDescent="0.25">
      <c r="I3935" s="17"/>
      <c r="J3935" s="18"/>
    </row>
    <row r="3936" spans="9:10" x14ac:dyDescent="0.25">
      <c r="I3936" s="17"/>
      <c r="J3936" s="18"/>
    </row>
    <row r="3937" spans="9:10" x14ac:dyDescent="0.25">
      <c r="I3937" s="17"/>
      <c r="J3937" s="18"/>
    </row>
    <row r="3938" spans="9:10" x14ac:dyDescent="0.25">
      <c r="I3938" s="17"/>
      <c r="J3938" s="18"/>
    </row>
    <row r="3939" spans="9:10" x14ac:dyDescent="0.25">
      <c r="I3939" s="17"/>
      <c r="J3939" s="18"/>
    </row>
    <row r="3940" spans="9:10" x14ac:dyDescent="0.25">
      <c r="I3940" s="17"/>
      <c r="J3940" s="18"/>
    </row>
    <row r="3941" spans="9:10" x14ac:dyDescent="0.25">
      <c r="I3941" s="17"/>
      <c r="J3941" s="18"/>
    </row>
    <row r="3942" spans="9:10" x14ac:dyDescent="0.25">
      <c r="I3942" s="17"/>
      <c r="J3942" s="18"/>
    </row>
    <row r="3943" spans="9:10" x14ac:dyDescent="0.25">
      <c r="I3943" s="17"/>
      <c r="J3943" s="18"/>
    </row>
    <row r="3944" spans="9:10" x14ac:dyDescent="0.25">
      <c r="I3944" s="17"/>
      <c r="J3944" s="18"/>
    </row>
    <row r="3945" spans="9:10" x14ac:dyDescent="0.25">
      <c r="I3945" s="17"/>
      <c r="J3945" s="18"/>
    </row>
    <row r="3946" spans="9:10" x14ac:dyDescent="0.25">
      <c r="I3946" s="17"/>
      <c r="J3946" s="18"/>
    </row>
    <row r="3947" spans="9:10" x14ac:dyDescent="0.25">
      <c r="I3947" s="17"/>
      <c r="J3947" s="18"/>
    </row>
    <row r="3948" spans="9:10" x14ac:dyDescent="0.25">
      <c r="I3948" s="17"/>
      <c r="J3948" s="18"/>
    </row>
    <row r="3949" spans="9:10" x14ac:dyDescent="0.25">
      <c r="I3949" s="17"/>
      <c r="J3949" s="18"/>
    </row>
    <row r="3950" spans="9:10" x14ac:dyDescent="0.25">
      <c r="I3950" s="17"/>
      <c r="J3950" s="18"/>
    </row>
    <row r="3951" spans="9:10" x14ac:dyDescent="0.25">
      <c r="I3951" s="17"/>
      <c r="J3951" s="18"/>
    </row>
    <row r="3952" spans="9:10" x14ac:dyDescent="0.25">
      <c r="I3952" s="17"/>
      <c r="J3952" s="18"/>
    </row>
    <row r="3953" spans="9:10" x14ac:dyDescent="0.25">
      <c r="I3953" s="17"/>
      <c r="J3953" s="18"/>
    </row>
    <row r="3954" spans="9:10" x14ac:dyDescent="0.25">
      <c r="I3954" s="17"/>
      <c r="J3954" s="18"/>
    </row>
    <row r="3955" spans="9:10" x14ac:dyDescent="0.25">
      <c r="I3955" s="17"/>
      <c r="J3955" s="18"/>
    </row>
    <row r="3956" spans="9:10" x14ac:dyDescent="0.25">
      <c r="I3956" s="17"/>
      <c r="J3956" s="18"/>
    </row>
    <row r="3957" spans="9:10" x14ac:dyDescent="0.25">
      <c r="I3957" s="17"/>
      <c r="J3957" s="18"/>
    </row>
    <row r="3958" spans="9:10" x14ac:dyDescent="0.25">
      <c r="I3958" s="17"/>
      <c r="J3958" s="18"/>
    </row>
    <row r="3959" spans="9:10" x14ac:dyDescent="0.25">
      <c r="I3959" s="17"/>
      <c r="J3959" s="18"/>
    </row>
    <row r="3960" spans="9:10" x14ac:dyDescent="0.25">
      <c r="I3960" s="17"/>
      <c r="J3960" s="18"/>
    </row>
    <row r="3961" spans="9:10" x14ac:dyDescent="0.25">
      <c r="I3961" s="17"/>
      <c r="J3961" s="18"/>
    </row>
    <row r="3962" spans="9:10" x14ac:dyDescent="0.25">
      <c r="I3962" s="17"/>
      <c r="J3962" s="18"/>
    </row>
    <row r="3963" spans="9:10" x14ac:dyDescent="0.25">
      <c r="I3963" s="17"/>
      <c r="J3963" s="18"/>
    </row>
    <row r="3964" spans="9:10" x14ac:dyDescent="0.25">
      <c r="I3964" s="17"/>
      <c r="J3964" s="18"/>
    </row>
    <row r="3965" spans="9:10" x14ac:dyDescent="0.25">
      <c r="I3965" s="17"/>
      <c r="J3965" s="18"/>
    </row>
    <row r="3966" spans="9:10" x14ac:dyDescent="0.25">
      <c r="I3966" s="17"/>
      <c r="J3966" s="18"/>
    </row>
    <row r="3967" spans="9:10" x14ac:dyDescent="0.25">
      <c r="I3967" s="17"/>
      <c r="J3967" s="18"/>
    </row>
    <row r="3968" spans="9:10" x14ac:dyDescent="0.25">
      <c r="I3968" s="17"/>
      <c r="J3968" s="18"/>
    </row>
    <row r="3969" spans="9:10" x14ac:dyDescent="0.25">
      <c r="I3969" s="17"/>
      <c r="J3969" s="18"/>
    </row>
    <row r="3970" spans="9:10" x14ac:dyDescent="0.25">
      <c r="I3970" s="17"/>
      <c r="J3970" s="18"/>
    </row>
    <row r="3971" spans="9:10" x14ac:dyDescent="0.25">
      <c r="I3971" s="17"/>
      <c r="J3971" s="18"/>
    </row>
    <row r="3972" spans="9:10" x14ac:dyDescent="0.25">
      <c r="I3972" s="17"/>
      <c r="J3972" s="18"/>
    </row>
    <row r="3973" spans="9:10" x14ac:dyDescent="0.25">
      <c r="I3973" s="17"/>
      <c r="J3973" s="18"/>
    </row>
    <row r="3974" spans="9:10" x14ac:dyDescent="0.25">
      <c r="I3974" s="17"/>
      <c r="J3974" s="18"/>
    </row>
    <row r="3975" spans="9:10" x14ac:dyDescent="0.25">
      <c r="I3975" s="17"/>
      <c r="J3975" s="18"/>
    </row>
    <row r="3976" spans="9:10" x14ac:dyDescent="0.25">
      <c r="I3976" s="17"/>
      <c r="J3976" s="18"/>
    </row>
    <row r="3977" spans="9:10" x14ac:dyDescent="0.25">
      <c r="I3977" s="17"/>
      <c r="J3977" s="18"/>
    </row>
    <row r="3978" spans="9:10" x14ac:dyDescent="0.25">
      <c r="I3978" s="17"/>
      <c r="J3978" s="18"/>
    </row>
    <row r="3979" spans="9:10" x14ac:dyDescent="0.25">
      <c r="I3979" s="17"/>
      <c r="J3979" s="18"/>
    </row>
    <row r="3980" spans="9:10" x14ac:dyDescent="0.25">
      <c r="I3980" s="17"/>
      <c r="J3980" s="18"/>
    </row>
    <row r="3981" spans="9:10" x14ac:dyDescent="0.25">
      <c r="I3981" s="17"/>
      <c r="J3981" s="18"/>
    </row>
    <row r="3982" spans="9:10" x14ac:dyDescent="0.25">
      <c r="I3982" s="17"/>
      <c r="J3982" s="18"/>
    </row>
    <row r="3983" spans="9:10" x14ac:dyDescent="0.25">
      <c r="I3983" s="17"/>
      <c r="J3983" s="18"/>
    </row>
    <row r="3984" spans="9:10" x14ac:dyDescent="0.25">
      <c r="I3984" s="17"/>
      <c r="J3984" s="18"/>
    </row>
    <row r="3985" spans="9:10" x14ac:dyDescent="0.25">
      <c r="I3985" s="17"/>
      <c r="J3985" s="18"/>
    </row>
    <row r="3986" spans="9:10" x14ac:dyDescent="0.25">
      <c r="I3986" s="17"/>
      <c r="J3986" s="18"/>
    </row>
    <row r="3987" spans="9:10" x14ac:dyDescent="0.25">
      <c r="I3987" s="17"/>
      <c r="J3987" s="18"/>
    </row>
    <row r="3988" spans="9:10" x14ac:dyDescent="0.25">
      <c r="I3988" s="17"/>
      <c r="J3988" s="18"/>
    </row>
    <row r="3989" spans="9:10" x14ac:dyDescent="0.25">
      <c r="I3989" s="17"/>
      <c r="J3989" s="18"/>
    </row>
    <row r="3990" spans="9:10" x14ac:dyDescent="0.25">
      <c r="I3990" s="17"/>
      <c r="J3990" s="18"/>
    </row>
    <row r="3991" spans="9:10" x14ac:dyDescent="0.25">
      <c r="I3991" s="17"/>
      <c r="J3991" s="18"/>
    </row>
    <row r="3992" spans="9:10" x14ac:dyDescent="0.25">
      <c r="I3992" s="17"/>
      <c r="J3992" s="18"/>
    </row>
    <row r="3993" spans="9:10" x14ac:dyDescent="0.25">
      <c r="I3993" s="17"/>
      <c r="J3993" s="18"/>
    </row>
    <row r="3994" spans="9:10" x14ac:dyDescent="0.25">
      <c r="I3994" s="17"/>
      <c r="J3994" s="18"/>
    </row>
    <row r="3995" spans="9:10" x14ac:dyDescent="0.25">
      <c r="I3995" s="17"/>
      <c r="J3995" s="18"/>
    </row>
    <row r="3996" spans="9:10" x14ac:dyDescent="0.25">
      <c r="I3996" s="17"/>
      <c r="J3996" s="18"/>
    </row>
    <row r="3997" spans="9:10" x14ac:dyDescent="0.25">
      <c r="I3997" s="17"/>
      <c r="J3997" s="18"/>
    </row>
    <row r="3998" spans="9:10" x14ac:dyDescent="0.25">
      <c r="I3998" s="17"/>
      <c r="J3998" s="18"/>
    </row>
    <row r="3999" spans="9:10" x14ac:dyDescent="0.25">
      <c r="I3999" s="17"/>
      <c r="J3999" s="18"/>
    </row>
    <row r="4000" spans="9:10" x14ac:dyDescent="0.25">
      <c r="I4000" s="17"/>
      <c r="J4000" s="18"/>
    </row>
    <row r="4001" spans="9:10" x14ac:dyDescent="0.25">
      <c r="I4001" s="17"/>
      <c r="J4001" s="18"/>
    </row>
    <row r="4002" spans="9:10" x14ac:dyDescent="0.25">
      <c r="I4002" s="17"/>
      <c r="J4002" s="18"/>
    </row>
    <row r="4003" spans="9:10" x14ac:dyDescent="0.25">
      <c r="I4003" s="17"/>
      <c r="J4003" s="18"/>
    </row>
    <row r="4004" spans="9:10" x14ac:dyDescent="0.25">
      <c r="I4004" s="17"/>
      <c r="J4004" s="18"/>
    </row>
    <row r="4005" spans="9:10" x14ac:dyDescent="0.25">
      <c r="I4005" s="17"/>
      <c r="J4005" s="18"/>
    </row>
    <row r="4006" spans="9:10" x14ac:dyDescent="0.25">
      <c r="I4006" s="17"/>
      <c r="J4006" s="18"/>
    </row>
    <row r="4007" spans="9:10" x14ac:dyDescent="0.25">
      <c r="I4007" s="17"/>
      <c r="J4007" s="18"/>
    </row>
    <row r="4008" spans="9:10" x14ac:dyDescent="0.25">
      <c r="I4008" s="17"/>
      <c r="J4008" s="18"/>
    </row>
    <row r="4009" spans="9:10" x14ac:dyDescent="0.25">
      <c r="I4009" s="17"/>
      <c r="J4009" s="18"/>
    </row>
    <row r="4010" spans="9:10" x14ac:dyDescent="0.25">
      <c r="I4010" s="17"/>
      <c r="J4010" s="18"/>
    </row>
    <row r="4011" spans="9:10" x14ac:dyDescent="0.25">
      <c r="I4011" s="17"/>
      <c r="J4011" s="18"/>
    </row>
    <row r="4012" spans="9:10" x14ac:dyDescent="0.25">
      <c r="I4012" s="17"/>
      <c r="J4012" s="18"/>
    </row>
    <row r="4013" spans="9:10" x14ac:dyDescent="0.25">
      <c r="I4013" s="17"/>
      <c r="J4013" s="18"/>
    </row>
    <row r="4014" spans="9:10" x14ac:dyDescent="0.25">
      <c r="I4014" s="17"/>
      <c r="J4014" s="18"/>
    </row>
    <row r="4015" spans="9:10" x14ac:dyDescent="0.25">
      <c r="I4015" s="17"/>
      <c r="J4015" s="18"/>
    </row>
    <row r="4016" spans="9:10" x14ac:dyDescent="0.25">
      <c r="I4016" s="17"/>
      <c r="J4016" s="18"/>
    </row>
    <row r="4017" spans="9:10" x14ac:dyDescent="0.25">
      <c r="I4017" s="17"/>
      <c r="J4017" s="18"/>
    </row>
    <row r="4018" spans="9:10" x14ac:dyDescent="0.25">
      <c r="I4018" s="17"/>
      <c r="J4018" s="18"/>
    </row>
    <row r="4019" spans="9:10" x14ac:dyDescent="0.25">
      <c r="I4019" s="17"/>
      <c r="J4019" s="18"/>
    </row>
    <row r="4020" spans="9:10" x14ac:dyDescent="0.25">
      <c r="I4020" s="17"/>
      <c r="J4020" s="18"/>
    </row>
    <row r="4021" spans="9:10" x14ac:dyDescent="0.25">
      <c r="I4021" s="17"/>
      <c r="J4021" s="18"/>
    </row>
    <row r="4022" spans="9:10" x14ac:dyDescent="0.25">
      <c r="I4022" s="17"/>
      <c r="J4022" s="18"/>
    </row>
    <row r="4023" spans="9:10" x14ac:dyDescent="0.25">
      <c r="I4023" s="17"/>
      <c r="J4023" s="18"/>
    </row>
    <row r="4024" spans="9:10" x14ac:dyDescent="0.25">
      <c r="I4024" s="17"/>
      <c r="J4024" s="18"/>
    </row>
    <row r="4025" spans="9:10" x14ac:dyDescent="0.25">
      <c r="I4025" s="17"/>
      <c r="J4025" s="18"/>
    </row>
    <row r="4026" spans="9:10" x14ac:dyDescent="0.25">
      <c r="I4026" s="17"/>
      <c r="J4026" s="18"/>
    </row>
    <row r="4027" spans="9:10" x14ac:dyDescent="0.25">
      <c r="I4027" s="17"/>
      <c r="J4027" s="18"/>
    </row>
    <row r="4028" spans="9:10" x14ac:dyDescent="0.25">
      <c r="I4028" s="17"/>
      <c r="J4028" s="18"/>
    </row>
    <row r="4029" spans="9:10" x14ac:dyDescent="0.25">
      <c r="I4029" s="17"/>
      <c r="J4029" s="18"/>
    </row>
    <row r="4030" spans="9:10" x14ac:dyDescent="0.25">
      <c r="I4030" s="17"/>
      <c r="J4030" s="18"/>
    </row>
    <row r="4031" spans="9:10" x14ac:dyDescent="0.25">
      <c r="I4031" s="17"/>
      <c r="J4031" s="18"/>
    </row>
    <row r="4032" spans="9:10" x14ac:dyDescent="0.25">
      <c r="I4032" s="17"/>
      <c r="J4032" s="18"/>
    </row>
    <row r="4033" spans="9:10" x14ac:dyDescent="0.25">
      <c r="I4033" s="17"/>
      <c r="J4033" s="18"/>
    </row>
    <row r="4034" spans="9:10" x14ac:dyDescent="0.25">
      <c r="I4034" s="17"/>
      <c r="J4034" s="18"/>
    </row>
    <row r="4035" spans="9:10" x14ac:dyDescent="0.25">
      <c r="I4035" s="17"/>
      <c r="J4035" s="18"/>
    </row>
    <row r="4036" spans="9:10" x14ac:dyDescent="0.25">
      <c r="I4036" s="17"/>
      <c r="J4036" s="18"/>
    </row>
    <row r="4037" spans="9:10" x14ac:dyDescent="0.25">
      <c r="I4037" s="17"/>
      <c r="J4037" s="18"/>
    </row>
    <row r="4038" spans="9:10" x14ac:dyDescent="0.25">
      <c r="I4038" s="17"/>
      <c r="J4038" s="18"/>
    </row>
    <row r="4039" spans="9:10" x14ac:dyDescent="0.25">
      <c r="I4039" s="17"/>
      <c r="J4039" s="18"/>
    </row>
    <row r="4040" spans="9:10" x14ac:dyDescent="0.25">
      <c r="I4040" s="17"/>
      <c r="J4040" s="18"/>
    </row>
    <row r="4041" spans="9:10" x14ac:dyDescent="0.25">
      <c r="I4041" s="17"/>
      <c r="J4041" s="18"/>
    </row>
    <row r="4042" spans="9:10" x14ac:dyDescent="0.25">
      <c r="I4042" s="17"/>
      <c r="J4042" s="18"/>
    </row>
    <row r="4043" spans="9:10" x14ac:dyDescent="0.25">
      <c r="I4043" s="17"/>
      <c r="J4043" s="18"/>
    </row>
    <row r="4044" spans="9:10" x14ac:dyDescent="0.25">
      <c r="I4044" s="17"/>
      <c r="J4044" s="18"/>
    </row>
    <row r="4045" spans="9:10" x14ac:dyDescent="0.25">
      <c r="I4045" s="17"/>
      <c r="J4045" s="18"/>
    </row>
    <row r="4046" spans="9:10" x14ac:dyDescent="0.25">
      <c r="I4046" s="17"/>
      <c r="J4046" s="18"/>
    </row>
    <row r="4047" spans="9:10" x14ac:dyDescent="0.25">
      <c r="I4047" s="17"/>
      <c r="J4047" s="18"/>
    </row>
    <row r="4048" spans="9:10" x14ac:dyDescent="0.25">
      <c r="I4048" s="17"/>
      <c r="J4048" s="18"/>
    </row>
    <row r="4049" spans="9:10" x14ac:dyDescent="0.25">
      <c r="I4049" s="17"/>
      <c r="J4049" s="18"/>
    </row>
    <row r="4050" spans="9:10" x14ac:dyDescent="0.25">
      <c r="I4050" s="17"/>
      <c r="J4050" s="18"/>
    </row>
    <row r="4051" spans="9:10" x14ac:dyDescent="0.25">
      <c r="I4051" s="17"/>
      <c r="J4051" s="18"/>
    </row>
    <row r="4052" spans="9:10" x14ac:dyDescent="0.25">
      <c r="I4052" s="17"/>
      <c r="J4052" s="18"/>
    </row>
    <row r="4053" spans="9:10" x14ac:dyDescent="0.25">
      <c r="I4053" s="17"/>
      <c r="J4053" s="18"/>
    </row>
    <row r="4054" spans="9:10" x14ac:dyDescent="0.25">
      <c r="I4054" s="17"/>
      <c r="J4054" s="18"/>
    </row>
    <row r="4055" spans="9:10" x14ac:dyDescent="0.25">
      <c r="I4055" s="17"/>
      <c r="J4055" s="18"/>
    </row>
    <row r="4056" spans="9:10" x14ac:dyDescent="0.25">
      <c r="I4056" s="17"/>
      <c r="J4056" s="18"/>
    </row>
    <row r="4057" spans="9:10" x14ac:dyDescent="0.25">
      <c r="I4057" s="17"/>
      <c r="J4057" s="18"/>
    </row>
    <row r="4058" spans="9:10" x14ac:dyDescent="0.25">
      <c r="I4058" s="17"/>
      <c r="J4058" s="18"/>
    </row>
    <row r="4059" spans="9:10" x14ac:dyDescent="0.25">
      <c r="I4059" s="17"/>
      <c r="J4059" s="18"/>
    </row>
    <row r="4060" spans="9:10" x14ac:dyDescent="0.25">
      <c r="I4060" s="17"/>
      <c r="J4060" s="18"/>
    </row>
    <row r="4061" spans="9:10" x14ac:dyDescent="0.25">
      <c r="I4061" s="17"/>
      <c r="J4061" s="18"/>
    </row>
    <row r="4062" spans="9:10" x14ac:dyDescent="0.25">
      <c r="I4062" s="17"/>
      <c r="J4062" s="18"/>
    </row>
    <row r="4063" spans="9:10" x14ac:dyDescent="0.25">
      <c r="I4063" s="17"/>
      <c r="J4063" s="18"/>
    </row>
    <row r="4064" spans="9:10" x14ac:dyDescent="0.25">
      <c r="I4064" s="17"/>
      <c r="J4064" s="18"/>
    </row>
    <row r="4065" spans="9:10" x14ac:dyDescent="0.25">
      <c r="I4065" s="17"/>
      <c r="J4065" s="18"/>
    </row>
    <row r="4066" spans="9:10" x14ac:dyDescent="0.25">
      <c r="I4066" s="17"/>
      <c r="J4066" s="18"/>
    </row>
    <row r="4067" spans="9:10" x14ac:dyDescent="0.25">
      <c r="I4067" s="17"/>
      <c r="J4067" s="18"/>
    </row>
    <row r="4068" spans="9:10" x14ac:dyDescent="0.25">
      <c r="I4068" s="17"/>
      <c r="J4068" s="18"/>
    </row>
    <row r="4069" spans="9:10" x14ac:dyDescent="0.25">
      <c r="I4069" s="17"/>
      <c r="J4069" s="18"/>
    </row>
    <row r="4070" spans="9:10" x14ac:dyDescent="0.25">
      <c r="I4070" s="17"/>
      <c r="J4070" s="18"/>
    </row>
    <row r="4071" spans="9:10" x14ac:dyDescent="0.25">
      <c r="I4071" s="17"/>
      <c r="J4071" s="18"/>
    </row>
    <row r="4072" spans="9:10" x14ac:dyDescent="0.25">
      <c r="I4072" s="17"/>
      <c r="J4072" s="18"/>
    </row>
    <row r="4073" spans="9:10" x14ac:dyDescent="0.25">
      <c r="I4073" s="17"/>
      <c r="J4073" s="18"/>
    </row>
    <row r="4074" spans="9:10" x14ac:dyDescent="0.25">
      <c r="I4074" s="17"/>
      <c r="J4074" s="18"/>
    </row>
    <row r="4075" spans="9:10" x14ac:dyDescent="0.25">
      <c r="I4075" s="17"/>
      <c r="J4075" s="18"/>
    </row>
    <row r="4076" spans="9:10" x14ac:dyDescent="0.25">
      <c r="I4076" s="17"/>
      <c r="J4076" s="18"/>
    </row>
    <row r="4077" spans="9:10" x14ac:dyDescent="0.25">
      <c r="I4077" s="17"/>
      <c r="J4077" s="18"/>
    </row>
    <row r="4078" spans="9:10" x14ac:dyDescent="0.25">
      <c r="I4078" s="17"/>
      <c r="J4078" s="18"/>
    </row>
    <row r="4079" spans="9:10" x14ac:dyDescent="0.25">
      <c r="I4079" s="17"/>
      <c r="J4079" s="18"/>
    </row>
    <row r="4080" spans="9:10" x14ac:dyDescent="0.25">
      <c r="I4080" s="17"/>
      <c r="J4080" s="18"/>
    </row>
    <row r="4081" spans="9:10" x14ac:dyDescent="0.25">
      <c r="I4081" s="17"/>
      <c r="J4081" s="18"/>
    </row>
    <row r="4082" spans="9:10" x14ac:dyDescent="0.25">
      <c r="I4082" s="17"/>
      <c r="J4082" s="18"/>
    </row>
    <row r="4083" spans="9:10" x14ac:dyDescent="0.25">
      <c r="I4083" s="17"/>
      <c r="J4083" s="18"/>
    </row>
    <row r="4084" spans="9:10" x14ac:dyDescent="0.25">
      <c r="I4084" s="17"/>
      <c r="J4084" s="18"/>
    </row>
    <row r="4085" spans="9:10" x14ac:dyDescent="0.25">
      <c r="I4085" s="17"/>
      <c r="J4085" s="18"/>
    </row>
    <row r="4086" spans="9:10" x14ac:dyDescent="0.25">
      <c r="I4086" s="17"/>
      <c r="J4086" s="18"/>
    </row>
    <row r="4087" spans="9:10" x14ac:dyDescent="0.25">
      <c r="I4087" s="17"/>
      <c r="J4087" s="18"/>
    </row>
    <row r="4088" spans="9:10" x14ac:dyDescent="0.25">
      <c r="I4088" s="17"/>
      <c r="J4088" s="18"/>
    </row>
    <row r="4089" spans="9:10" x14ac:dyDescent="0.25">
      <c r="I4089" s="17"/>
      <c r="J4089" s="18"/>
    </row>
    <row r="4090" spans="9:10" x14ac:dyDescent="0.25">
      <c r="I4090" s="17"/>
      <c r="J4090" s="18"/>
    </row>
    <row r="4091" spans="9:10" x14ac:dyDescent="0.25">
      <c r="I4091" s="17"/>
      <c r="J4091" s="18"/>
    </row>
    <row r="4092" spans="9:10" x14ac:dyDescent="0.25">
      <c r="I4092" s="17"/>
      <c r="J4092" s="18"/>
    </row>
    <row r="4093" spans="9:10" x14ac:dyDescent="0.25">
      <c r="I4093" s="17"/>
      <c r="J4093" s="18"/>
    </row>
    <row r="4094" spans="9:10" x14ac:dyDescent="0.25">
      <c r="I4094" s="17"/>
      <c r="J4094" s="18"/>
    </row>
    <row r="4095" spans="9:10" x14ac:dyDescent="0.25">
      <c r="I4095" s="17"/>
      <c r="J4095" s="18"/>
    </row>
    <row r="4096" spans="9:10" x14ac:dyDescent="0.25">
      <c r="I4096" s="17"/>
      <c r="J4096" s="18"/>
    </row>
    <row r="4097" spans="9:10" x14ac:dyDescent="0.25">
      <c r="I4097" s="17"/>
      <c r="J4097" s="18"/>
    </row>
    <row r="4098" spans="9:10" x14ac:dyDescent="0.25">
      <c r="I4098" s="17"/>
      <c r="J4098" s="18"/>
    </row>
    <row r="4099" spans="9:10" x14ac:dyDescent="0.25">
      <c r="I4099" s="17"/>
      <c r="J4099" s="18"/>
    </row>
    <row r="4100" spans="9:10" x14ac:dyDescent="0.25">
      <c r="I4100" s="17"/>
      <c r="J4100" s="18"/>
    </row>
    <row r="4101" spans="9:10" x14ac:dyDescent="0.25">
      <c r="I4101" s="17"/>
      <c r="J4101" s="18"/>
    </row>
    <row r="4102" spans="9:10" x14ac:dyDescent="0.25">
      <c r="I4102" s="17"/>
      <c r="J4102" s="18"/>
    </row>
    <row r="4103" spans="9:10" x14ac:dyDescent="0.25">
      <c r="I4103" s="17"/>
      <c r="J4103" s="18"/>
    </row>
    <row r="4104" spans="9:10" x14ac:dyDescent="0.25">
      <c r="I4104" s="17"/>
      <c r="J4104" s="18"/>
    </row>
    <row r="4105" spans="9:10" x14ac:dyDescent="0.25">
      <c r="I4105" s="17"/>
      <c r="J4105" s="18"/>
    </row>
    <row r="4106" spans="9:10" x14ac:dyDescent="0.25">
      <c r="I4106" s="17"/>
      <c r="J4106" s="18"/>
    </row>
    <row r="4107" spans="9:10" x14ac:dyDescent="0.25">
      <c r="I4107" s="17"/>
      <c r="J4107" s="18"/>
    </row>
    <row r="4108" spans="9:10" x14ac:dyDescent="0.25">
      <c r="I4108" s="17"/>
      <c r="J4108" s="18"/>
    </row>
    <row r="4109" spans="9:10" x14ac:dyDescent="0.25">
      <c r="I4109" s="17"/>
      <c r="J4109" s="18"/>
    </row>
    <row r="4110" spans="9:10" x14ac:dyDescent="0.25">
      <c r="I4110" s="17"/>
      <c r="J4110" s="18"/>
    </row>
    <row r="4111" spans="9:10" x14ac:dyDescent="0.25">
      <c r="I4111" s="17"/>
      <c r="J4111" s="18"/>
    </row>
    <row r="4112" spans="9:10" x14ac:dyDescent="0.25">
      <c r="I4112" s="17"/>
      <c r="J4112" s="18"/>
    </row>
    <row r="4113" spans="9:10" x14ac:dyDescent="0.25">
      <c r="I4113" s="17"/>
      <c r="J4113" s="18"/>
    </row>
    <row r="4114" spans="9:10" x14ac:dyDescent="0.25">
      <c r="I4114" s="17"/>
      <c r="J4114" s="18"/>
    </row>
    <row r="4115" spans="9:10" x14ac:dyDescent="0.25">
      <c r="I4115" s="17"/>
      <c r="J4115" s="18"/>
    </row>
    <row r="4116" spans="9:10" x14ac:dyDescent="0.25">
      <c r="I4116" s="17"/>
      <c r="J4116" s="18"/>
    </row>
    <row r="4117" spans="9:10" x14ac:dyDescent="0.25">
      <c r="I4117" s="17"/>
      <c r="J4117" s="18"/>
    </row>
    <row r="4118" spans="9:10" x14ac:dyDescent="0.25">
      <c r="I4118" s="17"/>
      <c r="J4118" s="18"/>
    </row>
    <row r="4119" spans="9:10" x14ac:dyDescent="0.25">
      <c r="I4119" s="17"/>
      <c r="J4119" s="18"/>
    </row>
    <row r="4120" spans="9:10" x14ac:dyDescent="0.25">
      <c r="I4120" s="17"/>
      <c r="J4120" s="18"/>
    </row>
    <row r="4121" spans="9:10" x14ac:dyDescent="0.25">
      <c r="I4121" s="17"/>
      <c r="J4121" s="18"/>
    </row>
    <row r="4122" spans="9:10" x14ac:dyDescent="0.25">
      <c r="I4122" s="17"/>
      <c r="J4122" s="18"/>
    </row>
    <row r="4123" spans="9:10" x14ac:dyDescent="0.25">
      <c r="I4123" s="17"/>
      <c r="J4123" s="18"/>
    </row>
    <row r="4124" spans="9:10" x14ac:dyDescent="0.25">
      <c r="I4124" s="17"/>
      <c r="J4124" s="18"/>
    </row>
    <row r="4125" spans="9:10" x14ac:dyDescent="0.25">
      <c r="I4125" s="17"/>
      <c r="J4125" s="18"/>
    </row>
    <row r="4126" spans="9:10" x14ac:dyDescent="0.25">
      <c r="I4126" s="17"/>
      <c r="J4126" s="18"/>
    </row>
    <row r="4127" spans="9:10" x14ac:dyDescent="0.25">
      <c r="I4127" s="17"/>
      <c r="J4127" s="18"/>
    </row>
    <row r="4128" spans="9:10" x14ac:dyDescent="0.25">
      <c r="I4128" s="17"/>
      <c r="J4128" s="18"/>
    </row>
    <row r="4129" spans="9:10" x14ac:dyDescent="0.25">
      <c r="I4129" s="17"/>
      <c r="J4129" s="18"/>
    </row>
    <row r="4130" spans="9:10" x14ac:dyDescent="0.25">
      <c r="I4130" s="17"/>
      <c r="J4130" s="18"/>
    </row>
    <row r="4131" spans="9:10" x14ac:dyDescent="0.25">
      <c r="I4131" s="17"/>
      <c r="J4131" s="18"/>
    </row>
    <row r="4132" spans="9:10" x14ac:dyDescent="0.25">
      <c r="I4132" s="17"/>
      <c r="J4132" s="18"/>
    </row>
    <row r="4133" spans="9:10" x14ac:dyDescent="0.25">
      <c r="I4133" s="17"/>
      <c r="J4133" s="18"/>
    </row>
    <row r="4134" spans="9:10" x14ac:dyDescent="0.25">
      <c r="I4134" s="17"/>
      <c r="J4134" s="18"/>
    </row>
    <row r="4135" spans="9:10" x14ac:dyDescent="0.25">
      <c r="I4135" s="17"/>
      <c r="J4135" s="18"/>
    </row>
    <row r="4136" spans="9:10" x14ac:dyDescent="0.25">
      <c r="I4136" s="17"/>
      <c r="J4136" s="18"/>
    </row>
    <row r="4137" spans="9:10" x14ac:dyDescent="0.25">
      <c r="I4137" s="17"/>
      <c r="J4137" s="18"/>
    </row>
    <row r="4138" spans="9:10" x14ac:dyDescent="0.25">
      <c r="I4138" s="17"/>
      <c r="J4138" s="18"/>
    </row>
    <row r="4139" spans="9:10" x14ac:dyDescent="0.25">
      <c r="I4139" s="17"/>
      <c r="J4139" s="18"/>
    </row>
    <row r="4140" spans="9:10" x14ac:dyDescent="0.25">
      <c r="I4140" s="17"/>
      <c r="J4140" s="18"/>
    </row>
    <row r="4141" spans="9:10" x14ac:dyDescent="0.25">
      <c r="I4141" s="17"/>
      <c r="J4141" s="18"/>
    </row>
    <row r="4142" spans="9:10" x14ac:dyDescent="0.25">
      <c r="I4142" s="17"/>
      <c r="J4142" s="18"/>
    </row>
    <row r="4143" spans="9:10" x14ac:dyDescent="0.25">
      <c r="I4143" s="17"/>
      <c r="J4143" s="18"/>
    </row>
    <row r="4144" spans="9:10" x14ac:dyDescent="0.25">
      <c r="I4144" s="17"/>
      <c r="J4144" s="18"/>
    </row>
    <row r="4145" spans="9:10" x14ac:dyDescent="0.25">
      <c r="I4145" s="17"/>
      <c r="J4145" s="18"/>
    </row>
    <row r="4146" spans="9:10" x14ac:dyDescent="0.25">
      <c r="I4146" s="17"/>
      <c r="J4146" s="18"/>
    </row>
    <row r="4147" spans="9:10" x14ac:dyDescent="0.25">
      <c r="I4147" s="17"/>
      <c r="J4147" s="18"/>
    </row>
    <row r="4148" spans="9:10" x14ac:dyDescent="0.25">
      <c r="I4148" s="17"/>
      <c r="J4148" s="18"/>
    </row>
    <row r="4149" spans="9:10" x14ac:dyDescent="0.25">
      <c r="I4149" s="17"/>
      <c r="J4149" s="18"/>
    </row>
    <row r="4150" spans="9:10" x14ac:dyDescent="0.25">
      <c r="I4150" s="17"/>
      <c r="J4150" s="18"/>
    </row>
    <row r="4151" spans="9:10" x14ac:dyDescent="0.25">
      <c r="I4151" s="17"/>
      <c r="J4151" s="18"/>
    </row>
    <row r="4152" spans="9:10" x14ac:dyDescent="0.25">
      <c r="I4152" s="17"/>
      <c r="J4152" s="18"/>
    </row>
    <row r="4153" spans="9:10" x14ac:dyDescent="0.25">
      <c r="I4153" s="17"/>
      <c r="J4153" s="18"/>
    </row>
    <row r="4154" spans="9:10" x14ac:dyDescent="0.25">
      <c r="I4154" s="17"/>
      <c r="J4154" s="18"/>
    </row>
    <row r="4155" spans="9:10" x14ac:dyDescent="0.25">
      <c r="I4155" s="17"/>
      <c r="J4155" s="18"/>
    </row>
    <row r="4156" spans="9:10" x14ac:dyDescent="0.25">
      <c r="I4156" s="17"/>
      <c r="J4156" s="18"/>
    </row>
    <row r="4157" spans="9:10" x14ac:dyDescent="0.25">
      <c r="I4157" s="17"/>
      <c r="J4157" s="18"/>
    </row>
    <row r="4158" spans="9:10" x14ac:dyDescent="0.25">
      <c r="I4158" s="17"/>
      <c r="J4158" s="18"/>
    </row>
    <row r="4159" spans="9:10" x14ac:dyDescent="0.25">
      <c r="I4159" s="17"/>
      <c r="J4159" s="18"/>
    </row>
    <row r="4160" spans="9:10" x14ac:dyDescent="0.25">
      <c r="I4160" s="17"/>
      <c r="J4160" s="18"/>
    </row>
    <row r="4161" spans="9:10" x14ac:dyDescent="0.25">
      <c r="I4161" s="17"/>
      <c r="J4161" s="18"/>
    </row>
    <row r="4162" spans="9:10" x14ac:dyDescent="0.25">
      <c r="I4162" s="17"/>
      <c r="J4162" s="18"/>
    </row>
    <row r="4163" spans="9:10" x14ac:dyDescent="0.25">
      <c r="I4163" s="17"/>
      <c r="J4163" s="18"/>
    </row>
    <row r="4164" spans="9:10" x14ac:dyDescent="0.25">
      <c r="I4164" s="17"/>
      <c r="J4164" s="18"/>
    </row>
    <row r="4165" spans="9:10" x14ac:dyDescent="0.25">
      <c r="I4165" s="17"/>
      <c r="J4165" s="18"/>
    </row>
    <row r="4166" spans="9:10" x14ac:dyDescent="0.25">
      <c r="I4166" s="17"/>
      <c r="J4166" s="18"/>
    </row>
    <row r="4167" spans="9:10" x14ac:dyDescent="0.25">
      <c r="I4167" s="17"/>
      <c r="J4167" s="18"/>
    </row>
    <row r="4168" spans="9:10" x14ac:dyDescent="0.25">
      <c r="I4168" s="17"/>
      <c r="J4168" s="18"/>
    </row>
    <row r="4169" spans="9:10" x14ac:dyDescent="0.25">
      <c r="I4169" s="17"/>
      <c r="J4169" s="18"/>
    </row>
    <row r="4170" spans="9:10" x14ac:dyDescent="0.25">
      <c r="I4170" s="17"/>
      <c r="J4170" s="18"/>
    </row>
    <row r="4171" spans="9:10" x14ac:dyDescent="0.25">
      <c r="I4171" s="17"/>
      <c r="J4171" s="18"/>
    </row>
    <row r="4172" spans="9:10" x14ac:dyDescent="0.25">
      <c r="I4172" s="17"/>
      <c r="J4172" s="18"/>
    </row>
    <row r="4173" spans="9:10" x14ac:dyDescent="0.25">
      <c r="I4173" s="17"/>
      <c r="J4173" s="18"/>
    </row>
    <row r="4174" spans="9:10" x14ac:dyDescent="0.25">
      <c r="I4174" s="17"/>
      <c r="J4174" s="18"/>
    </row>
    <row r="4175" spans="9:10" x14ac:dyDescent="0.25">
      <c r="I4175" s="17"/>
      <c r="J4175" s="18"/>
    </row>
    <row r="4176" spans="9:10" x14ac:dyDescent="0.25">
      <c r="I4176" s="17"/>
      <c r="J4176" s="18"/>
    </row>
    <row r="4177" spans="9:10" x14ac:dyDescent="0.25">
      <c r="I4177" s="17"/>
      <c r="J4177" s="18"/>
    </row>
    <row r="4178" spans="9:10" x14ac:dyDescent="0.25">
      <c r="I4178" s="17"/>
      <c r="J4178" s="18"/>
    </row>
    <row r="4179" spans="9:10" x14ac:dyDescent="0.25">
      <c r="I4179" s="17"/>
      <c r="J4179" s="18"/>
    </row>
    <row r="4180" spans="9:10" x14ac:dyDescent="0.25">
      <c r="I4180" s="17"/>
      <c r="J4180" s="18"/>
    </row>
    <row r="4181" spans="9:10" x14ac:dyDescent="0.25">
      <c r="I4181" s="17"/>
      <c r="J4181" s="18"/>
    </row>
    <row r="4182" spans="9:10" x14ac:dyDescent="0.25">
      <c r="I4182" s="17"/>
      <c r="J4182" s="18"/>
    </row>
    <row r="4183" spans="9:10" x14ac:dyDescent="0.25">
      <c r="I4183" s="17"/>
      <c r="J4183" s="18"/>
    </row>
    <row r="4184" spans="9:10" x14ac:dyDescent="0.25">
      <c r="I4184" s="17"/>
      <c r="J4184" s="18"/>
    </row>
    <row r="4185" spans="9:10" x14ac:dyDescent="0.25">
      <c r="I4185" s="17"/>
      <c r="J4185" s="18"/>
    </row>
    <row r="4186" spans="9:10" x14ac:dyDescent="0.25">
      <c r="I4186" s="17"/>
      <c r="J4186" s="18"/>
    </row>
    <row r="4187" spans="9:10" x14ac:dyDescent="0.25">
      <c r="I4187" s="17"/>
      <c r="J4187" s="18"/>
    </row>
    <row r="4188" spans="9:10" x14ac:dyDescent="0.25">
      <c r="I4188" s="17"/>
      <c r="J4188" s="18"/>
    </row>
    <row r="4189" spans="9:10" x14ac:dyDescent="0.25">
      <c r="I4189" s="17"/>
      <c r="J4189" s="18"/>
    </row>
    <row r="4190" spans="9:10" x14ac:dyDescent="0.25">
      <c r="I4190" s="17"/>
      <c r="J4190" s="18"/>
    </row>
    <row r="4191" spans="9:10" x14ac:dyDescent="0.25">
      <c r="I4191" s="17"/>
      <c r="J4191" s="18"/>
    </row>
    <row r="4192" spans="9:10" x14ac:dyDescent="0.25">
      <c r="I4192" s="17"/>
      <c r="J4192" s="18"/>
    </row>
    <row r="4193" spans="9:10" x14ac:dyDescent="0.25">
      <c r="I4193" s="17"/>
      <c r="J4193" s="18"/>
    </row>
    <row r="4194" spans="9:10" x14ac:dyDescent="0.25">
      <c r="I4194" s="17"/>
      <c r="J4194" s="18"/>
    </row>
    <row r="4195" spans="9:10" x14ac:dyDescent="0.25">
      <c r="I4195" s="17"/>
      <c r="J4195" s="18"/>
    </row>
    <row r="4196" spans="9:10" x14ac:dyDescent="0.25">
      <c r="I4196" s="17"/>
      <c r="J4196" s="18"/>
    </row>
    <row r="4197" spans="9:10" x14ac:dyDescent="0.25">
      <c r="I4197" s="17"/>
      <c r="J4197" s="18"/>
    </row>
    <row r="4198" spans="9:10" x14ac:dyDescent="0.25">
      <c r="I4198" s="17"/>
      <c r="J4198" s="18"/>
    </row>
    <row r="4199" spans="9:10" x14ac:dyDescent="0.25">
      <c r="I4199" s="17"/>
      <c r="J4199" s="18"/>
    </row>
    <row r="4200" spans="9:10" x14ac:dyDescent="0.25">
      <c r="I4200" s="17"/>
      <c r="J4200" s="18"/>
    </row>
    <row r="4201" spans="9:10" x14ac:dyDescent="0.25">
      <c r="I4201" s="17"/>
      <c r="J4201" s="18"/>
    </row>
    <row r="4202" spans="9:10" x14ac:dyDescent="0.25">
      <c r="I4202" s="17"/>
      <c r="J4202" s="18"/>
    </row>
    <row r="4203" spans="9:10" x14ac:dyDescent="0.25">
      <c r="I4203" s="17"/>
      <c r="J4203" s="18"/>
    </row>
    <row r="4204" spans="9:10" x14ac:dyDescent="0.25">
      <c r="I4204" s="17"/>
      <c r="J4204" s="18"/>
    </row>
    <row r="4205" spans="9:10" x14ac:dyDescent="0.25">
      <c r="I4205" s="17"/>
      <c r="J4205" s="18"/>
    </row>
    <row r="4206" spans="9:10" x14ac:dyDescent="0.25">
      <c r="I4206" s="17"/>
      <c r="J4206" s="18"/>
    </row>
    <row r="4207" spans="9:10" x14ac:dyDescent="0.25">
      <c r="I4207" s="17"/>
      <c r="J4207" s="18"/>
    </row>
    <row r="4208" spans="9:10" x14ac:dyDescent="0.25">
      <c r="I4208" s="17"/>
      <c r="J4208" s="18"/>
    </row>
    <row r="4209" spans="9:10" x14ac:dyDescent="0.25">
      <c r="I4209" s="17"/>
      <c r="J4209" s="18"/>
    </row>
    <row r="4210" spans="9:10" x14ac:dyDescent="0.25">
      <c r="I4210" s="17"/>
      <c r="J4210" s="18"/>
    </row>
    <row r="4211" spans="9:10" x14ac:dyDescent="0.25">
      <c r="I4211" s="17"/>
      <c r="J4211" s="18"/>
    </row>
    <row r="4212" spans="9:10" x14ac:dyDescent="0.25">
      <c r="I4212" s="17"/>
      <c r="J4212" s="18"/>
    </row>
    <row r="4213" spans="9:10" x14ac:dyDescent="0.25">
      <c r="I4213" s="17"/>
      <c r="J4213" s="18"/>
    </row>
    <row r="4214" spans="9:10" x14ac:dyDescent="0.25">
      <c r="I4214" s="17"/>
      <c r="J4214" s="18"/>
    </row>
    <row r="4215" spans="9:10" x14ac:dyDescent="0.25">
      <c r="I4215" s="17"/>
      <c r="J4215" s="18"/>
    </row>
    <row r="4216" spans="9:10" x14ac:dyDescent="0.25">
      <c r="I4216" s="17"/>
      <c r="J4216" s="18"/>
    </row>
    <row r="4217" spans="9:10" x14ac:dyDescent="0.25">
      <c r="I4217" s="17"/>
      <c r="J4217" s="18"/>
    </row>
    <row r="4218" spans="9:10" x14ac:dyDescent="0.25">
      <c r="I4218" s="17"/>
      <c r="J4218" s="18"/>
    </row>
    <row r="4219" spans="9:10" x14ac:dyDescent="0.25">
      <c r="I4219" s="17"/>
      <c r="J4219" s="18"/>
    </row>
    <row r="4220" spans="9:10" x14ac:dyDescent="0.25">
      <c r="I4220" s="17"/>
      <c r="J4220" s="18"/>
    </row>
    <row r="4221" spans="9:10" x14ac:dyDescent="0.25">
      <c r="I4221" s="17"/>
      <c r="J4221" s="18"/>
    </row>
    <row r="4222" spans="9:10" x14ac:dyDescent="0.25">
      <c r="I4222" s="17"/>
      <c r="J4222" s="18"/>
    </row>
    <row r="4223" spans="9:10" x14ac:dyDescent="0.25">
      <c r="I4223" s="17"/>
      <c r="J4223" s="18"/>
    </row>
    <row r="4224" spans="9:10" x14ac:dyDescent="0.25">
      <c r="I4224" s="17"/>
      <c r="J4224" s="18"/>
    </row>
    <row r="4225" spans="9:10" x14ac:dyDescent="0.25">
      <c r="I4225" s="17"/>
      <c r="J4225" s="18"/>
    </row>
    <row r="4226" spans="9:10" x14ac:dyDescent="0.25">
      <c r="I4226" s="17"/>
      <c r="J4226" s="18"/>
    </row>
    <row r="4227" spans="9:10" x14ac:dyDescent="0.25">
      <c r="I4227" s="17"/>
      <c r="J4227" s="18"/>
    </row>
    <row r="4228" spans="9:10" x14ac:dyDescent="0.25">
      <c r="I4228" s="17"/>
      <c r="J4228" s="18"/>
    </row>
    <row r="4229" spans="9:10" x14ac:dyDescent="0.25">
      <c r="I4229" s="17"/>
      <c r="J4229" s="18"/>
    </row>
    <row r="4230" spans="9:10" x14ac:dyDescent="0.25">
      <c r="I4230" s="17"/>
      <c r="J4230" s="18"/>
    </row>
    <row r="4231" spans="9:10" x14ac:dyDescent="0.25">
      <c r="I4231" s="17"/>
      <c r="J4231" s="18"/>
    </row>
    <row r="4232" spans="9:10" x14ac:dyDescent="0.25">
      <c r="I4232" s="17"/>
      <c r="J4232" s="18"/>
    </row>
    <row r="4233" spans="9:10" x14ac:dyDescent="0.25">
      <c r="I4233" s="17"/>
      <c r="J4233" s="18"/>
    </row>
    <row r="4234" spans="9:10" x14ac:dyDescent="0.25">
      <c r="I4234" s="17"/>
      <c r="J4234" s="18"/>
    </row>
    <row r="4235" spans="9:10" x14ac:dyDescent="0.25">
      <c r="I4235" s="17"/>
      <c r="J4235" s="18"/>
    </row>
    <row r="4236" spans="9:10" x14ac:dyDescent="0.25">
      <c r="I4236" s="17"/>
      <c r="J4236" s="18"/>
    </row>
    <row r="4237" spans="9:10" x14ac:dyDescent="0.25">
      <c r="I4237" s="17"/>
      <c r="J4237" s="18"/>
    </row>
    <row r="4238" spans="9:10" x14ac:dyDescent="0.25">
      <c r="I4238" s="17"/>
      <c r="J4238" s="18"/>
    </row>
    <row r="4239" spans="9:10" x14ac:dyDescent="0.25">
      <c r="I4239" s="17"/>
      <c r="J4239" s="18"/>
    </row>
    <row r="4240" spans="9:10" x14ac:dyDescent="0.25">
      <c r="I4240" s="17"/>
      <c r="J4240" s="18"/>
    </row>
    <row r="4241" spans="9:10" x14ac:dyDescent="0.25">
      <c r="I4241" s="17"/>
      <c r="J4241" s="18"/>
    </row>
    <row r="4242" spans="9:10" x14ac:dyDescent="0.25">
      <c r="I4242" s="17"/>
      <c r="J4242" s="18"/>
    </row>
    <row r="4243" spans="9:10" x14ac:dyDescent="0.25">
      <c r="I4243" s="17"/>
      <c r="J4243" s="18"/>
    </row>
    <row r="4244" spans="9:10" x14ac:dyDescent="0.25">
      <c r="I4244" s="17"/>
      <c r="J4244" s="18"/>
    </row>
    <row r="4245" spans="9:10" x14ac:dyDescent="0.25">
      <c r="I4245" s="17"/>
      <c r="J4245" s="18"/>
    </row>
    <row r="4246" spans="9:10" x14ac:dyDescent="0.25">
      <c r="I4246" s="17"/>
      <c r="J4246" s="18"/>
    </row>
    <row r="4247" spans="9:10" x14ac:dyDescent="0.25">
      <c r="I4247" s="17"/>
      <c r="J4247" s="18"/>
    </row>
    <row r="4248" spans="9:10" x14ac:dyDescent="0.25">
      <c r="I4248" s="17"/>
      <c r="J4248" s="18"/>
    </row>
    <row r="4249" spans="9:10" x14ac:dyDescent="0.25">
      <c r="I4249" s="17"/>
      <c r="J4249" s="18"/>
    </row>
    <row r="4250" spans="9:10" x14ac:dyDescent="0.25">
      <c r="I4250" s="17"/>
      <c r="J4250" s="18"/>
    </row>
    <row r="4251" spans="9:10" x14ac:dyDescent="0.25">
      <c r="I4251" s="17"/>
      <c r="J4251" s="18"/>
    </row>
    <row r="4252" spans="9:10" x14ac:dyDescent="0.25">
      <c r="I4252" s="17"/>
      <c r="J4252" s="18"/>
    </row>
    <row r="4253" spans="9:10" x14ac:dyDescent="0.25">
      <c r="I4253" s="17"/>
      <c r="J4253" s="18"/>
    </row>
    <row r="4254" spans="9:10" x14ac:dyDescent="0.25">
      <c r="I4254" s="17"/>
      <c r="J4254" s="18"/>
    </row>
    <row r="4255" spans="9:10" x14ac:dyDescent="0.25">
      <c r="I4255" s="17"/>
      <c r="J4255" s="18"/>
    </row>
    <row r="4256" spans="9:10" x14ac:dyDescent="0.25">
      <c r="I4256" s="17"/>
      <c r="J4256" s="18"/>
    </row>
    <row r="4257" spans="9:10" x14ac:dyDescent="0.25">
      <c r="I4257" s="17"/>
      <c r="J4257" s="18"/>
    </row>
    <row r="4258" spans="9:10" x14ac:dyDescent="0.25">
      <c r="I4258" s="17"/>
      <c r="J4258" s="18"/>
    </row>
    <row r="4259" spans="9:10" x14ac:dyDescent="0.25">
      <c r="I4259" s="17"/>
      <c r="J4259" s="18"/>
    </row>
    <row r="4260" spans="9:10" x14ac:dyDescent="0.25">
      <c r="I4260" s="17"/>
      <c r="J4260" s="18"/>
    </row>
    <row r="4261" spans="9:10" x14ac:dyDescent="0.25">
      <c r="I4261" s="17"/>
      <c r="J4261" s="18"/>
    </row>
    <row r="4262" spans="9:10" x14ac:dyDescent="0.25">
      <c r="I4262" s="17"/>
      <c r="J4262" s="18"/>
    </row>
    <row r="4263" spans="9:10" x14ac:dyDescent="0.25">
      <c r="I4263" s="17"/>
      <c r="J4263" s="18"/>
    </row>
    <row r="4264" spans="9:10" x14ac:dyDescent="0.25">
      <c r="I4264" s="17"/>
      <c r="J4264" s="18"/>
    </row>
    <row r="4265" spans="9:10" x14ac:dyDescent="0.25">
      <c r="I4265" s="17"/>
      <c r="J4265" s="18"/>
    </row>
    <row r="4266" spans="9:10" x14ac:dyDescent="0.25">
      <c r="I4266" s="17"/>
      <c r="J4266" s="18"/>
    </row>
    <row r="4267" spans="9:10" x14ac:dyDescent="0.25">
      <c r="I4267" s="17"/>
      <c r="J4267" s="18"/>
    </row>
    <row r="4268" spans="9:10" x14ac:dyDescent="0.25">
      <c r="I4268" s="17"/>
      <c r="J4268" s="18"/>
    </row>
    <row r="4269" spans="9:10" x14ac:dyDescent="0.25">
      <c r="I4269" s="17"/>
      <c r="J4269" s="18"/>
    </row>
    <row r="4270" spans="9:10" x14ac:dyDescent="0.25">
      <c r="I4270" s="17"/>
      <c r="J4270" s="18"/>
    </row>
    <row r="4271" spans="9:10" x14ac:dyDescent="0.25">
      <c r="I4271" s="17"/>
      <c r="J4271" s="18"/>
    </row>
    <row r="4272" spans="9:10" x14ac:dyDescent="0.25">
      <c r="I4272" s="17"/>
      <c r="J4272" s="18"/>
    </row>
    <row r="4273" spans="9:10" x14ac:dyDescent="0.25">
      <c r="I4273" s="17"/>
      <c r="J4273" s="18"/>
    </row>
    <row r="4274" spans="9:10" x14ac:dyDescent="0.25">
      <c r="I4274" s="17"/>
      <c r="J4274" s="18"/>
    </row>
    <row r="4275" spans="9:10" x14ac:dyDescent="0.25">
      <c r="I4275" s="17"/>
      <c r="J4275" s="18"/>
    </row>
    <row r="4276" spans="9:10" x14ac:dyDescent="0.25">
      <c r="I4276" s="17"/>
      <c r="J4276" s="18"/>
    </row>
    <row r="4277" spans="9:10" x14ac:dyDescent="0.25">
      <c r="I4277" s="17"/>
      <c r="J4277" s="18"/>
    </row>
    <row r="4278" spans="9:10" x14ac:dyDescent="0.25">
      <c r="I4278" s="17"/>
      <c r="J4278" s="18"/>
    </row>
    <row r="4279" spans="9:10" x14ac:dyDescent="0.25">
      <c r="I4279" s="17"/>
      <c r="J4279" s="18"/>
    </row>
    <row r="4280" spans="9:10" x14ac:dyDescent="0.25">
      <c r="I4280" s="17"/>
      <c r="J4280" s="18"/>
    </row>
    <row r="4281" spans="9:10" x14ac:dyDescent="0.25">
      <c r="I4281" s="17"/>
      <c r="J4281" s="18"/>
    </row>
    <row r="4282" spans="9:10" x14ac:dyDescent="0.25">
      <c r="I4282" s="17"/>
      <c r="J4282" s="18"/>
    </row>
    <row r="4283" spans="9:10" x14ac:dyDescent="0.25">
      <c r="I4283" s="17"/>
      <c r="J4283" s="18"/>
    </row>
    <row r="4284" spans="9:10" x14ac:dyDescent="0.25">
      <c r="I4284" s="17"/>
      <c r="J4284" s="18"/>
    </row>
    <row r="4285" spans="9:10" x14ac:dyDescent="0.25">
      <c r="I4285" s="17"/>
      <c r="J4285" s="18"/>
    </row>
    <row r="4286" spans="9:10" x14ac:dyDescent="0.25">
      <c r="I4286" s="17"/>
      <c r="J4286" s="18"/>
    </row>
    <row r="4287" spans="9:10" x14ac:dyDescent="0.25">
      <c r="I4287" s="17"/>
      <c r="J4287" s="18"/>
    </row>
    <row r="4288" spans="9:10" x14ac:dyDescent="0.25">
      <c r="I4288" s="17"/>
      <c r="J4288" s="18"/>
    </row>
    <row r="4289" spans="9:10" x14ac:dyDescent="0.25">
      <c r="I4289" s="17"/>
      <c r="J4289" s="18"/>
    </row>
    <row r="4290" spans="9:10" x14ac:dyDescent="0.25">
      <c r="I4290" s="17"/>
      <c r="J4290" s="18"/>
    </row>
    <row r="4291" spans="9:10" x14ac:dyDescent="0.25">
      <c r="I4291" s="17"/>
      <c r="J4291" s="18"/>
    </row>
    <row r="4292" spans="9:10" x14ac:dyDescent="0.25">
      <c r="I4292" s="17"/>
      <c r="J4292" s="18"/>
    </row>
    <row r="4293" spans="9:10" x14ac:dyDescent="0.25">
      <c r="I4293" s="17"/>
      <c r="J4293" s="18"/>
    </row>
    <row r="4294" spans="9:10" x14ac:dyDescent="0.25">
      <c r="I4294" s="17"/>
      <c r="J4294" s="18"/>
    </row>
    <row r="4295" spans="9:10" x14ac:dyDescent="0.25">
      <c r="I4295" s="17"/>
      <c r="J4295" s="18"/>
    </row>
    <row r="4296" spans="9:10" x14ac:dyDescent="0.25">
      <c r="I4296" s="17"/>
      <c r="J4296" s="18"/>
    </row>
    <row r="4297" spans="9:10" x14ac:dyDescent="0.25">
      <c r="I4297" s="17"/>
      <c r="J4297" s="18"/>
    </row>
    <row r="4298" spans="9:10" x14ac:dyDescent="0.25">
      <c r="I4298" s="17"/>
      <c r="J4298" s="18"/>
    </row>
    <row r="4299" spans="9:10" x14ac:dyDescent="0.25">
      <c r="I4299" s="17"/>
      <c r="J4299" s="18"/>
    </row>
    <row r="4300" spans="9:10" x14ac:dyDescent="0.25">
      <c r="I4300" s="17"/>
      <c r="J4300" s="18"/>
    </row>
    <row r="4301" spans="9:10" x14ac:dyDescent="0.25">
      <c r="I4301" s="17"/>
      <c r="J4301" s="18"/>
    </row>
    <row r="4302" spans="9:10" x14ac:dyDescent="0.25">
      <c r="I4302" s="17"/>
      <c r="J4302" s="18"/>
    </row>
    <row r="4303" spans="9:10" x14ac:dyDescent="0.25">
      <c r="I4303" s="17"/>
      <c r="J4303" s="18"/>
    </row>
    <row r="4304" spans="9:10" x14ac:dyDescent="0.25">
      <c r="I4304" s="17"/>
      <c r="J4304" s="18"/>
    </row>
    <row r="4305" spans="9:10" x14ac:dyDescent="0.25">
      <c r="I4305" s="17"/>
      <c r="J4305" s="18"/>
    </row>
    <row r="4306" spans="9:10" x14ac:dyDescent="0.25">
      <c r="I4306" s="17"/>
      <c r="J4306" s="18"/>
    </row>
    <row r="4307" spans="9:10" x14ac:dyDescent="0.25">
      <c r="I4307" s="17"/>
      <c r="J4307" s="18"/>
    </row>
    <row r="4308" spans="9:10" x14ac:dyDescent="0.25">
      <c r="I4308" s="17"/>
      <c r="J4308" s="18"/>
    </row>
    <row r="4309" spans="9:10" x14ac:dyDescent="0.25">
      <c r="I4309" s="17"/>
      <c r="J4309" s="18"/>
    </row>
    <row r="4310" spans="9:10" x14ac:dyDescent="0.25">
      <c r="I4310" s="17"/>
      <c r="J4310" s="18"/>
    </row>
    <row r="4311" spans="9:10" x14ac:dyDescent="0.25">
      <c r="I4311" s="17"/>
      <c r="J4311" s="18"/>
    </row>
    <row r="4312" spans="9:10" x14ac:dyDescent="0.25">
      <c r="I4312" s="17"/>
      <c r="J4312" s="18"/>
    </row>
    <row r="4313" spans="9:10" x14ac:dyDescent="0.25">
      <c r="I4313" s="17"/>
      <c r="J4313" s="18"/>
    </row>
    <row r="4314" spans="9:10" x14ac:dyDescent="0.25">
      <c r="I4314" s="17"/>
      <c r="J4314" s="18"/>
    </row>
    <row r="4315" spans="9:10" x14ac:dyDescent="0.25">
      <c r="I4315" s="17"/>
      <c r="J4315" s="18"/>
    </row>
    <row r="4316" spans="9:10" x14ac:dyDescent="0.25">
      <c r="I4316" s="17"/>
      <c r="J4316" s="18"/>
    </row>
    <row r="4317" spans="9:10" x14ac:dyDescent="0.25">
      <c r="I4317" s="17"/>
      <c r="J4317" s="18"/>
    </row>
    <row r="4318" spans="9:10" x14ac:dyDescent="0.25">
      <c r="I4318" s="17"/>
      <c r="J4318" s="18"/>
    </row>
    <row r="4319" spans="9:10" x14ac:dyDescent="0.25">
      <c r="I4319" s="17"/>
      <c r="J4319" s="18"/>
    </row>
    <row r="4320" spans="9:10" x14ac:dyDescent="0.25">
      <c r="I4320" s="17"/>
      <c r="J4320" s="18"/>
    </row>
    <row r="4321" spans="9:10" x14ac:dyDescent="0.25">
      <c r="I4321" s="17"/>
      <c r="J4321" s="18"/>
    </row>
    <row r="4322" spans="9:10" x14ac:dyDescent="0.25">
      <c r="I4322" s="17"/>
      <c r="J4322" s="18"/>
    </row>
    <row r="4323" spans="9:10" x14ac:dyDescent="0.25">
      <c r="I4323" s="17"/>
      <c r="J4323" s="18"/>
    </row>
    <row r="4324" spans="9:10" x14ac:dyDescent="0.25">
      <c r="I4324" s="17"/>
      <c r="J4324" s="18"/>
    </row>
    <row r="4325" spans="9:10" x14ac:dyDescent="0.25">
      <c r="I4325" s="17"/>
      <c r="J4325" s="18"/>
    </row>
    <row r="4326" spans="9:10" x14ac:dyDescent="0.25">
      <c r="I4326" s="17"/>
      <c r="J4326" s="18"/>
    </row>
    <row r="4327" spans="9:10" x14ac:dyDescent="0.25">
      <c r="I4327" s="17"/>
      <c r="J4327" s="18"/>
    </row>
    <row r="4328" spans="9:10" x14ac:dyDescent="0.25">
      <c r="I4328" s="17"/>
      <c r="J4328" s="18"/>
    </row>
    <row r="4329" spans="9:10" x14ac:dyDescent="0.25">
      <c r="I4329" s="17"/>
      <c r="J4329" s="18"/>
    </row>
    <row r="4330" spans="9:10" x14ac:dyDescent="0.25">
      <c r="I4330" s="17"/>
      <c r="J4330" s="18"/>
    </row>
    <row r="4331" spans="9:10" x14ac:dyDescent="0.25">
      <c r="I4331" s="17"/>
      <c r="J4331" s="18"/>
    </row>
    <row r="4332" spans="9:10" x14ac:dyDescent="0.25">
      <c r="I4332" s="17"/>
      <c r="J4332" s="18"/>
    </row>
    <row r="4333" spans="9:10" x14ac:dyDescent="0.25">
      <c r="I4333" s="17"/>
      <c r="J4333" s="18"/>
    </row>
    <row r="4334" spans="9:10" x14ac:dyDescent="0.25">
      <c r="I4334" s="17"/>
      <c r="J4334" s="18"/>
    </row>
    <row r="4335" spans="9:10" x14ac:dyDescent="0.25">
      <c r="I4335" s="17"/>
      <c r="J4335" s="18"/>
    </row>
    <row r="4336" spans="9:10" x14ac:dyDescent="0.25">
      <c r="I4336" s="17"/>
      <c r="J4336" s="18"/>
    </row>
    <row r="4337" spans="9:10" x14ac:dyDescent="0.25">
      <c r="I4337" s="17"/>
      <c r="J4337" s="18"/>
    </row>
    <row r="4338" spans="9:10" x14ac:dyDescent="0.25">
      <c r="I4338" s="17"/>
      <c r="J4338" s="18"/>
    </row>
    <row r="4339" spans="9:10" x14ac:dyDescent="0.25">
      <c r="I4339" s="17"/>
      <c r="J4339" s="18"/>
    </row>
    <row r="4340" spans="9:10" x14ac:dyDescent="0.25">
      <c r="I4340" s="17"/>
      <c r="J4340" s="18"/>
    </row>
    <row r="4341" spans="9:10" x14ac:dyDescent="0.25">
      <c r="I4341" s="17"/>
      <c r="J4341" s="18"/>
    </row>
    <row r="4342" spans="9:10" x14ac:dyDescent="0.25">
      <c r="I4342" s="17"/>
      <c r="J4342" s="18"/>
    </row>
    <row r="4343" spans="9:10" x14ac:dyDescent="0.25">
      <c r="I4343" s="17"/>
      <c r="J4343" s="18"/>
    </row>
    <row r="4344" spans="9:10" x14ac:dyDescent="0.25">
      <c r="I4344" s="17"/>
      <c r="J4344" s="18"/>
    </row>
    <row r="4345" spans="9:10" x14ac:dyDescent="0.25">
      <c r="I4345" s="17"/>
      <c r="J4345" s="18"/>
    </row>
    <row r="4346" spans="9:10" x14ac:dyDescent="0.25">
      <c r="I4346" s="17"/>
      <c r="J4346" s="18"/>
    </row>
    <row r="4347" spans="9:10" x14ac:dyDescent="0.25">
      <c r="I4347" s="17"/>
      <c r="J4347" s="18"/>
    </row>
    <row r="4348" spans="9:10" x14ac:dyDescent="0.25">
      <c r="I4348" s="17"/>
      <c r="J4348" s="18"/>
    </row>
    <row r="4349" spans="9:10" x14ac:dyDescent="0.25">
      <c r="I4349" s="17"/>
      <c r="J4349" s="18"/>
    </row>
    <row r="4350" spans="9:10" x14ac:dyDescent="0.25">
      <c r="I4350" s="17"/>
      <c r="J4350" s="18"/>
    </row>
    <row r="4351" spans="9:10" x14ac:dyDescent="0.25">
      <c r="I4351" s="17"/>
      <c r="J4351" s="18"/>
    </row>
    <row r="4352" spans="9:10" x14ac:dyDescent="0.25">
      <c r="I4352" s="17"/>
      <c r="J4352" s="18"/>
    </row>
    <row r="4353" spans="9:10" x14ac:dyDescent="0.25">
      <c r="I4353" s="17"/>
      <c r="J4353" s="18"/>
    </row>
    <row r="4354" spans="9:10" x14ac:dyDescent="0.25">
      <c r="I4354" s="17"/>
      <c r="J4354" s="18"/>
    </row>
    <row r="4355" spans="9:10" x14ac:dyDescent="0.25">
      <c r="I4355" s="17"/>
      <c r="J4355" s="18"/>
    </row>
    <row r="4356" spans="9:10" x14ac:dyDescent="0.25">
      <c r="I4356" s="17"/>
      <c r="J4356" s="18"/>
    </row>
    <row r="4357" spans="9:10" x14ac:dyDescent="0.25">
      <c r="I4357" s="17"/>
      <c r="J4357" s="18"/>
    </row>
    <row r="4358" spans="9:10" x14ac:dyDescent="0.25">
      <c r="I4358" s="17"/>
      <c r="J4358" s="18"/>
    </row>
    <row r="4359" spans="9:10" x14ac:dyDescent="0.25">
      <c r="I4359" s="17"/>
      <c r="J4359" s="18"/>
    </row>
    <row r="4360" spans="9:10" x14ac:dyDescent="0.25">
      <c r="I4360" s="17"/>
      <c r="J4360" s="18"/>
    </row>
    <row r="4361" spans="9:10" x14ac:dyDescent="0.25">
      <c r="I4361" s="17"/>
      <c r="J4361" s="18"/>
    </row>
    <row r="4362" spans="9:10" x14ac:dyDescent="0.25">
      <c r="I4362" s="17"/>
      <c r="J4362" s="18"/>
    </row>
    <row r="4363" spans="9:10" x14ac:dyDescent="0.25">
      <c r="I4363" s="17"/>
      <c r="J4363" s="18"/>
    </row>
    <row r="4364" spans="9:10" x14ac:dyDescent="0.25">
      <c r="I4364" s="17"/>
      <c r="J4364" s="18"/>
    </row>
    <row r="4365" spans="9:10" x14ac:dyDescent="0.25">
      <c r="I4365" s="17"/>
      <c r="J4365" s="18"/>
    </row>
    <row r="4366" spans="9:10" x14ac:dyDescent="0.25">
      <c r="I4366" s="17"/>
      <c r="J4366" s="18"/>
    </row>
    <row r="4367" spans="9:10" x14ac:dyDescent="0.25">
      <c r="I4367" s="17"/>
      <c r="J4367" s="18"/>
    </row>
    <row r="4368" spans="9:10" x14ac:dyDescent="0.25">
      <c r="I4368" s="17"/>
      <c r="J4368" s="18"/>
    </row>
    <row r="4369" spans="9:10" x14ac:dyDescent="0.25">
      <c r="I4369" s="17"/>
      <c r="J4369" s="18"/>
    </row>
    <row r="4370" spans="9:10" x14ac:dyDescent="0.25">
      <c r="I4370" s="17"/>
      <c r="J4370" s="18"/>
    </row>
    <row r="4371" spans="9:10" x14ac:dyDescent="0.25">
      <c r="I4371" s="17"/>
      <c r="J4371" s="18"/>
    </row>
    <row r="4372" spans="9:10" x14ac:dyDescent="0.25">
      <c r="I4372" s="17"/>
      <c r="J4372" s="18"/>
    </row>
    <row r="4373" spans="9:10" x14ac:dyDescent="0.25">
      <c r="I4373" s="17"/>
      <c r="J4373" s="18"/>
    </row>
    <row r="4374" spans="9:10" x14ac:dyDescent="0.25">
      <c r="I4374" s="17"/>
      <c r="J4374" s="18"/>
    </row>
    <row r="4375" spans="9:10" x14ac:dyDescent="0.25">
      <c r="I4375" s="17"/>
      <c r="J4375" s="18"/>
    </row>
    <row r="4376" spans="9:10" x14ac:dyDescent="0.25">
      <c r="I4376" s="17"/>
      <c r="J4376" s="18"/>
    </row>
    <row r="4377" spans="9:10" x14ac:dyDescent="0.25">
      <c r="I4377" s="17"/>
      <c r="J4377" s="18"/>
    </row>
    <row r="4378" spans="9:10" x14ac:dyDescent="0.25">
      <c r="I4378" s="17"/>
      <c r="J4378" s="18"/>
    </row>
    <row r="4379" spans="9:10" x14ac:dyDescent="0.25">
      <c r="I4379" s="17"/>
      <c r="J4379" s="18"/>
    </row>
    <row r="4380" spans="9:10" x14ac:dyDescent="0.25">
      <c r="I4380" s="17"/>
      <c r="J4380" s="18"/>
    </row>
    <row r="4381" spans="9:10" x14ac:dyDescent="0.25">
      <c r="I4381" s="17"/>
      <c r="J4381" s="18"/>
    </row>
    <row r="4382" spans="9:10" x14ac:dyDescent="0.25">
      <c r="I4382" s="17"/>
      <c r="J4382" s="18"/>
    </row>
    <row r="4383" spans="9:10" x14ac:dyDescent="0.25">
      <c r="I4383" s="17"/>
      <c r="J4383" s="18"/>
    </row>
    <row r="4384" spans="9:10" x14ac:dyDescent="0.25">
      <c r="I4384" s="17"/>
      <c r="J4384" s="18"/>
    </row>
    <row r="4385" spans="9:10" x14ac:dyDescent="0.25">
      <c r="I4385" s="17"/>
      <c r="J4385" s="18"/>
    </row>
    <row r="4386" spans="9:10" x14ac:dyDescent="0.25">
      <c r="I4386" s="17"/>
      <c r="J4386" s="18"/>
    </row>
    <row r="4387" spans="9:10" x14ac:dyDescent="0.25">
      <c r="I4387" s="17"/>
      <c r="J4387" s="18"/>
    </row>
    <row r="4388" spans="9:10" x14ac:dyDescent="0.25">
      <c r="I4388" s="17"/>
      <c r="J4388" s="18"/>
    </row>
    <row r="4389" spans="9:10" x14ac:dyDescent="0.25">
      <c r="I4389" s="17"/>
      <c r="J4389" s="18"/>
    </row>
    <row r="4390" spans="9:10" x14ac:dyDescent="0.25">
      <c r="I4390" s="17"/>
      <c r="J4390" s="18"/>
    </row>
    <row r="4391" spans="9:10" x14ac:dyDescent="0.25">
      <c r="I4391" s="17"/>
      <c r="J4391" s="18"/>
    </row>
    <row r="4392" spans="9:10" x14ac:dyDescent="0.25">
      <c r="I4392" s="17"/>
      <c r="J4392" s="18"/>
    </row>
    <row r="4393" spans="9:10" x14ac:dyDescent="0.25">
      <c r="I4393" s="17"/>
      <c r="J4393" s="18"/>
    </row>
    <row r="4394" spans="9:10" x14ac:dyDescent="0.25">
      <c r="I4394" s="17"/>
      <c r="J4394" s="18"/>
    </row>
    <row r="4395" spans="9:10" x14ac:dyDescent="0.25">
      <c r="I4395" s="17"/>
      <c r="J4395" s="18"/>
    </row>
    <row r="4396" spans="9:10" x14ac:dyDescent="0.25">
      <c r="I4396" s="17"/>
      <c r="J4396" s="18"/>
    </row>
    <row r="4397" spans="9:10" x14ac:dyDescent="0.25">
      <c r="I4397" s="17"/>
      <c r="J4397" s="18"/>
    </row>
    <row r="4398" spans="9:10" x14ac:dyDescent="0.25">
      <c r="I4398" s="17"/>
      <c r="J4398" s="18"/>
    </row>
    <row r="4399" spans="9:10" x14ac:dyDescent="0.25">
      <c r="I4399" s="17"/>
      <c r="J4399" s="18"/>
    </row>
    <row r="4400" spans="9:10" x14ac:dyDescent="0.25">
      <c r="I4400" s="17"/>
      <c r="J4400" s="18"/>
    </row>
    <row r="4401" spans="9:10" x14ac:dyDescent="0.25">
      <c r="I4401" s="17"/>
      <c r="J4401" s="18"/>
    </row>
    <row r="4402" spans="9:10" x14ac:dyDescent="0.25">
      <c r="I4402" s="17"/>
      <c r="J4402" s="18"/>
    </row>
    <row r="4403" spans="9:10" x14ac:dyDescent="0.25">
      <c r="I4403" s="17"/>
      <c r="J4403" s="18"/>
    </row>
    <row r="4404" spans="9:10" x14ac:dyDescent="0.25">
      <c r="I4404" s="17"/>
      <c r="J4404" s="18"/>
    </row>
    <row r="4405" spans="9:10" x14ac:dyDescent="0.25">
      <c r="I4405" s="17"/>
      <c r="J4405" s="18"/>
    </row>
    <row r="4406" spans="9:10" x14ac:dyDescent="0.25">
      <c r="I4406" s="17"/>
      <c r="J4406" s="18"/>
    </row>
    <row r="4407" spans="9:10" x14ac:dyDescent="0.25">
      <c r="I4407" s="17"/>
      <c r="J4407" s="18"/>
    </row>
    <row r="4408" spans="9:10" x14ac:dyDescent="0.25">
      <c r="I4408" s="17"/>
      <c r="J4408" s="18"/>
    </row>
    <row r="4409" spans="9:10" x14ac:dyDescent="0.25">
      <c r="I4409" s="17"/>
      <c r="J4409" s="18"/>
    </row>
    <row r="4410" spans="9:10" x14ac:dyDescent="0.25">
      <c r="I4410" s="17"/>
      <c r="J4410" s="18"/>
    </row>
    <row r="4411" spans="9:10" x14ac:dyDescent="0.25">
      <c r="I4411" s="17"/>
      <c r="J4411" s="18"/>
    </row>
    <row r="4412" spans="9:10" x14ac:dyDescent="0.25">
      <c r="I4412" s="17"/>
      <c r="J4412" s="18"/>
    </row>
    <row r="4413" spans="9:10" x14ac:dyDescent="0.25">
      <c r="I4413" s="17"/>
      <c r="J4413" s="18"/>
    </row>
    <row r="4414" spans="9:10" x14ac:dyDescent="0.25">
      <c r="I4414" s="17"/>
      <c r="J4414" s="18"/>
    </row>
    <row r="4415" spans="9:10" x14ac:dyDescent="0.25">
      <c r="I4415" s="17"/>
      <c r="J4415" s="18"/>
    </row>
    <row r="4416" spans="9:10" x14ac:dyDescent="0.25">
      <c r="I4416" s="17"/>
      <c r="J4416" s="18"/>
    </row>
    <row r="4417" spans="9:10" x14ac:dyDescent="0.25">
      <c r="I4417" s="17"/>
      <c r="J4417" s="18"/>
    </row>
    <row r="4418" spans="9:10" x14ac:dyDescent="0.25">
      <c r="I4418" s="17"/>
      <c r="J4418" s="18"/>
    </row>
    <row r="4419" spans="9:10" x14ac:dyDescent="0.25">
      <c r="I4419" s="17"/>
      <c r="J4419" s="18"/>
    </row>
    <row r="4420" spans="9:10" x14ac:dyDescent="0.25">
      <c r="I4420" s="17"/>
      <c r="J4420" s="18"/>
    </row>
    <row r="4421" spans="9:10" x14ac:dyDescent="0.25">
      <c r="I4421" s="17"/>
      <c r="J4421" s="18"/>
    </row>
    <row r="4422" spans="9:10" x14ac:dyDescent="0.25">
      <c r="I4422" s="17"/>
      <c r="J4422" s="18"/>
    </row>
    <row r="4423" spans="9:10" x14ac:dyDescent="0.25">
      <c r="I4423" s="17"/>
      <c r="J4423" s="18"/>
    </row>
    <row r="4424" spans="9:10" x14ac:dyDescent="0.25">
      <c r="I4424" s="17"/>
      <c r="J4424" s="18"/>
    </row>
    <row r="4425" spans="9:10" x14ac:dyDescent="0.25">
      <c r="I4425" s="17"/>
      <c r="J4425" s="18"/>
    </row>
    <row r="4426" spans="9:10" x14ac:dyDescent="0.25">
      <c r="I4426" s="17"/>
      <c r="J4426" s="18"/>
    </row>
    <row r="4427" spans="9:10" x14ac:dyDescent="0.25">
      <c r="I4427" s="17"/>
      <c r="J4427" s="18"/>
    </row>
    <row r="4428" spans="9:10" x14ac:dyDescent="0.25">
      <c r="I4428" s="17"/>
      <c r="J4428" s="18"/>
    </row>
    <row r="4429" spans="9:10" x14ac:dyDescent="0.25">
      <c r="I4429" s="17"/>
      <c r="J4429" s="18"/>
    </row>
    <row r="4430" spans="9:10" x14ac:dyDescent="0.25">
      <c r="I4430" s="17"/>
      <c r="J4430" s="18"/>
    </row>
    <row r="4431" spans="9:10" x14ac:dyDescent="0.25">
      <c r="I4431" s="17"/>
      <c r="J4431" s="18"/>
    </row>
    <row r="4432" spans="9:10" x14ac:dyDescent="0.25">
      <c r="I4432" s="17"/>
      <c r="J4432" s="18"/>
    </row>
    <row r="4433" spans="9:10" x14ac:dyDescent="0.25">
      <c r="I4433" s="17"/>
      <c r="J4433" s="18"/>
    </row>
    <row r="4434" spans="9:10" x14ac:dyDescent="0.25">
      <c r="I4434" s="17"/>
      <c r="J4434" s="18"/>
    </row>
    <row r="4435" spans="9:10" x14ac:dyDescent="0.25">
      <c r="I4435" s="17"/>
      <c r="J4435" s="18"/>
    </row>
    <row r="4436" spans="9:10" x14ac:dyDescent="0.25">
      <c r="I4436" s="17"/>
      <c r="J4436" s="18"/>
    </row>
    <row r="4437" spans="9:10" x14ac:dyDescent="0.25">
      <c r="I4437" s="17"/>
      <c r="J4437" s="18"/>
    </row>
    <row r="4438" spans="9:10" x14ac:dyDescent="0.25">
      <c r="I4438" s="17"/>
      <c r="J4438" s="18"/>
    </row>
    <row r="4439" spans="9:10" x14ac:dyDescent="0.25">
      <c r="I4439" s="17"/>
      <c r="J4439" s="18"/>
    </row>
    <row r="4440" spans="9:10" x14ac:dyDescent="0.25">
      <c r="I4440" s="17"/>
      <c r="J4440" s="18"/>
    </row>
    <row r="4441" spans="9:10" x14ac:dyDescent="0.25">
      <c r="I4441" s="17"/>
      <c r="J4441" s="18"/>
    </row>
    <row r="4442" spans="9:10" x14ac:dyDescent="0.25">
      <c r="I4442" s="17"/>
      <c r="J4442" s="18"/>
    </row>
    <row r="4443" spans="9:10" x14ac:dyDescent="0.25">
      <c r="I4443" s="17"/>
      <c r="J4443" s="18"/>
    </row>
    <row r="4444" spans="9:10" x14ac:dyDescent="0.25">
      <c r="I4444" s="17"/>
      <c r="J4444" s="18"/>
    </row>
    <row r="4445" spans="9:10" x14ac:dyDescent="0.25">
      <c r="I4445" s="17"/>
      <c r="J4445" s="18"/>
    </row>
    <row r="4446" spans="9:10" x14ac:dyDescent="0.25">
      <c r="I4446" s="17"/>
      <c r="J4446" s="18"/>
    </row>
    <row r="4447" spans="9:10" x14ac:dyDescent="0.25">
      <c r="I4447" s="17"/>
      <c r="J4447" s="18"/>
    </row>
    <row r="4448" spans="9:10" x14ac:dyDescent="0.25">
      <c r="I4448" s="17"/>
      <c r="J4448" s="18"/>
    </row>
    <row r="4449" spans="9:10" x14ac:dyDescent="0.25">
      <c r="I4449" s="17"/>
      <c r="J4449" s="18"/>
    </row>
    <row r="4450" spans="9:10" x14ac:dyDescent="0.25">
      <c r="I4450" s="17"/>
      <c r="J4450" s="18"/>
    </row>
    <row r="4451" spans="9:10" x14ac:dyDescent="0.25">
      <c r="I4451" s="17"/>
      <c r="J4451" s="18"/>
    </row>
    <row r="4452" spans="9:10" x14ac:dyDescent="0.25">
      <c r="I4452" s="17"/>
      <c r="J4452" s="18"/>
    </row>
    <row r="4453" spans="9:10" x14ac:dyDescent="0.25">
      <c r="I4453" s="17"/>
      <c r="J4453" s="18"/>
    </row>
    <row r="4454" spans="9:10" x14ac:dyDescent="0.25">
      <c r="I4454" s="17"/>
      <c r="J4454" s="18"/>
    </row>
    <row r="4455" spans="9:10" x14ac:dyDescent="0.25">
      <c r="I4455" s="17"/>
      <c r="J4455" s="18"/>
    </row>
    <row r="4456" spans="9:10" x14ac:dyDescent="0.25">
      <c r="I4456" s="17"/>
      <c r="J4456" s="18"/>
    </row>
    <row r="4457" spans="9:10" x14ac:dyDescent="0.25">
      <c r="I4457" s="17"/>
      <c r="J4457" s="18"/>
    </row>
    <row r="4458" spans="9:10" x14ac:dyDescent="0.25">
      <c r="I4458" s="17"/>
      <c r="J4458" s="18"/>
    </row>
    <row r="4459" spans="9:10" x14ac:dyDescent="0.25">
      <c r="I4459" s="17"/>
      <c r="J4459" s="18"/>
    </row>
    <row r="4460" spans="9:10" x14ac:dyDescent="0.25">
      <c r="I4460" s="17"/>
      <c r="J4460" s="18"/>
    </row>
    <row r="4461" spans="9:10" x14ac:dyDescent="0.25">
      <c r="I4461" s="17"/>
      <c r="J4461" s="18"/>
    </row>
    <row r="4462" spans="9:10" x14ac:dyDescent="0.25">
      <c r="I4462" s="17"/>
      <c r="J4462" s="18"/>
    </row>
    <row r="4463" spans="9:10" x14ac:dyDescent="0.25">
      <c r="I4463" s="17"/>
      <c r="J4463" s="18"/>
    </row>
    <row r="4464" spans="9:10" x14ac:dyDescent="0.25">
      <c r="I4464" s="17"/>
      <c r="J4464" s="18"/>
    </row>
    <row r="4465" spans="9:10" x14ac:dyDescent="0.25">
      <c r="I4465" s="17"/>
      <c r="J4465" s="18"/>
    </row>
    <row r="4466" spans="9:10" x14ac:dyDescent="0.25">
      <c r="I4466" s="17"/>
      <c r="J4466" s="18"/>
    </row>
    <row r="4467" spans="9:10" x14ac:dyDescent="0.25">
      <c r="I4467" s="17"/>
      <c r="J4467" s="18"/>
    </row>
    <row r="4468" spans="9:10" x14ac:dyDescent="0.25">
      <c r="I4468" s="17"/>
      <c r="J4468" s="18"/>
    </row>
    <row r="4469" spans="9:10" x14ac:dyDescent="0.25">
      <c r="I4469" s="17"/>
      <c r="J4469" s="18"/>
    </row>
    <row r="4470" spans="9:10" x14ac:dyDescent="0.25">
      <c r="I4470" s="17"/>
      <c r="J4470" s="18"/>
    </row>
    <row r="4471" spans="9:10" x14ac:dyDescent="0.25">
      <c r="I4471" s="17"/>
      <c r="J4471" s="18"/>
    </row>
    <row r="4472" spans="9:10" x14ac:dyDescent="0.25">
      <c r="I4472" s="17"/>
      <c r="J4472" s="18"/>
    </row>
    <row r="4473" spans="9:10" x14ac:dyDescent="0.25">
      <c r="I4473" s="17"/>
      <c r="J4473" s="18"/>
    </row>
    <row r="4474" spans="9:10" x14ac:dyDescent="0.25">
      <c r="I4474" s="17"/>
      <c r="J4474" s="18"/>
    </row>
    <row r="4475" spans="9:10" x14ac:dyDescent="0.25">
      <c r="I4475" s="17"/>
      <c r="J4475" s="18"/>
    </row>
    <row r="4476" spans="9:10" x14ac:dyDescent="0.25">
      <c r="I4476" s="17"/>
      <c r="J4476" s="18"/>
    </row>
    <row r="4477" spans="9:10" x14ac:dyDescent="0.25">
      <c r="I4477" s="17"/>
      <c r="J4477" s="18"/>
    </row>
    <row r="4478" spans="9:10" x14ac:dyDescent="0.25">
      <c r="I4478" s="17"/>
      <c r="J4478" s="18"/>
    </row>
    <row r="4479" spans="9:10" x14ac:dyDescent="0.25">
      <c r="I4479" s="17"/>
      <c r="J4479" s="18"/>
    </row>
    <row r="4480" spans="9:10" x14ac:dyDescent="0.25">
      <c r="I4480" s="17"/>
      <c r="J4480" s="18"/>
    </row>
    <row r="4481" spans="9:10" x14ac:dyDescent="0.25">
      <c r="I4481" s="17"/>
      <c r="J4481" s="18"/>
    </row>
    <row r="4482" spans="9:10" x14ac:dyDescent="0.25">
      <c r="I4482" s="17"/>
      <c r="J4482" s="18"/>
    </row>
    <row r="4483" spans="9:10" x14ac:dyDescent="0.25">
      <c r="I4483" s="17"/>
      <c r="J4483" s="18"/>
    </row>
    <row r="4484" spans="9:10" x14ac:dyDescent="0.25">
      <c r="I4484" s="17"/>
      <c r="J4484" s="18"/>
    </row>
    <row r="4485" spans="9:10" x14ac:dyDescent="0.25">
      <c r="I4485" s="17"/>
      <c r="J4485" s="18"/>
    </row>
    <row r="4486" spans="9:10" x14ac:dyDescent="0.25">
      <c r="I4486" s="17"/>
      <c r="J4486" s="18"/>
    </row>
    <row r="4487" spans="9:10" x14ac:dyDescent="0.25">
      <c r="I4487" s="17"/>
      <c r="J4487" s="18"/>
    </row>
    <row r="4488" spans="9:10" x14ac:dyDescent="0.25">
      <c r="I4488" s="17"/>
      <c r="J4488" s="18"/>
    </row>
    <row r="4489" spans="9:10" x14ac:dyDescent="0.25">
      <c r="I4489" s="17"/>
      <c r="J4489" s="18"/>
    </row>
    <row r="4490" spans="9:10" x14ac:dyDescent="0.25">
      <c r="I4490" s="17"/>
      <c r="J4490" s="18"/>
    </row>
    <row r="4491" spans="9:10" x14ac:dyDescent="0.25">
      <c r="I4491" s="17"/>
      <c r="J4491" s="18"/>
    </row>
    <row r="4492" spans="9:10" x14ac:dyDescent="0.25">
      <c r="I4492" s="17"/>
      <c r="J4492" s="18"/>
    </row>
    <row r="4493" spans="9:10" x14ac:dyDescent="0.25">
      <c r="I4493" s="17"/>
      <c r="J4493" s="18"/>
    </row>
    <row r="4494" spans="9:10" x14ac:dyDescent="0.25">
      <c r="I4494" s="17"/>
      <c r="J4494" s="18"/>
    </row>
    <row r="4495" spans="9:10" x14ac:dyDescent="0.25">
      <c r="I4495" s="17"/>
      <c r="J4495" s="18"/>
    </row>
    <row r="4496" spans="9:10" x14ac:dyDescent="0.25">
      <c r="I4496" s="17"/>
      <c r="J4496" s="18"/>
    </row>
    <row r="4497" spans="9:10" x14ac:dyDescent="0.25">
      <c r="I4497" s="17"/>
      <c r="J4497" s="18"/>
    </row>
    <row r="4498" spans="9:10" x14ac:dyDescent="0.25">
      <c r="I4498" s="17"/>
      <c r="J4498" s="18"/>
    </row>
    <row r="4499" spans="9:10" x14ac:dyDescent="0.25">
      <c r="I4499" s="17"/>
      <c r="J4499" s="18"/>
    </row>
    <row r="4500" spans="9:10" x14ac:dyDescent="0.25">
      <c r="I4500" s="17"/>
      <c r="J4500" s="18"/>
    </row>
    <row r="4501" spans="9:10" x14ac:dyDescent="0.25">
      <c r="I4501" s="17"/>
      <c r="J4501" s="18"/>
    </row>
    <row r="4502" spans="9:10" x14ac:dyDescent="0.25">
      <c r="I4502" s="17"/>
      <c r="J4502" s="18"/>
    </row>
    <row r="4503" spans="9:10" x14ac:dyDescent="0.25">
      <c r="I4503" s="17"/>
      <c r="J4503" s="18"/>
    </row>
    <row r="4504" spans="9:10" x14ac:dyDescent="0.25">
      <c r="I4504" s="17"/>
      <c r="J4504" s="18"/>
    </row>
    <row r="4505" spans="9:10" x14ac:dyDescent="0.25">
      <c r="I4505" s="17"/>
      <c r="J4505" s="18"/>
    </row>
    <row r="4506" spans="9:10" x14ac:dyDescent="0.25">
      <c r="I4506" s="17"/>
      <c r="J4506" s="18"/>
    </row>
    <row r="4507" spans="9:10" x14ac:dyDescent="0.25">
      <c r="I4507" s="17"/>
      <c r="J4507" s="18"/>
    </row>
    <row r="4508" spans="9:10" x14ac:dyDescent="0.25">
      <c r="I4508" s="17"/>
      <c r="J4508" s="18"/>
    </row>
    <row r="4509" spans="9:10" x14ac:dyDescent="0.25">
      <c r="I4509" s="17"/>
      <c r="J4509" s="18"/>
    </row>
    <row r="4510" spans="9:10" x14ac:dyDescent="0.25">
      <c r="I4510" s="17"/>
      <c r="J4510" s="18"/>
    </row>
    <row r="4511" spans="9:10" x14ac:dyDescent="0.25">
      <c r="I4511" s="17"/>
      <c r="J4511" s="18"/>
    </row>
    <row r="4512" spans="9:10" x14ac:dyDescent="0.25">
      <c r="I4512" s="17"/>
      <c r="J4512" s="18"/>
    </row>
    <row r="4513" spans="9:10" x14ac:dyDescent="0.25">
      <c r="I4513" s="17"/>
      <c r="J4513" s="18"/>
    </row>
    <row r="4514" spans="9:10" x14ac:dyDescent="0.25">
      <c r="I4514" s="17"/>
      <c r="J4514" s="18"/>
    </row>
    <row r="4515" spans="9:10" x14ac:dyDescent="0.25">
      <c r="I4515" s="17"/>
      <c r="J4515" s="18"/>
    </row>
    <row r="4516" spans="9:10" x14ac:dyDescent="0.25">
      <c r="I4516" s="17"/>
      <c r="J4516" s="18"/>
    </row>
    <row r="4517" spans="9:10" x14ac:dyDescent="0.25">
      <c r="I4517" s="17"/>
      <c r="J4517" s="18"/>
    </row>
    <row r="4518" spans="9:10" x14ac:dyDescent="0.25">
      <c r="I4518" s="17"/>
      <c r="J4518" s="18"/>
    </row>
    <row r="4519" spans="9:10" x14ac:dyDescent="0.25">
      <c r="I4519" s="17"/>
      <c r="J4519" s="18"/>
    </row>
    <row r="4520" spans="9:10" x14ac:dyDescent="0.25">
      <c r="I4520" s="17"/>
      <c r="J4520" s="18"/>
    </row>
    <row r="4521" spans="9:10" x14ac:dyDescent="0.25">
      <c r="I4521" s="17"/>
      <c r="J4521" s="18"/>
    </row>
    <row r="4522" spans="9:10" x14ac:dyDescent="0.25">
      <c r="I4522" s="17"/>
      <c r="J4522" s="18"/>
    </row>
    <row r="4523" spans="9:10" x14ac:dyDescent="0.25">
      <c r="I4523" s="17"/>
      <c r="J4523" s="18"/>
    </row>
    <row r="4524" spans="9:10" x14ac:dyDescent="0.25">
      <c r="I4524" s="17"/>
      <c r="J4524" s="18"/>
    </row>
    <row r="4525" spans="9:10" x14ac:dyDescent="0.25">
      <c r="I4525" s="17"/>
      <c r="J4525" s="18"/>
    </row>
    <row r="4526" spans="9:10" x14ac:dyDescent="0.25">
      <c r="I4526" s="17"/>
      <c r="J4526" s="18"/>
    </row>
    <row r="4527" spans="9:10" x14ac:dyDescent="0.25">
      <c r="I4527" s="17"/>
      <c r="J4527" s="18"/>
    </row>
    <row r="4528" spans="9:10" x14ac:dyDescent="0.25">
      <c r="I4528" s="17"/>
      <c r="J4528" s="18"/>
    </row>
    <row r="4529" spans="9:10" x14ac:dyDescent="0.25">
      <c r="I4529" s="17"/>
      <c r="J4529" s="18"/>
    </row>
    <row r="4530" spans="9:10" x14ac:dyDescent="0.25">
      <c r="I4530" s="17"/>
      <c r="J4530" s="18"/>
    </row>
    <row r="4531" spans="9:10" x14ac:dyDescent="0.25">
      <c r="I4531" s="17"/>
      <c r="J4531" s="18"/>
    </row>
    <row r="4532" spans="9:10" x14ac:dyDescent="0.25">
      <c r="I4532" s="17"/>
      <c r="J4532" s="18"/>
    </row>
    <row r="4533" spans="9:10" x14ac:dyDescent="0.25">
      <c r="I4533" s="17"/>
      <c r="J4533" s="18"/>
    </row>
    <row r="4534" spans="9:10" x14ac:dyDescent="0.25">
      <c r="I4534" s="17"/>
      <c r="J4534" s="18"/>
    </row>
    <row r="4535" spans="9:10" x14ac:dyDescent="0.25">
      <c r="I4535" s="17"/>
      <c r="J4535" s="18"/>
    </row>
    <row r="4536" spans="9:10" x14ac:dyDescent="0.25">
      <c r="I4536" s="17"/>
      <c r="J4536" s="18"/>
    </row>
    <row r="4537" spans="9:10" x14ac:dyDescent="0.25">
      <c r="I4537" s="17"/>
      <c r="J4537" s="18"/>
    </row>
    <row r="4538" spans="9:10" x14ac:dyDescent="0.25">
      <c r="I4538" s="17"/>
      <c r="J4538" s="18"/>
    </row>
    <row r="4539" spans="9:10" x14ac:dyDescent="0.25">
      <c r="I4539" s="17"/>
      <c r="J4539" s="18"/>
    </row>
    <row r="4540" spans="9:10" x14ac:dyDescent="0.25">
      <c r="I4540" s="17"/>
      <c r="J4540" s="18"/>
    </row>
    <row r="4541" spans="9:10" x14ac:dyDescent="0.25">
      <c r="I4541" s="17"/>
      <c r="J4541" s="18"/>
    </row>
    <row r="4542" spans="9:10" x14ac:dyDescent="0.25">
      <c r="I4542" s="17"/>
      <c r="J4542" s="18"/>
    </row>
    <row r="4543" spans="9:10" x14ac:dyDescent="0.25">
      <c r="I4543" s="17"/>
      <c r="J4543" s="18"/>
    </row>
    <row r="4544" spans="9:10" x14ac:dyDescent="0.25">
      <c r="I4544" s="17"/>
      <c r="J4544" s="18"/>
    </row>
    <row r="4545" spans="9:10" x14ac:dyDescent="0.25">
      <c r="I4545" s="17"/>
      <c r="J4545" s="18"/>
    </row>
    <row r="4546" spans="9:10" x14ac:dyDescent="0.25">
      <c r="I4546" s="17"/>
      <c r="J4546" s="18"/>
    </row>
    <row r="4547" spans="9:10" x14ac:dyDescent="0.25">
      <c r="I4547" s="17"/>
      <c r="J4547" s="18"/>
    </row>
    <row r="4548" spans="9:10" x14ac:dyDescent="0.25">
      <c r="I4548" s="17"/>
      <c r="J4548" s="18"/>
    </row>
    <row r="4549" spans="9:10" x14ac:dyDescent="0.25">
      <c r="I4549" s="17"/>
      <c r="J4549" s="18"/>
    </row>
    <row r="4550" spans="9:10" x14ac:dyDescent="0.25">
      <c r="I4550" s="17"/>
      <c r="J4550" s="18"/>
    </row>
    <row r="4551" spans="9:10" x14ac:dyDescent="0.25">
      <c r="I4551" s="17"/>
      <c r="J4551" s="18"/>
    </row>
    <row r="4552" spans="9:10" x14ac:dyDescent="0.25">
      <c r="I4552" s="17"/>
      <c r="J4552" s="18"/>
    </row>
    <row r="4553" spans="9:10" x14ac:dyDescent="0.25">
      <c r="I4553" s="17"/>
      <c r="J4553" s="18"/>
    </row>
    <row r="4554" spans="9:10" x14ac:dyDescent="0.25">
      <c r="I4554" s="17"/>
      <c r="J4554" s="18"/>
    </row>
    <row r="4555" spans="9:10" x14ac:dyDescent="0.25">
      <c r="I4555" s="17"/>
      <c r="J4555" s="18"/>
    </row>
    <row r="4556" spans="9:10" x14ac:dyDescent="0.25">
      <c r="I4556" s="17"/>
      <c r="J4556" s="18"/>
    </row>
    <row r="4557" spans="9:10" x14ac:dyDescent="0.25">
      <c r="I4557" s="17"/>
      <c r="J4557" s="18"/>
    </row>
    <row r="4558" spans="9:10" x14ac:dyDescent="0.25">
      <c r="I4558" s="17"/>
      <c r="J4558" s="18"/>
    </row>
    <row r="4559" spans="9:10" x14ac:dyDescent="0.25">
      <c r="I4559" s="17"/>
      <c r="J4559" s="18"/>
    </row>
    <row r="4560" spans="9:10" x14ac:dyDescent="0.25">
      <c r="I4560" s="17"/>
      <c r="J4560" s="18"/>
    </row>
    <row r="4561" spans="9:10" x14ac:dyDescent="0.25">
      <c r="I4561" s="17"/>
      <c r="J4561" s="18"/>
    </row>
    <row r="4562" spans="9:10" x14ac:dyDescent="0.25">
      <c r="I4562" s="17"/>
      <c r="J4562" s="18"/>
    </row>
    <row r="4563" spans="9:10" x14ac:dyDescent="0.25">
      <c r="I4563" s="17"/>
      <c r="J4563" s="18"/>
    </row>
    <row r="4564" spans="9:10" x14ac:dyDescent="0.25">
      <c r="I4564" s="17"/>
      <c r="J4564" s="18"/>
    </row>
    <row r="4565" spans="9:10" x14ac:dyDescent="0.25">
      <c r="I4565" s="17"/>
      <c r="J4565" s="18"/>
    </row>
    <row r="4566" spans="9:10" x14ac:dyDescent="0.25">
      <c r="I4566" s="17"/>
      <c r="J4566" s="18"/>
    </row>
    <row r="4567" spans="9:10" x14ac:dyDescent="0.25">
      <c r="I4567" s="17"/>
      <c r="J4567" s="18"/>
    </row>
    <row r="4568" spans="9:10" x14ac:dyDescent="0.25">
      <c r="I4568" s="17"/>
      <c r="J4568" s="18"/>
    </row>
    <row r="4569" spans="9:10" x14ac:dyDescent="0.25">
      <c r="I4569" s="17"/>
      <c r="J4569" s="18"/>
    </row>
    <row r="4570" spans="9:10" x14ac:dyDescent="0.25">
      <c r="I4570" s="17"/>
      <c r="J4570" s="18"/>
    </row>
    <row r="4571" spans="9:10" x14ac:dyDescent="0.25">
      <c r="I4571" s="17"/>
      <c r="J4571" s="18"/>
    </row>
    <row r="4572" spans="9:10" x14ac:dyDescent="0.25">
      <c r="I4572" s="17"/>
      <c r="J4572" s="18"/>
    </row>
    <row r="4573" spans="9:10" x14ac:dyDescent="0.25">
      <c r="I4573" s="17"/>
      <c r="J4573" s="18"/>
    </row>
    <row r="4574" spans="9:10" x14ac:dyDescent="0.25">
      <c r="I4574" s="17"/>
      <c r="J4574" s="18"/>
    </row>
    <row r="4575" spans="9:10" x14ac:dyDescent="0.25">
      <c r="I4575" s="17"/>
      <c r="J4575" s="18"/>
    </row>
    <row r="4576" spans="9:10" x14ac:dyDescent="0.25">
      <c r="I4576" s="17"/>
      <c r="J4576" s="18"/>
    </row>
    <row r="4577" spans="9:10" x14ac:dyDescent="0.25">
      <c r="I4577" s="17"/>
      <c r="J4577" s="18"/>
    </row>
    <row r="4578" spans="9:10" x14ac:dyDescent="0.25">
      <c r="I4578" s="17"/>
      <c r="J4578" s="18"/>
    </row>
    <row r="4579" spans="9:10" x14ac:dyDescent="0.25">
      <c r="I4579" s="17"/>
      <c r="J4579" s="18"/>
    </row>
    <row r="4580" spans="9:10" x14ac:dyDescent="0.25">
      <c r="I4580" s="17"/>
      <c r="J4580" s="18"/>
    </row>
    <row r="4581" spans="9:10" x14ac:dyDescent="0.25">
      <c r="I4581" s="17"/>
      <c r="J4581" s="18"/>
    </row>
    <row r="4582" spans="9:10" x14ac:dyDescent="0.25">
      <c r="I4582" s="17"/>
      <c r="J4582" s="18"/>
    </row>
    <row r="4583" spans="9:10" x14ac:dyDescent="0.25">
      <c r="I4583" s="17"/>
      <c r="J4583" s="18"/>
    </row>
    <row r="4584" spans="9:10" x14ac:dyDescent="0.25">
      <c r="I4584" s="17"/>
      <c r="J4584" s="18"/>
    </row>
    <row r="4585" spans="9:10" x14ac:dyDescent="0.25">
      <c r="I4585" s="17"/>
      <c r="J4585" s="18"/>
    </row>
    <row r="4586" spans="9:10" x14ac:dyDescent="0.25">
      <c r="I4586" s="17"/>
      <c r="J4586" s="18"/>
    </row>
    <row r="4587" spans="9:10" x14ac:dyDescent="0.25">
      <c r="I4587" s="17"/>
      <c r="J4587" s="18"/>
    </row>
    <row r="4588" spans="9:10" x14ac:dyDescent="0.25">
      <c r="I4588" s="17"/>
      <c r="J4588" s="18"/>
    </row>
    <row r="4589" spans="9:10" x14ac:dyDescent="0.25">
      <c r="I4589" s="17"/>
      <c r="J4589" s="18"/>
    </row>
    <row r="4590" spans="9:10" x14ac:dyDescent="0.25">
      <c r="I4590" s="17"/>
      <c r="J4590" s="18"/>
    </row>
    <row r="4591" spans="9:10" x14ac:dyDescent="0.25">
      <c r="I4591" s="17"/>
      <c r="J4591" s="18"/>
    </row>
    <row r="4592" spans="9:10" x14ac:dyDescent="0.25">
      <c r="I4592" s="17"/>
      <c r="J4592" s="18"/>
    </row>
    <row r="4593" spans="9:10" x14ac:dyDescent="0.25">
      <c r="I4593" s="17"/>
      <c r="J4593" s="18"/>
    </row>
    <row r="4594" spans="9:10" x14ac:dyDescent="0.25">
      <c r="I4594" s="17"/>
      <c r="J4594" s="18"/>
    </row>
    <row r="4595" spans="9:10" x14ac:dyDescent="0.25">
      <c r="I4595" s="17"/>
      <c r="J4595" s="18"/>
    </row>
    <row r="4596" spans="9:10" x14ac:dyDescent="0.25">
      <c r="I4596" s="17"/>
      <c r="J4596" s="18"/>
    </row>
    <row r="4597" spans="9:10" x14ac:dyDescent="0.25">
      <c r="I4597" s="17"/>
      <c r="J4597" s="18"/>
    </row>
    <row r="4598" spans="9:10" x14ac:dyDescent="0.25">
      <c r="I4598" s="17"/>
      <c r="J4598" s="18"/>
    </row>
    <row r="4599" spans="9:10" x14ac:dyDescent="0.25">
      <c r="I4599" s="17"/>
      <c r="J4599" s="18"/>
    </row>
    <row r="4600" spans="9:10" x14ac:dyDescent="0.25">
      <c r="I4600" s="17"/>
      <c r="J4600" s="18"/>
    </row>
    <row r="4601" spans="9:10" x14ac:dyDescent="0.25">
      <c r="I4601" s="17"/>
      <c r="J4601" s="18"/>
    </row>
    <row r="4602" spans="9:10" x14ac:dyDescent="0.25">
      <c r="I4602" s="17"/>
      <c r="J4602" s="18"/>
    </row>
    <row r="4603" spans="9:10" x14ac:dyDescent="0.25">
      <c r="I4603" s="17"/>
      <c r="J4603" s="18"/>
    </row>
    <row r="4604" spans="9:10" x14ac:dyDescent="0.25">
      <c r="I4604" s="17"/>
      <c r="J4604" s="18"/>
    </row>
    <row r="4605" spans="9:10" x14ac:dyDescent="0.25">
      <c r="I4605" s="17"/>
      <c r="J4605" s="18"/>
    </row>
    <row r="4606" spans="9:10" x14ac:dyDescent="0.25">
      <c r="I4606" s="17"/>
      <c r="J4606" s="18"/>
    </row>
    <row r="4607" spans="9:10" x14ac:dyDescent="0.25">
      <c r="I4607" s="17"/>
      <c r="J4607" s="18"/>
    </row>
    <row r="4608" spans="9:10" x14ac:dyDescent="0.25">
      <c r="I4608" s="17"/>
      <c r="J4608" s="18"/>
    </row>
    <row r="4609" spans="9:10" x14ac:dyDescent="0.25">
      <c r="I4609" s="17"/>
      <c r="J4609" s="18"/>
    </row>
    <row r="4610" spans="9:10" x14ac:dyDescent="0.25">
      <c r="I4610" s="17"/>
      <c r="J4610" s="18"/>
    </row>
    <row r="4611" spans="9:10" x14ac:dyDescent="0.25">
      <c r="I4611" s="17"/>
      <c r="J4611" s="18"/>
    </row>
    <row r="4612" spans="9:10" x14ac:dyDescent="0.25">
      <c r="I4612" s="17"/>
      <c r="J4612" s="18"/>
    </row>
    <row r="4613" spans="9:10" x14ac:dyDescent="0.25">
      <c r="I4613" s="17"/>
      <c r="J4613" s="18"/>
    </row>
    <row r="4614" spans="9:10" x14ac:dyDescent="0.25">
      <c r="I4614" s="17"/>
      <c r="J4614" s="18"/>
    </row>
    <row r="4615" spans="9:10" x14ac:dyDescent="0.25">
      <c r="I4615" s="17"/>
      <c r="J4615" s="18"/>
    </row>
    <row r="4616" spans="9:10" x14ac:dyDescent="0.25">
      <c r="I4616" s="17"/>
      <c r="J4616" s="18"/>
    </row>
    <row r="4617" spans="9:10" x14ac:dyDescent="0.25">
      <c r="I4617" s="17"/>
      <c r="J4617" s="18"/>
    </row>
    <row r="4618" spans="9:10" x14ac:dyDescent="0.25">
      <c r="I4618" s="17"/>
      <c r="J4618" s="18"/>
    </row>
    <row r="4619" spans="9:10" x14ac:dyDescent="0.25">
      <c r="I4619" s="17"/>
      <c r="J4619" s="18"/>
    </row>
    <row r="4620" spans="9:10" x14ac:dyDescent="0.25">
      <c r="I4620" s="17"/>
      <c r="J4620" s="18"/>
    </row>
    <row r="4621" spans="9:10" x14ac:dyDescent="0.25">
      <c r="I4621" s="17"/>
      <c r="J4621" s="18"/>
    </row>
    <row r="4622" spans="9:10" x14ac:dyDescent="0.25">
      <c r="I4622" s="17"/>
      <c r="J4622" s="18"/>
    </row>
    <row r="4623" spans="9:10" x14ac:dyDescent="0.25">
      <c r="I4623" s="17"/>
      <c r="J4623" s="18"/>
    </row>
    <row r="4624" spans="9:10" x14ac:dyDescent="0.25">
      <c r="I4624" s="17"/>
      <c r="J4624" s="18"/>
    </row>
    <row r="4625" spans="9:10" x14ac:dyDescent="0.25">
      <c r="I4625" s="17"/>
      <c r="J4625" s="18"/>
    </row>
    <row r="4626" spans="9:10" x14ac:dyDescent="0.25">
      <c r="I4626" s="17"/>
      <c r="J4626" s="18"/>
    </row>
    <row r="4627" spans="9:10" x14ac:dyDescent="0.25">
      <c r="I4627" s="17"/>
      <c r="J4627" s="18"/>
    </row>
    <row r="4628" spans="9:10" x14ac:dyDescent="0.25">
      <c r="I4628" s="17"/>
      <c r="J4628" s="18"/>
    </row>
    <row r="4629" spans="9:10" x14ac:dyDescent="0.25">
      <c r="I4629" s="17"/>
      <c r="J4629" s="18"/>
    </row>
    <row r="4630" spans="9:10" x14ac:dyDescent="0.25">
      <c r="I4630" s="17"/>
      <c r="J4630" s="18"/>
    </row>
    <row r="4631" spans="9:10" x14ac:dyDescent="0.25">
      <c r="I4631" s="17"/>
      <c r="J4631" s="18"/>
    </row>
    <row r="4632" spans="9:10" x14ac:dyDescent="0.25">
      <c r="I4632" s="17"/>
      <c r="J4632" s="18"/>
    </row>
    <row r="4633" spans="9:10" x14ac:dyDescent="0.25">
      <c r="I4633" s="17"/>
      <c r="J4633" s="18"/>
    </row>
    <row r="4634" spans="9:10" x14ac:dyDescent="0.25">
      <c r="I4634" s="17"/>
      <c r="J4634" s="18"/>
    </row>
    <row r="4635" spans="9:10" x14ac:dyDescent="0.25">
      <c r="I4635" s="17"/>
      <c r="J4635" s="18"/>
    </row>
    <row r="4636" spans="9:10" x14ac:dyDescent="0.25">
      <c r="I4636" s="17"/>
      <c r="J4636" s="18"/>
    </row>
    <row r="4637" spans="9:10" x14ac:dyDescent="0.25">
      <c r="I4637" s="17"/>
      <c r="J4637" s="18"/>
    </row>
    <row r="4638" spans="9:10" x14ac:dyDescent="0.25">
      <c r="I4638" s="17"/>
      <c r="J4638" s="18"/>
    </row>
    <row r="4639" spans="9:10" x14ac:dyDescent="0.25">
      <c r="I4639" s="17"/>
      <c r="J4639" s="18"/>
    </row>
    <row r="4640" spans="9:10" x14ac:dyDescent="0.25">
      <c r="I4640" s="17"/>
      <c r="J4640" s="18"/>
    </row>
    <row r="4641" spans="9:10" x14ac:dyDescent="0.25">
      <c r="I4641" s="17"/>
      <c r="J4641" s="18"/>
    </row>
    <row r="4642" spans="9:10" x14ac:dyDescent="0.25">
      <c r="I4642" s="17"/>
      <c r="J4642" s="18"/>
    </row>
    <row r="4643" spans="9:10" x14ac:dyDescent="0.25">
      <c r="I4643" s="17"/>
      <c r="J4643" s="18"/>
    </row>
    <row r="4644" spans="9:10" x14ac:dyDescent="0.25">
      <c r="I4644" s="17"/>
      <c r="J4644" s="18"/>
    </row>
    <row r="4645" spans="9:10" x14ac:dyDescent="0.25">
      <c r="I4645" s="17"/>
      <c r="J4645" s="18"/>
    </row>
    <row r="4646" spans="9:10" x14ac:dyDescent="0.25">
      <c r="I4646" s="17"/>
      <c r="J4646" s="18"/>
    </row>
    <row r="4647" spans="9:10" x14ac:dyDescent="0.25">
      <c r="I4647" s="17"/>
      <c r="J4647" s="18"/>
    </row>
    <row r="4648" spans="9:10" x14ac:dyDescent="0.25">
      <c r="I4648" s="17"/>
      <c r="J4648" s="18"/>
    </row>
    <row r="4649" spans="9:10" x14ac:dyDescent="0.25">
      <c r="I4649" s="17"/>
      <c r="J4649" s="18"/>
    </row>
    <row r="4650" spans="9:10" x14ac:dyDescent="0.25">
      <c r="I4650" s="17"/>
      <c r="J4650" s="18"/>
    </row>
    <row r="4651" spans="9:10" x14ac:dyDescent="0.25">
      <c r="I4651" s="17"/>
      <c r="J4651" s="18"/>
    </row>
    <row r="4652" spans="9:10" x14ac:dyDescent="0.25">
      <c r="I4652" s="17"/>
      <c r="J4652" s="18"/>
    </row>
    <row r="4653" spans="9:10" x14ac:dyDescent="0.25">
      <c r="I4653" s="17"/>
      <c r="J4653" s="18"/>
    </row>
    <row r="4654" spans="9:10" x14ac:dyDescent="0.25">
      <c r="I4654" s="17"/>
      <c r="J4654" s="18"/>
    </row>
    <row r="4655" spans="9:10" x14ac:dyDescent="0.25">
      <c r="I4655" s="17"/>
      <c r="J4655" s="18"/>
    </row>
    <row r="4656" spans="9:10" x14ac:dyDescent="0.25">
      <c r="I4656" s="17"/>
      <c r="J4656" s="18"/>
    </row>
    <row r="4657" spans="9:10" x14ac:dyDescent="0.25">
      <c r="I4657" s="17"/>
      <c r="J4657" s="18"/>
    </row>
    <row r="4658" spans="9:10" x14ac:dyDescent="0.25">
      <c r="I4658" s="17"/>
      <c r="J4658" s="18"/>
    </row>
    <row r="4659" spans="9:10" x14ac:dyDescent="0.25">
      <c r="I4659" s="17"/>
      <c r="J4659" s="18"/>
    </row>
    <row r="4660" spans="9:10" x14ac:dyDescent="0.25">
      <c r="I4660" s="17"/>
      <c r="J4660" s="18"/>
    </row>
    <row r="4661" spans="9:10" x14ac:dyDescent="0.25">
      <c r="I4661" s="17"/>
      <c r="J4661" s="18"/>
    </row>
    <row r="4662" spans="9:10" x14ac:dyDescent="0.25">
      <c r="I4662" s="17"/>
      <c r="J4662" s="18"/>
    </row>
    <row r="4663" spans="9:10" x14ac:dyDescent="0.25">
      <c r="I4663" s="17"/>
      <c r="J4663" s="18"/>
    </row>
    <row r="4664" spans="9:10" x14ac:dyDescent="0.25">
      <c r="I4664" s="17"/>
      <c r="J4664" s="18"/>
    </row>
    <row r="4665" spans="9:10" x14ac:dyDescent="0.25">
      <c r="I4665" s="17"/>
      <c r="J4665" s="18"/>
    </row>
    <row r="4666" spans="9:10" x14ac:dyDescent="0.25">
      <c r="I4666" s="17"/>
      <c r="J4666" s="18"/>
    </row>
    <row r="4667" spans="9:10" x14ac:dyDescent="0.25">
      <c r="I4667" s="17"/>
      <c r="J4667" s="18"/>
    </row>
    <row r="4668" spans="9:10" x14ac:dyDescent="0.25">
      <c r="I4668" s="17"/>
      <c r="J4668" s="18"/>
    </row>
    <row r="4669" spans="9:10" x14ac:dyDescent="0.25">
      <c r="I4669" s="17"/>
      <c r="J4669" s="18"/>
    </row>
    <row r="4670" spans="9:10" x14ac:dyDescent="0.25">
      <c r="I4670" s="17"/>
      <c r="J4670" s="18"/>
    </row>
    <row r="4671" spans="9:10" x14ac:dyDescent="0.25">
      <c r="I4671" s="17"/>
      <c r="J4671" s="18"/>
    </row>
    <row r="4672" spans="9:10" x14ac:dyDescent="0.25">
      <c r="I4672" s="17"/>
      <c r="J4672" s="18"/>
    </row>
    <row r="4673" spans="9:10" x14ac:dyDescent="0.25">
      <c r="I4673" s="17"/>
      <c r="J4673" s="18"/>
    </row>
    <row r="4674" spans="9:10" x14ac:dyDescent="0.25">
      <c r="I4674" s="17"/>
      <c r="J4674" s="18"/>
    </row>
    <row r="4675" spans="9:10" x14ac:dyDescent="0.25">
      <c r="I4675" s="17"/>
      <c r="J4675" s="18"/>
    </row>
    <row r="4676" spans="9:10" x14ac:dyDescent="0.25">
      <c r="I4676" s="17"/>
      <c r="J4676" s="18"/>
    </row>
    <row r="4677" spans="9:10" x14ac:dyDescent="0.25">
      <c r="I4677" s="17"/>
      <c r="J4677" s="18"/>
    </row>
    <row r="4678" spans="9:10" x14ac:dyDescent="0.25">
      <c r="I4678" s="17"/>
      <c r="J4678" s="18"/>
    </row>
    <row r="4679" spans="9:10" x14ac:dyDescent="0.25">
      <c r="I4679" s="17"/>
      <c r="J4679" s="18"/>
    </row>
    <row r="4680" spans="9:10" x14ac:dyDescent="0.25">
      <c r="I4680" s="17"/>
      <c r="J4680" s="18"/>
    </row>
    <row r="4681" spans="9:10" x14ac:dyDescent="0.25">
      <c r="I4681" s="17"/>
      <c r="J4681" s="18"/>
    </row>
    <row r="4682" spans="9:10" x14ac:dyDescent="0.25">
      <c r="I4682" s="17"/>
      <c r="J4682" s="18"/>
    </row>
    <row r="4683" spans="9:10" x14ac:dyDescent="0.25">
      <c r="I4683" s="17"/>
      <c r="J4683" s="18"/>
    </row>
    <row r="4684" spans="9:10" x14ac:dyDescent="0.25">
      <c r="I4684" s="17"/>
      <c r="J4684" s="18"/>
    </row>
    <row r="4685" spans="9:10" x14ac:dyDescent="0.25">
      <c r="I4685" s="17"/>
      <c r="J4685" s="18"/>
    </row>
    <row r="4686" spans="9:10" x14ac:dyDescent="0.25">
      <c r="I4686" s="17"/>
      <c r="J4686" s="18"/>
    </row>
    <row r="4687" spans="9:10" x14ac:dyDescent="0.25">
      <c r="I4687" s="17"/>
      <c r="J4687" s="18"/>
    </row>
    <row r="4688" spans="9:10" x14ac:dyDescent="0.25">
      <c r="I4688" s="17"/>
      <c r="J4688" s="18"/>
    </row>
    <row r="4689" spans="9:10" x14ac:dyDescent="0.25">
      <c r="I4689" s="17"/>
      <c r="J4689" s="18"/>
    </row>
    <row r="4690" spans="9:10" x14ac:dyDescent="0.25">
      <c r="I4690" s="17"/>
      <c r="J4690" s="18"/>
    </row>
    <row r="4691" spans="9:10" x14ac:dyDescent="0.25">
      <c r="I4691" s="17"/>
      <c r="J4691" s="18"/>
    </row>
    <row r="4692" spans="9:10" x14ac:dyDescent="0.25">
      <c r="I4692" s="17"/>
      <c r="J4692" s="18"/>
    </row>
    <row r="4693" spans="9:10" x14ac:dyDescent="0.25">
      <c r="I4693" s="17"/>
      <c r="J4693" s="18"/>
    </row>
    <row r="4694" spans="9:10" x14ac:dyDescent="0.25">
      <c r="I4694" s="17"/>
      <c r="J4694" s="18"/>
    </row>
    <row r="4695" spans="9:10" x14ac:dyDescent="0.25">
      <c r="I4695" s="17"/>
      <c r="J4695" s="18"/>
    </row>
    <row r="4696" spans="9:10" x14ac:dyDescent="0.25">
      <c r="I4696" s="17"/>
      <c r="J4696" s="18"/>
    </row>
    <row r="4697" spans="9:10" x14ac:dyDescent="0.25">
      <c r="I4697" s="17"/>
      <c r="J4697" s="18"/>
    </row>
    <row r="4698" spans="9:10" x14ac:dyDescent="0.25">
      <c r="I4698" s="17"/>
      <c r="J4698" s="18"/>
    </row>
    <row r="4699" spans="9:10" x14ac:dyDescent="0.25">
      <c r="I4699" s="17"/>
      <c r="J4699" s="18"/>
    </row>
    <row r="4700" spans="9:10" x14ac:dyDescent="0.25">
      <c r="I4700" s="17"/>
      <c r="J4700" s="18"/>
    </row>
    <row r="4701" spans="9:10" x14ac:dyDescent="0.25">
      <c r="I4701" s="17"/>
      <c r="J4701" s="18"/>
    </row>
    <row r="4702" spans="9:10" x14ac:dyDescent="0.25">
      <c r="I4702" s="17"/>
      <c r="J4702" s="18"/>
    </row>
    <row r="4703" spans="9:10" x14ac:dyDescent="0.25">
      <c r="I4703" s="17"/>
      <c r="J4703" s="18"/>
    </row>
    <row r="4704" spans="9:10" x14ac:dyDescent="0.25">
      <c r="I4704" s="17"/>
      <c r="J4704" s="18"/>
    </row>
    <row r="4705" spans="9:10" x14ac:dyDescent="0.25">
      <c r="I4705" s="17"/>
      <c r="J4705" s="18"/>
    </row>
    <row r="4706" spans="9:10" x14ac:dyDescent="0.25">
      <c r="I4706" s="17"/>
      <c r="J4706" s="18"/>
    </row>
    <row r="4707" spans="9:10" x14ac:dyDescent="0.25">
      <c r="I4707" s="17"/>
      <c r="J4707" s="18"/>
    </row>
    <row r="4708" spans="9:10" x14ac:dyDescent="0.25">
      <c r="I4708" s="17"/>
      <c r="J4708" s="18"/>
    </row>
    <row r="4709" spans="9:10" x14ac:dyDescent="0.25">
      <c r="I4709" s="17"/>
      <c r="J4709" s="18"/>
    </row>
    <row r="4710" spans="9:10" x14ac:dyDescent="0.25">
      <c r="I4710" s="17"/>
      <c r="J4710" s="18"/>
    </row>
    <row r="4711" spans="9:10" x14ac:dyDescent="0.25">
      <c r="I4711" s="17"/>
      <c r="J4711" s="18"/>
    </row>
    <row r="4712" spans="9:10" x14ac:dyDescent="0.25">
      <c r="I4712" s="17"/>
      <c r="J4712" s="18"/>
    </row>
    <row r="4713" spans="9:10" x14ac:dyDescent="0.25">
      <c r="I4713" s="17"/>
      <c r="J4713" s="18"/>
    </row>
    <row r="4714" spans="9:10" x14ac:dyDescent="0.25">
      <c r="I4714" s="17"/>
      <c r="J4714" s="18"/>
    </row>
    <row r="4715" spans="9:10" x14ac:dyDescent="0.25">
      <c r="I4715" s="17"/>
      <c r="J4715" s="18"/>
    </row>
    <row r="4716" spans="9:10" x14ac:dyDescent="0.25">
      <c r="I4716" s="17"/>
      <c r="J4716" s="18"/>
    </row>
    <row r="4717" spans="9:10" x14ac:dyDescent="0.25">
      <c r="I4717" s="17"/>
      <c r="J4717" s="18"/>
    </row>
    <row r="4718" spans="9:10" x14ac:dyDescent="0.25">
      <c r="I4718" s="17"/>
      <c r="J4718" s="18"/>
    </row>
    <row r="4719" spans="9:10" x14ac:dyDescent="0.25">
      <c r="I4719" s="17"/>
      <c r="J4719" s="18"/>
    </row>
    <row r="4720" spans="9:10" x14ac:dyDescent="0.25">
      <c r="I4720" s="17"/>
      <c r="J4720" s="18"/>
    </row>
    <row r="4721" spans="9:10" x14ac:dyDescent="0.25">
      <c r="I4721" s="17"/>
      <c r="J4721" s="18"/>
    </row>
    <row r="4722" spans="9:10" x14ac:dyDescent="0.25">
      <c r="I4722" s="17"/>
      <c r="J4722" s="18"/>
    </row>
    <row r="4723" spans="9:10" x14ac:dyDescent="0.25">
      <c r="I4723" s="17"/>
      <c r="J4723" s="18"/>
    </row>
    <row r="4724" spans="9:10" x14ac:dyDescent="0.25">
      <c r="I4724" s="17"/>
      <c r="J4724" s="18"/>
    </row>
    <row r="4725" spans="9:10" x14ac:dyDescent="0.25">
      <c r="I4725" s="17"/>
      <c r="J4725" s="18"/>
    </row>
    <row r="4726" spans="9:10" x14ac:dyDescent="0.25">
      <c r="I4726" s="17"/>
      <c r="J4726" s="18"/>
    </row>
    <row r="4727" spans="9:10" x14ac:dyDescent="0.25">
      <c r="I4727" s="17"/>
      <c r="J4727" s="18"/>
    </row>
    <row r="4728" spans="9:10" x14ac:dyDescent="0.25">
      <c r="I4728" s="17"/>
      <c r="J4728" s="18"/>
    </row>
    <row r="4729" spans="9:10" x14ac:dyDescent="0.25">
      <c r="I4729" s="17"/>
      <c r="J4729" s="18"/>
    </row>
    <row r="4730" spans="9:10" x14ac:dyDescent="0.25">
      <c r="I4730" s="17"/>
      <c r="J4730" s="18"/>
    </row>
    <row r="4731" spans="9:10" x14ac:dyDescent="0.25">
      <c r="I4731" s="17"/>
      <c r="J4731" s="18"/>
    </row>
    <row r="4732" spans="9:10" x14ac:dyDescent="0.25">
      <c r="I4732" s="17"/>
      <c r="J4732" s="18"/>
    </row>
    <row r="4733" spans="9:10" x14ac:dyDescent="0.25">
      <c r="I4733" s="17"/>
      <c r="J4733" s="18"/>
    </row>
    <row r="4734" spans="9:10" x14ac:dyDescent="0.25">
      <c r="I4734" s="17"/>
      <c r="J4734" s="18"/>
    </row>
    <row r="4735" spans="9:10" x14ac:dyDescent="0.25">
      <c r="I4735" s="17"/>
      <c r="J4735" s="18"/>
    </row>
    <row r="4736" spans="9:10" x14ac:dyDescent="0.25">
      <c r="I4736" s="17"/>
      <c r="J4736" s="18"/>
    </row>
    <row r="4737" spans="9:10" x14ac:dyDescent="0.25">
      <c r="I4737" s="17"/>
      <c r="J4737" s="18"/>
    </row>
    <row r="4738" spans="9:10" x14ac:dyDescent="0.25">
      <c r="I4738" s="17"/>
      <c r="J4738" s="18"/>
    </row>
    <row r="4739" spans="9:10" x14ac:dyDescent="0.25">
      <c r="I4739" s="17"/>
      <c r="J4739" s="18"/>
    </row>
    <row r="4740" spans="9:10" x14ac:dyDescent="0.25">
      <c r="I4740" s="17"/>
      <c r="J4740" s="18"/>
    </row>
    <row r="4741" spans="9:10" x14ac:dyDescent="0.25">
      <c r="I4741" s="17"/>
      <c r="J4741" s="18"/>
    </row>
    <row r="4742" spans="9:10" x14ac:dyDescent="0.25">
      <c r="I4742" s="17"/>
      <c r="J4742" s="18"/>
    </row>
    <row r="4743" spans="9:10" x14ac:dyDescent="0.25">
      <c r="I4743" s="17"/>
      <c r="J4743" s="18"/>
    </row>
    <row r="4744" spans="9:10" x14ac:dyDescent="0.25">
      <c r="I4744" s="17"/>
      <c r="J4744" s="18"/>
    </row>
    <row r="4745" spans="9:10" x14ac:dyDescent="0.25">
      <c r="I4745" s="17"/>
      <c r="J4745" s="18"/>
    </row>
    <row r="4746" spans="9:10" x14ac:dyDescent="0.25">
      <c r="I4746" s="17"/>
      <c r="J4746" s="18"/>
    </row>
    <row r="4747" spans="9:10" x14ac:dyDescent="0.25">
      <c r="I4747" s="17"/>
      <c r="J4747" s="18"/>
    </row>
    <row r="4748" spans="9:10" x14ac:dyDescent="0.25">
      <c r="I4748" s="17"/>
      <c r="J4748" s="18"/>
    </row>
    <row r="4749" spans="9:10" x14ac:dyDescent="0.25">
      <c r="I4749" s="17"/>
      <c r="J4749" s="18"/>
    </row>
    <row r="4750" spans="9:10" x14ac:dyDescent="0.25">
      <c r="I4750" s="17"/>
      <c r="J4750" s="18"/>
    </row>
    <row r="4751" spans="9:10" x14ac:dyDescent="0.25">
      <c r="I4751" s="17"/>
      <c r="J4751" s="18"/>
    </row>
    <row r="4752" spans="9:10" x14ac:dyDescent="0.25">
      <c r="I4752" s="17"/>
      <c r="J4752" s="18"/>
    </row>
    <row r="4753" spans="9:10" x14ac:dyDescent="0.25">
      <c r="I4753" s="17"/>
      <c r="J4753" s="18"/>
    </row>
    <row r="4754" spans="9:10" x14ac:dyDescent="0.25">
      <c r="I4754" s="17"/>
      <c r="J4754" s="18"/>
    </row>
    <row r="4755" spans="9:10" x14ac:dyDescent="0.25">
      <c r="I4755" s="17"/>
      <c r="J4755" s="18"/>
    </row>
    <row r="4756" spans="9:10" x14ac:dyDescent="0.25">
      <c r="I4756" s="17"/>
      <c r="J4756" s="18"/>
    </row>
    <row r="4757" spans="9:10" x14ac:dyDescent="0.25">
      <c r="I4757" s="17"/>
      <c r="J4757" s="18"/>
    </row>
    <row r="4758" spans="9:10" x14ac:dyDescent="0.25">
      <c r="I4758" s="17"/>
      <c r="J4758" s="18"/>
    </row>
    <row r="4759" spans="9:10" x14ac:dyDescent="0.25">
      <c r="I4759" s="17"/>
      <c r="J4759" s="18"/>
    </row>
    <row r="4760" spans="9:10" x14ac:dyDescent="0.25">
      <c r="I4760" s="17"/>
      <c r="J4760" s="18"/>
    </row>
    <row r="4761" spans="9:10" x14ac:dyDescent="0.25">
      <c r="I4761" s="17"/>
      <c r="J4761" s="18"/>
    </row>
    <row r="4762" spans="9:10" x14ac:dyDescent="0.25">
      <c r="I4762" s="17"/>
      <c r="J4762" s="18"/>
    </row>
    <row r="4763" spans="9:10" x14ac:dyDescent="0.25">
      <c r="I4763" s="17"/>
      <c r="J4763" s="18"/>
    </row>
    <row r="4764" spans="9:10" x14ac:dyDescent="0.25">
      <c r="I4764" s="17"/>
      <c r="J4764" s="18"/>
    </row>
    <row r="4765" spans="9:10" x14ac:dyDescent="0.25">
      <c r="I4765" s="17"/>
      <c r="J4765" s="18"/>
    </row>
    <row r="4766" spans="9:10" x14ac:dyDescent="0.25">
      <c r="I4766" s="17"/>
      <c r="J4766" s="18"/>
    </row>
    <row r="4767" spans="9:10" x14ac:dyDescent="0.25">
      <c r="I4767" s="17"/>
      <c r="J4767" s="18"/>
    </row>
    <row r="4768" spans="9:10" x14ac:dyDescent="0.25">
      <c r="I4768" s="17"/>
      <c r="J4768" s="18"/>
    </row>
    <row r="4769" spans="9:10" x14ac:dyDescent="0.25">
      <c r="I4769" s="17"/>
      <c r="J4769" s="18"/>
    </row>
    <row r="4770" spans="9:10" x14ac:dyDescent="0.25">
      <c r="I4770" s="17"/>
      <c r="J4770" s="18"/>
    </row>
    <row r="4771" spans="9:10" x14ac:dyDescent="0.25">
      <c r="I4771" s="17"/>
      <c r="J4771" s="18"/>
    </row>
    <row r="4772" spans="9:10" x14ac:dyDescent="0.25">
      <c r="I4772" s="17"/>
      <c r="J4772" s="18"/>
    </row>
    <row r="4773" spans="9:10" x14ac:dyDescent="0.25">
      <c r="I4773" s="17"/>
      <c r="J4773" s="18"/>
    </row>
    <row r="4774" spans="9:10" x14ac:dyDescent="0.25">
      <c r="I4774" s="17"/>
      <c r="J4774" s="18"/>
    </row>
    <row r="4775" spans="9:10" x14ac:dyDescent="0.25">
      <c r="I4775" s="17"/>
      <c r="J4775" s="18"/>
    </row>
    <row r="4776" spans="9:10" x14ac:dyDescent="0.25">
      <c r="I4776" s="17"/>
      <c r="J4776" s="18"/>
    </row>
    <row r="4777" spans="9:10" x14ac:dyDescent="0.25">
      <c r="I4777" s="17"/>
      <c r="J4777" s="18"/>
    </row>
    <row r="4778" spans="9:10" x14ac:dyDescent="0.25">
      <c r="I4778" s="17"/>
      <c r="J4778" s="18"/>
    </row>
    <row r="4779" spans="9:10" x14ac:dyDescent="0.25">
      <c r="I4779" s="17"/>
      <c r="J4779" s="18"/>
    </row>
    <row r="4780" spans="9:10" x14ac:dyDescent="0.25">
      <c r="I4780" s="17"/>
      <c r="J4780" s="18"/>
    </row>
    <row r="4781" spans="9:10" x14ac:dyDescent="0.25">
      <c r="I4781" s="17"/>
      <c r="J4781" s="18"/>
    </row>
    <row r="4782" spans="9:10" x14ac:dyDescent="0.25">
      <c r="I4782" s="17"/>
      <c r="J4782" s="18"/>
    </row>
    <row r="4783" spans="9:10" x14ac:dyDescent="0.25">
      <c r="I4783" s="17"/>
      <c r="J4783" s="18"/>
    </row>
    <row r="4784" spans="9:10" x14ac:dyDescent="0.25">
      <c r="I4784" s="17"/>
      <c r="J4784" s="18"/>
    </row>
    <row r="4785" spans="9:10" x14ac:dyDescent="0.25">
      <c r="I4785" s="17"/>
      <c r="J4785" s="18"/>
    </row>
    <row r="4786" spans="9:10" x14ac:dyDescent="0.25">
      <c r="I4786" s="17"/>
      <c r="J4786" s="18"/>
    </row>
    <row r="4787" spans="9:10" x14ac:dyDescent="0.25">
      <c r="I4787" s="17"/>
      <c r="J4787" s="18"/>
    </row>
    <row r="4788" spans="9:10" x14ac:dyDescent="0.25">
      <c r="I4788" s="17"/>
      <c r="J4788" s="18"/>
    </row>
    <row r="4789" spans="9:10" x14ac:dyDescent="0.25">
      <c r="I4789" s="17"/>
      <c r="J4789" s="18"/>
    </row>
    <row r="4790" spans="9:10" x14ac:dyDescent="0.25">
      <c r="I4790" s="17"/>
      <c r="J4790" s="18"/>
    </row>
    <row r="4791" spans="9:10" x14ac:dyDescent="0.25">
      <c r="I4791" s="17"/>
      <c r="J4791" s="18"/>
    </row>
    <row r="4792" spans="9:10" x14ac:dyDescent="0.25">
      <c r="I4792" s="17"/>
      <c r="J4792" s="18"/>
    </row>
    <row r="4793" spans="9:10" x14ac:dyDescent="0.25">
      <c r="I4793" s="17"/>
      <c r="J4793" s="18"/>
    </row>
    <row r="4794" spans="9:10" x14ac:dyDescent="0.25">
      <c r="I4794" s="17"/>
      <c r="J4794" s="18"/>
    </row>
    <row r="4795" spans="9:10" x14ac:dyDescent="0.25">
      <c r="I4795" s="17"/>
      <c r="J4795" s="18"/>
    </row>
    <row r="4796" spans="9:10" x14ac:dyDescent="0.25">
      <c r="I4796" s="17"/>
      <c r="J4796" s="18"/>
    </row>
    <row r="4797" spans="9:10" x14ac:dyDescent="0.25">
      <c r="I4797" s="17"/>
      <c r="J4797" s="18"/>
    </row>
    <row r="4798" spans="9:10" x14ac:dyDescent="0.25">
      <c r="I4798" s="17"/>
      <c r="J4798" s="18"/>
    </row>
    <row r="4799" spans="9:10" x14ac:dyDescent="0.25">
      <c r="I4799" s="17"/>
      <c r="J4799" s="18"/>
    </row>
    <row r="4800" spans="9:10" x14ac:dyDescent="0.25">
      <c r="I4800" s="17"/>
      <c r="J4800" s="18"/>
    </row>
    <row r="4801" spans="9:10" x14ac:dyDescent="0.25">
      <c r="I4801" s="17"/>
      <c r="J4801" s="18"/>
    </row>
    <row r="4802" spans="9:10" x14ac:dyDescent="0.25">
      <c r="I4802" s="17"/>
      <c r="J4802" s="18"/>
    </row>
    <row r="4803" spans="9:10" x14ac:dyDescent="0.25">
      <c r="I4803" s="17"/>
      <c r="J4803" s="18"/>
    </row>
    <row r="4804" spans="9:10" x14ac:dyDescent="0.25">
      <c r="I4804" s="17"/>
      <c r="J4804" s="18"/>
    </row>
    <row r="4805" spans="9:10" x14ac:dyDescent="0.25">
      <c r="I4805" s="17"/>
      <c r="J4805" s="18"/>
    </row>
    <row r="4806" spans="9:10" x14ac:dyDescent="0.25">
      <c r="I4806" s="17"/>
      <c r="J4806" s="18"/>
    </row>
    <row r="4807" spans="9:10" x14ac:dyDescent="0.25">
      <c r="I4807" s="17"/>
      <c r="J4807" s="18"/>
    </row>
    <row r="4808" spans="9:10" x14ac:dyDescent="0.25">
      <c r="I4808" s="17"/>
      <c r="J4808" s="18"/>
    </row>
    <row r="4809" spans="9:10" x14ac:dyDescent="0.25">
      <c r="I4809" s="17"/>
      <c r="J4809" s="18"/>
    </row>
    <row r="4810" spans="9:10" x14ac:dyDescent="0.25">
      <c r="I4810" s="17"/>
      <c r="J4810" s="18"/>
    </row>
    <row r="4811" spans="9:10" x14ac:dyDescent="0.25">
      <c r="I4811" s="17"/>
      <c r="J4811" s="18"/>
    </row>
    <row r="4812" spans="9:10" x14ac:dyDescent="0.25">
      <c r="I4812" s="17"/>
      <c r="J4812" s="18"/>
    </row>
    <row r="4813" spans="9:10" x14ac:dyDescent="0.25">
      <c r="I4813" s="17"/>
      <c r="J4813" s="18"/>
    </row>
    <row r="4814" spans="9:10" x14ac:dyDescent="0.25">
      <c r="I4814" s="17"/>
      <c r="J4814" s="18"/>
    </row>
    <row r="4815" spans="9:10" x14ac:dyDescent="0.25">
      <c r="I4815" s="17"/>
      <c r="J4815" s="18"/>
    </row>
    <row r="4816" spans="9:10" x14ac:dyDescent="0.25">
      <c r="I4816" s="17"/>
      <c r="J4816" s="18"/>
    </row>
    <row r="4817" spans="9:10" x14ac:dyDescent="0.25">
      <c r="I4817" s="17"/>
      <c r="J4817" s="18"/>
    </row>
    <row r="4818" spans="9:10" x14ac:dyDescent="0.25">
      <c r="I4818" s="17"/>
      <c r="J4818" s="18"/>
    </row>
    <row r="4819" spans="9:10" x14ac:dyDescent="0.25">
      <c r="I4819" s="17"/>
      <c r="J4819" s="18"/>
    </row>
    <row r="4820" spans="9:10" x14ac:dyDescent="0.25">
      <c r="I4820" s="17"/>
      <c r="J4820" s="18"/>
    </row>
    <row r="4821" spans="9:10" x14ac:dyDescent="0.25">
      <c r="I4821" s="17"/>
      <c r="J4821" s="18"/>
    </row>
    <row r="4822" spans="9:10" x14ac:dyDescent="0.25">
      <c r="I4822" s="17"/>
      <c r="J4822" s="18"/>
    </row>
    <row r="4823" spans="9:10" x14ac:dyDescent="0.25">
      <c r="I4823" s="17"/>
      <c r="J4823" s="18"/>
    </row>
    <row r="4824" spans="9:10" x14ac:dyDescent="0.25">
      <c r="I4824" s="17"/>
      <c r="J4824" s="18"/>
    </row>
    <row r="4825" spans="9:10" x14ac:dyDescent="0.25">
      <c r="I4825" s="17"/>
      <c r="J4825" s="18"/>
    </row>
    <row r="4826" spans="9:10" x14ac:dyDescent="0.25">
      <c r="I4826" s="17"/>
      <c r="J4826" s="18"/>
    </row>
    <row r="4827" spans="9:10" x14ac:dyDescent="0.25">
      <c r="I4827" s="17"/>
      <c r="J4827" s="18"/>
    </row>
    <row r="4828" spans="9:10" x14ac:dyDescent="0.25">
      <c r="I4828" s="17"/>
      <c r="J4828" s="18"/>
    </row>
    <row r="4829" spans="9:10" x14ac:dyDescent="0.25">
      <c r="I4829" s="17"/>
      <c r="J4829" s="18"/>
    </row>
    <row r="4830" spans="9:10" x14ac:dyDescent="0.25">
      <c r="I4830" s="17"/>
      <c r="J4830" s="18"/>
    </row>
    <row r="4831" spans="9:10" x14ac:dyDescent="0.25">
      <c r="I4831" s="17"/>
      <c r="J4831" s="18"/>
    </row>
    <row r="4832" spans="9:10" x14ac:dyDescent="0.25">
      <c r="I4832" s="17"/>
      <c r="J4832" s="18"/>
    </row>
    <row r="4833" spans="9:10" x14ac:dyDescent="0.25">
      <c r="I4833" s="17"/>
      <c r="J4833" s="18"/>
    </row>
    <row r="4834" spans="9:10" x14ac:dyDescent="0.25">
      <c r="I4834" s="17"/>
      <c r="J4834" s="18"/>
    </row>
    <row r="4835" spans="9:10" x14ac:dyDescent="0.25">
      <c r="I4835" s="17"/>
      <c r="J4835" s="18"/>
    </row>
    <row r="4836" spans="9:10" x14ac:dyDescent="0.25">
      <c r="I4836" s="17"/>
      <c r="J4836" s="18"/>
    </row>
    <row r="4837" spans="9:10" x14ac:dyDescent="0.25">
      <c r="I4837" s="17"/>
      <c r="J4837" s="18"/>
    </row>
    <row r="4838" spans="9:10" x14ac:dyDescent="0.25">
      <c r="I4838" s="17"/>
      <c r="J4838" s="18"/>
    </row>
    <row r="4839" spans="9:10" x14ac:dyDescent="0.25">
      <c r="I4839" s="17"/>
      <c r="J4839" s="18"/>
    </row>
    <row r="4840" spans="9:10" x14ac:dyDescent="0.25">
      <c r="I4840" s="17"/>
      <c r="J4840" s="18"/>
    </row>
    <row r="4841" spans="9:10" x14ac:dyDescent="0.25">
      <c r="I4841" s="17"/>
      <c r="J4841" s="18"/>
    </row>
    <row r="4842" spans="9:10" x14ac:dyDescent="0.25">
      <c r="I4842" s="17"/>
      <c r="J4842" s="18"/>
    </row>
    <row r="4843" spans="9:10" x14ac:dyDescent="0.25">
      <c r="I4843" s="17"/>
      <c r="J4843" s="18"/>
    </row>
    <row r="4844" spans="9:10" x14ac:dyDescent="0.25">
      <c r="I4844" s="17"/>
      <c r="J4844" s="18"/>
    </row>
    <row r="4845" spans="9:10" x14ac:dyDescent="0.25">
      <c r="I4845" s="17"/>
      <c r="J4845" s="18"/>
    </row>
    <row r="4846" spans="9:10" x14ac:dyDescent="0.25">
      <c r="I4846" s="17"/>
      <c r="J4846" s="18"/>
    </row>
    <row r="4847" spans="9:10" x14ac:dyDescent="0.25">
      <c r="I4847" s="17"/>
      <c r="J4847" s="18"/>
    </row>
    <row r="4848" spans="9:10" x14ac:dyDescent="0.25">
      <c r="I4848" s="17"/>
      <c r="J4848" s="18"/>
    </row>
    <row r="4849" spans="9:10" x14ac:dyDescent="0.25">
      <c r="I4849" s="17"/>
      <c r="J4849" s="18"/>
    </row>
    <row r="4850" spans="9:10" x14ac:dyDescent="0.25">
      <c r="I4850" s="17"/>
      <c r="J4850" s="18"/>
    </row>
    <row r="4851" spans="9:10" x14ac:dyDescent="0.25">
      <c r="I4851" s="17"/>
      <c r="J4851" s="18"/>
    </row>
    <row r="4852" spans="9:10" x14ac:dyDescent="0.25">
      <c r="I4852" s="17"/>
      <c r="J4852" s="18"/>
    </row>
    <row r="4853" spans="9:10" x14ac:dyDescent="0.25">
      <c r="I4853" s="17"/>
      <c r="J4853" s="18"/>
    </row>
    <row r="4854" spans="9:10" x14ac:dyDescent="0.25">
      <c r="I4854" s="17"/>
      <c r="J4854" s="18"/>
    </row>
    <row r="4855" spans="9:10" x14ac:dyDescent="0.25">
      <c r="I4855" s="17"/>
      <c r="J4855" s="18"/>
    </row>
    <row r="4856" spans="9:10" x14ac:dyDescent="0.25">
      <c r="I4856" s="17"/>
      <c r="J4856" s="18"/>
    </row>
    <row r="4857" spans="9:10" x14ac:dyDescent="0.25">
      <c r="I4857" s="17"/>
      <c r="J4857" s="18"/>
    </row>
    <row r="4858" spans="9:10" x14ac:dyDescent="0.25">
      <c r="I4858" s="17"/>
      <c r="J4858" s="18"/>
    </row>
    <row r="4859" spans="9:10" x14ac:dyDescent="0.25">
      <c r="I4859" s="17"/>
      <c r="J4859" s="18"/>
    </row>
    <row r="4860" spans="9:10" x14ac:dyDescent="0.25">
      <c r="I4860" s="17"/>
      <c r="J4860" s="18"/>
    </row>
    <row r="4861" spans="9:10" x14ac:dyDescent="0.25">
      <c r="I4861" s="17"/>
      <c r="J4861" s="18"/>
    </row>
    <row r="4862" spans="9:10" x14ac:dyDescent="0.25">
      <c r="I4862" s="17"/>
      <c r="J4862" s="18"/>
    </row>
    <row r="4863" spans="9:10" x14ac:dyDescent="0.25">
      <c r="I4863" s="17"/>
      <c r="J4863" s="18"/>
    </row>
    <row r="4864" spans="9:10" x14ac:dyDescent="0.25">
      <c r="I4864" s="17"/>
      <c r="J4864" s="18"/>
    </row>
    <row r="4865" spans="9:10" x14ac:dyDescent="0.25">
      <c r="I4865" s="17"/>
      <c r="J4865" s="18"/>
    </row>
    <row r="4866" spans="9:10" x14ac:dyDescent="0.25">
      <c r="I4866" s="17"/>
      <c r="J4866" s="18"/>
    </row>
    <row r="4867" spans="9:10" x14ac:dyDescent="0.25">
      <c r="I4867" s="17"/>
      <c r="J4867" s="18"/>
    </row>
    <row r="4868" spans="9:10" x14ac:dyDescent="0.25">
      <c r="I4868" s="17"/>
      <c r="J4868" s="18"/>
    </row>
    <row r="4869" spans="9:10" x14ac:dyDescent="0.25">
      <c r="I4869" s="17"/>
      <c r="J4869" s="18"/>
    </row>
    <row r="4870" spans="9:10" x14ac:dyDescent="0.25">
      <c r="I4870" s="17"/>
      <c r="J4870" s="18"/>
    </row>
    <row r="4871" spans="9:10" x14ac:dyDescent="0.25">
      <c r="I4871" s="17"/>
      <c r="J4871" s="18"/>
    </row>
    <row r="4872" spans="9:10" x14ac:dyDescent="0.25">
      <c r="I4872" s="17"/>
      <c r="J4872" s="18"/>
    </row>
    <row r="4873" spans="9:10" x14ac:dyDescent="0.25">
      <c r="I4873" s="17"/>
      <c r="J4873" s="18"/>
    </row>
    <row r="4874" spans="9:10" x14ac:dyDescent="0.25">
      <c r="I4874" s="17"/>
      <c r="J4874" s="18"/>
    </row>
    <row r="4875" spans="9:10" x14ac:dyDescent="0.25">
      <c r="I4875" s="17"/>
      <c r="J4875" s="18"/>
    </row>
    <row r="4876" spans="9:10" x14ac:dyDescent="0.25">
      <c r="I4876" s="17"/>
      <c r="J4876" s="18"/>
    </row>
    <row r="4877" spans="9:10" x14ac:dyDescent="0.25">
      <c r="I4877" s="17"/>
      <c r="J4877" s="18"/>
    </row>
    <row r="4878" spans="9:10" x14ac:dyDescent="0.25">
      <c r="I4878" s="17"/>
      <c r="J4878" s="18"/>
    </row>
    <row r="4879" spans="9:10" x14ac:dyDescent="0.25">
      <c r="I4879" s="17"/>
      <c r="J4879" s="18"/>
    </row>
    <row r="4880" spans="9:10" x14ac:dyDescent="0.25">
      <c r="I4880" s="17"/>
      <c r="J4880" s="18"/>
    </row>
    <row r="4881" spans="9:10" x14ac:dyDescent="0.25">
      <c r="I4881" s="17"/>
      <c r="J4881" s="18"/>
    </row>
    <row r="4882" spans="9:10" x14ac:dyDescent="0.25">
      <c r="I4882" s="17"/>
      <c r="J4882" s="18"/>
    </row>
    <row r="4883" spans="9:10" x14ac:dyDescent="0.25">
      <c r="I4883" s="17"/>
      <c r="J4883" s="18"/>
    </row>
    <row r="4884" spans="9:10" x14ac:dyDescent="0.25">
      <c r="I4884" s="17"/>
      <c r="J4884" s="18"/>
    </row>
    <row r="4885" spans="9:10" x14ac:dyDescent="0.25">
      <c r="I4885" s="17"/>
      <c r="J4885" s="18"/>
    </row>
    <row r="4886" spans="9:10" x14ac:dyDescent="0.25">
      <c r="I4886" s="17"/>
      <c r="J4886" s="18"/>
    </row>
    <row r="4887" spans="9:10" x14ac:dyDescent="0.25">
      <c r="I4887" s="17"/>
      <c r="J4887" s="18"/>
    </row>
    <row r="4888" spans="9:10" x14ac:dyDescent="0.25">
      <c r="I4888" s="17"/>
      <c r="J4888" s="18"/>
    </row>
    <row r="4889" spans="9:10" x14ac:dyDescent="0.25">
      <c r="I4889" s="17"/>
      <c r="J4889" s="18"/>
    </row>
    <row r="4890" spans="9:10" x14ac:dyDescent="0.25">
      <c r="I4890" s="17"/>
      <c r="J4890" s="18"/>
    </row>
    <row r="4891" spans="9:10" x14ac:dyDescent="0.25">
      <c r="I4891" s="17"/>
      <c r="J4891" s="18"/>
    </row>
    <row r="4892" spans="9:10" x14ac:dyDescent="0.25">
      <c r="I4892" s="17"/>
      <c r="J4892" s="18"/>
    </row>
    <row r="4893" spans="9:10" x14ac:dyDescent="0.25">
      <c r="I4893" s="17"/>
      <c r="J4893" s="18"/>
    </row>
    <row r="4894" spans="9:10" x14ac:dyDescent="0.25">
      <c r="I4894" s="17"/>
      <c r="J4894" s="18"/>
    </row>
    <row r="4895" spans="9:10" x14ac:dyDescent="0.25">
      <c r="I4895" s="17"/>
      <c r="J4895" s="18"/>
    </row>
    <row r="4896" spans="9:10" x14ac:dyDescent="0.25">
      <c r="I4896" s="17"/>
      <c r="J4896" s="18"/>
    </row>
    <row r="4897" spans="9:10" x14ac:dyDescent="0.25">
      <c r="I4897" s="17"/>
      <c r="J4897" s="18"/>
    </row>
    <row r="4898" spans="9:10" x14ac:dyDescent="0.25">
      <c r="I4898" s="17"/>
      <c r="J4898" s="18"/>
    </row>
    <row r="4899" spans="9:10" x14ac:dyDescent="0.25">
      <c r="I4899" s="17"/>
      <c r="J4899" s="18"/>
    </row>
    <row r="4900" spans="9:10" x14ac:dyDescent="0.25">
      <c r="I4900" s="17"/>
      <c r="J4900" s="18"/>
    </row>
    <row r="4901" spans="9:10" x14ac:dyDescent="0.25">
      <c r="I4901" s="17"/>
      <c r="J4901" s="18"/>
    </row>
    <row r="4902" spans="9:10" x14ac:dyDescent="0.25">
      <c r="I4902" s="17"/>
      <c r="J4902" s="18"/>
    </row>
    <row r="4903" spans="9:10" x14ac:dyDescent="0.25">
      <c r="I4903" s="17"/>
      <c r="J4903" s="18"/>
    </row>
    <row r="4904" spans="9:10" x14ac:dyDescent="0.25">
      <c r="I4904" s="17"/>
      <c r="J4904" s="18"/>
    </row>
    <row r="4905" spans="9:10" x14ac:dyDescent="0.25">
      <c r="I4905" s="17"/>
      <c r="J4905" s="18"/>
    </row>
    <row r="4906" spans="9:10" x14ac:dyDescent="0.25">
      <c r="I4906" s="17"/>
      <c r="J4906" s="18"/>
    </row>
    <row r="4907" spans="9:10" x14ac:dyDescent="0.25">
      <c r="I4907" s="17"/>
      <c r="J4907" s="18"/>
    </row>
    <row r="4908" spans="9:10" x14ac:dyDescent="0.25">
      <c r="I4908" s="17"/>
      <c r="J4908" s="18"/>
    </row>
    <row r="4909" spans="9:10" x14ac:dyDescent="0.25">
      <c r="I4909" s="17"/>
      <c r="J4909" s="18"/>
    </row>
    <row r="4910" spans="9:10" x14ac:dyDescent="0.25">
      <c r="I4910" s="17"/>
      <c r="J4910" s="18"/>
    </row>
    <row r="4911" spans="9:10" x14ac:dyDescent="0.25">
      <c r="I4911" s="17"/>
      <c r="J4911" s="18"/>
    </row>
    <row r="4912" spans="9:10" x14ac:dyDescent="0.25">
      <c r="I4912" s="17"/>
      <c r="J4912" s="18"/>
    </row>
    <row r="4913" spans="9:10" x14ac:dyDescent="0.25">
      <c r="I4913" s="17"/>
      <c r="J4913" s="18"/>
    </row>
    <row r="4914" spans="9:10" x14ac:dyDescent="0.25">
      <c r="I4914" s="17"/>
      <c r="J4914" s="18"/>
    </row>
    <row r="4915" spans="9:10" x14ac:dyDescent="0.25">
      <c r="I4915" s="17"/>
      <c r="J4915" s="18"/>
    </row>
    <row r="4916" spans="9:10" x14ac:dyDescent="0.25">
      <c r="I4916" s="17"/>
      <c r="J4916" s="18"/>
    </row>
    <row r="4917" spans="9:10" x14ac:dyDescent="0.25">
      <c r="I4917" s="17"/>
      <c r="J4917" s="18"/>
    </row>
    <row r="4918" spans="9:10" x14ac:dyDescent="0.25">
      <c r="I4918" s="17"/>
      <c r="J4918" s="18"/>
    </row>
    <row r="4919" spans="9:10" x14ac:dyDescent="0.25">
      <c r="I4919" s="17"/>
      <c r="J4919" s="18"/>
    </row>
    <row r="4920" spans="9:10" x14ac:dyDescent="0.25">
      <c r="I4920" s="17"/>
      <c r="J4920" s="18"/>
    </row>
    <row r="4921" spans="9:10" x14ac:dyDescent="0.25">
      <c r="I4921" s="17"/>
      <c r="J4921" s="18"/>
    </row>
    <row r="4922" spans="9:10" x14ac:dyDescent="0.25">
      <c r="I4922" s="17"/>
      <c r="J4922" s="18"/>
    </row>
    <row r="4923" spans="9:10" x14ac:dyDescent="0.25">
      <c r="I4923" s="17"/>
      <c r="J4923" s="18"/>
    </row>
    <row r="4924" spans="9:10" x14ac:dyDescent="0.25">
      <c r="I4924" s="17"/>
      <c r="J4924" s="18"/>
    </row>
    <row r="4925" spans="9:10" x14ac:dyDescent="0.25">
      <c r="I4925" s="17"/>
      <c r="J4925" s="18"/>
    </row>
    <row r="4926" spans="9:10" x14ac:dyDescent="0.25">
      <c r="I4926" s="17"/>
      <c r="J4926" s="18"/>
    </row>
    <row r="4927" spans="9:10" x14ac:dyDescent="0.25">
      <c r="I4927" s="17"/>
      <c r="J4927" s="18"/>
    </row>
    <row r="4928" spans="9:10" x14ac:dyDescent="0.25">
      <c r="I4928" s="17"/>
      <c r="J4928" s="18"/>
    </row>
    <row r="4929" spans="9:10" x14ac:dyDescent="0.25">
      <c r="I4929" s="17"/>
      <c r="J4929" s="18"/>
    </row>
    <row r="4930" spans="9:10" x14ac:dyDescent="0.25">
      <c r="I4930" s="17"/>
      <c r="J4930" s="18"/>
    </row>
    <row r="4931" spans="9:10" x14ac:dyDescent="0.25">
      <c r="I4931" s="17"/>
      <c r="J4931" s="18"/>
    </row>
    <row r="4932" spans="9:10" x14ac:dyDescent="0.25">
      <c r="I4932" s="17"/>
      <c r="J4932" s="18"/>
    </row>
    <row r="4933" spans="9:10" x14ac:dyDescent="0.25">
      <c r="I4933" s="17"/>
      <c r="J4933" s="18"/>
    </row>
    <row r="4934" spans="9:10" x14ac:dyDescent="0.25">
      <c r="I4934" s="17"/>
      <c r="J4934" s="18"/>
    </row>
    <row r="4935" spans="9:10" x14ac:dyDescent="0.25">
      <c r="I4935" s="17"/>
      <c r="J4935" s="18"/>
    </row>
    <row r="4936" spans="9:10" x14ac:dyDescent="0.25">
      <c r="I4936" s="17"/>
      <c r="J4936" s="18"/>
    </row>
    <row r="4937" spans="9:10" x14ac:dyDescent="0.25">
      <c r="I4937" s="17"/>
      <c r="J4937" s="18"/>
    </row>
    <row r="4938" spans="9:10" x14ac:dyDescent="0.25">
      <c r="I4938" s="17"/>
      <c r="J4938" s="18"/>
    </row>
    <row r="4939" spans="9:10" x14ac:dyDescent="0.25">
      <c r="I4939" s="17"/>
      <c r="J4939" s="18"/>
    </row>
    <row r="4940" spans="9:10" x14ac:dyDescent="0.25">
      <c r="I4940" s="17"/>
      <c r="J4940" s="18"/>
    </row>
    <row r="4941" spans="9:10" x14ac:dyDescent="0.25">
      <c r="I4941" s="17"/>
      <c r="J4941" s="18"/>
    </row>
    <row r="4942" spans="9:10" x14ac:dyDescent="0.25">
      <c r="I4942" s="17"/>
      <c r="J4942" s="18"/>
    </row>
    <row r="4943" spans="9:10" x14ac:dyDescent="0.25">
      <c r="I4943" s="17"/>
      <c r="J4943" s="18"/>
    </row>
    <row r="4944" spans="9:10" x14ac:dyDescent="0.25">
      <c r="I4944" s="17"/>
      <c r="J4944" s="18"/>
    </row>
    <row r="4945" spans="9:10" x14ac:dyDescent="0.25">
      <c r="I4945" s="17"/>
      <c r="J4945" s="18"/>
    </row>
    <row r="4946" spans="9:10" x14ac:dyDescent="0.25">
      <c r="I4946" s="17"/>
      <c r="J4946" s="18"/>
    </row>
    <row r="4947" spans="9:10" x14ac:dyDescent="0.25">
      <c r="I4947" s="17"/>
      <c r="J4947" s="18"/>
    </row>
    <row r="4948" spans="9:10" x14ac:dyDescent="0.25">
      <c r="I4948" s="17"/>
      <c r="J4948" s="18"/>
    </row>
    <row r="4949" spans="9:10" x14ac:dyDescent="0.25">
      <c r="I4949" s="17"/>
      <c r="J4949" s="18"/>
    </row>
    <row r="4950" spans="9:10" x14ac:dyDescent="0.25">
      <c r="I4950" s="17"/>
      <c r="J4950" s="18"/>
    </row>
    <row r="4951" spans="9:10" x14ac:dyDescent="0.25">
      <c r="I4951" s="17"/>
      <c r="J4951" s="18"/>
    </row>
    <row r="4952" spans="9:10" x14ac:dyDescent="0.25">
      <c r="I4952" s="17"/>
      <c r="J4952" s="18"/>
    </row>
    <row r="4953" spans="9:10" x14ac:dyDescent="0.25">
      <c r="I4953" s="17"/>
      <c r="J4953" s="18"/>
    </row>
    <row r="4954" spans="9:10" x14ac:dyDescent="0.25">
      <c r="I4954" s="17"/>
      <c r="J4954" s="18"/>
    </row>
    <row r="4955" spans="9:10" x14ac:dyDescent="0.25">
      <c r="I4955" s="17"/>
      <c r="J4955" s="18"/>
    </row>
    <row r="4956" spans="9:10" x14ac:dyDescent="0.25">
      <c r="I4956" s="17"/>
      <c r="J4956" s="18"/>
    </row>
    <row r="4957" spans="9:10" x14ac:dyDescent="0.25">
      <c r="I4957" s="17"/>
      <c r="J4957" s="18"/>
    </row>
    <row r="4958" spans="9:10" x14ac:dyDescent="0.25">
      <c r="I4958" s="17"/>
      <c r="J4958" s="18"/>
    </row>
    <row r="4959" spans="9:10" x14ac:dyDescent="0.25">
      <c r="I4959" s="17"/>
      <c r="J4959" s="18"/>
    </row>
    <row r="4960" spans="9:10" x14ac:dyDescent="0.25">
      <c r="I4960" s="17"/>
      <c r="J4960" s="18"/>
    </row>
    <row r="4961" spans="9:10" x14ac:dyDescent="0.25">
      <c r="I4961" s="17"/>
      <c r="J4961" s="18"/>
    </row>
    <row r="4962" spans="9:10" x14ac:dyDescent="0.25">
      <c r="I4962" s="17"/>
      <c r="J4962" s="18"/>
    </row>
    <row r="4963" spans="9:10" x14ac:dyDescent="0.25">
      <c r="I4963" s="17"/>
      <c r="J4963" s="18"/>
    </row>
    <row r="4964" spans="9:10" x14ac:dyDescent="0.25">
      <c r="I4964" s="17"/>
      <c r="J4964" s="18"/>
    </row>
    <row r="4965" spans="9:10" x14ac:dyDescent="0.25">
      <c r="I4965" s="17"/>
      <c r="J4965" s="18"/>
    </row>
    <row r="4966" spans="9:10" x14ac:dyDescent="0.25">
      <c r="I4966" s="17"/>
      <c r="J4966" s="18"/>
    </row>
    <row r="4967" spans="9:10" x14ac:dyDescent="0.25">
      <c r="I4967" s="17"/>
      <c r="J4967" s="18"/>
    </row>
    <row r="4968" spans="9:10" x14ac:dyDescent="0.25">
      <c r="I4968" s="17"/>
      <c r="J4968" s="18"/>
    </row>
    <row r="4969" spans="9:10" x14ac:dyDescent="0.25">
      <c r="I4969" s="17"/>
      <c r="J4969" s="18"/>
    </row>
    <row r="4970" spans="9:10" x14ac:dyDescent="0.25">
      <c r="I4970" s="17"/>
      <c r="J4970" s="18"/>
    </row>
    <row r="4971" spans="9:10" x14ac:dyDescent="0.25">
      <c r="I4971" s="17"/>
      <c r="J4971" s="18"/>
    </row>
    <row r="4972" spans="9:10" x14ac:dyDescent="0.25">
      <c r="I4972" s="17"/>
      <c r="J4972" s="18"/>
    </row>
    <row r="4973" spans="9:10" x14ac:dyDescent="0.25">
      <c r="I4973" s="17"/>
      <c r="J4973" s="18"/>
    </row>
    <row r="4974" spans="9:10" x14ac:dyDescent="0.25">
      <c r="I4974" s="17"/>
      <c r="J4974" s="18"/>
    </row>
    <row r="4975" spans="9:10" x14ac:dyDescent="0.25">
      <c r="I4975" s="17"/>
      <c r="J4975" s="18"/>
    </row>
    <row r="4976" spans="9:10" x14ac:dyDescent="0.25">
      <c r="I4976" s="17"/>
      <c r="J4976" s="18"/>
    </row>
    <row r="4977" spans="9:10" x14ac:dyDescent="0.25">
      <c r="I4977" s="17"/>
      <c r="J4977" s="18"/>
    </row>
    <row r="4978" spans="9:10" x14ac:dyDescent="0.25">
      <c r="I4978" s="17"/>
      <c r="J4978" s="18"/>
    </row>
    <row r="4979" spans="9:10" x14ac:dyDescent="0.25">
      <c r="I4979" s="17"/>
      <c r="J4979" s="18"/>
    </row>
    <row r="4980" spans="9:10" x14ac:dyDescent="0.25">
      <c r="I4980" s="17"/>
      <c r="J4980" s="18"/>
    </row>
    <row r="4981" spans="9:10" x14ac:dyDescent="0.25">
      <c r="I4981" s="17"/>
      <c r="J4981" s="18"/>
    </row>
    <row r="4982" spans="9:10" x14ac:dyDescent="0.25">
      <c r="I4982" s="17"/>
      <c r="J4982" s="18"/>
    </row>
    <row r="4983" spans="9:10" x14ac:dyDescent="0.25">
      <c r="I4983" s="17"/>
      <c r="J4983" s="18"/>
    </row>
    <row r="4984" spans="9:10" x14ac:dyDescent="0.25">
      <c r="I4984" s="17"/>
      <c r="J4984" s="18"/>
    </row>
    <row r="4985" spans="9:10" x14ac:dyDescent="0.25">
      <c r="I4985" s="17"/>
      <c r="J4985" s="18"/>
    </row>
    <row r="4986" spans="9:10" x14ac:dyDescent="0.25">
      <c r="I4986" s="17"/>
      <c r="J4986" s="18"/>
    </row>
    <row r="4987" spans="9:10" x14ac:dyDescent="0.25">
      <c r="I4987" s="17"/>
      <c r="J4987" s="18"/>
    </row>
    <row r="4988" spans="9:10" x14ac:dyDescent="0.25">
      <c r="I4988" s="17"/>
      <c r="J4988" s="18"/>
    </row>
    <row r="4989" spans="9:10" x14ac:dyDescent="0.25">
      <c r="I4989" s="17"/>
      <c r="J4989" s="18"/>
    </row>
    <row r="4990" spans="9:10" x14ac:dyDescent="0.25">
      <c r="I4990" s="17"/>
      <c r="J4990" s="18"/>
    </row>
    <row r="4991" spans="9:10" x14ac:dyDescent="0.25">
      <c r="I4991" s="17"/>
      <c r="J4991" s="18"/>
    </row>
    <row r="4992" spans="9:10" x14ac:dyDescent="0.25">
      <c r="I4992" s="17"/>
      <c r="J4992" s="18"/>
    </row>
    <row r="4993" spans="9:10" x14ac:dyDescent="0.25">
      <c r="I4993" s="17"/>
      <c r="J4993" s="18"/>
    </row>
    <row r="4994" spans="9:10" x14ac:dyDescent="0.25">
      <c r="I4994" s="17"/>
      <c r="J4994" s="18"/>
    </row>
    <row r="4995" spans="9:10" x14ac:dyDescent="0.25">
      <c r="I4995" s="17"/>
      <c r="J4995" s="18"/>
    </row>
    <row r="4996" spans="9:10" x14ac:dyDescent="0.25">
      <c r="I4996" s="17"/>
      <c r="J4996" s="18"/>
    </row>
    <row r="4997" spans="9:10" x14ac:dyDescent="0.25">
      <c r="I4997" s="17"/>
      <c r="J4997" s="18"/>
    </row>
    <row r="4998" spans="9:10" x14ac:dyDescent="0.25">
      <c r="I4998" s="17"/>
      <c r="J4998" s="18"/>
    </row>
    <row r="4999" spans="9:10" x14ac:dyDescent="0.25">
      <c r="I4999" s="17"/>
      <c r="J4999" s="18"/>
    </row>
    <row r="5000" spans="9:10" x14ac:dyDescent="0.25">
      <c r="I5000" s="17"/>
      <c r="J5000" s="18"/>
    </row>
    <row r="5001" spans="9:10" x14ac:dyDescent="0.25">
      <c r="I5001" s="17"/>
      <c r="J5001" s="18"/>
    </row>
    <row r="5002" spans="9:10" x14ac:dyDescent="0.25">
      <c r="I5002" s="17"/>
      <c r="J5002" s="18"/>
    </row>
    <row r="5003" spans="9:10" x14ac:dyDescent="0.25">
      <c r="I5003" s="17"/>
      <c r="J5003" s="18"/>
    </row>
    <row r="5004" spans="9:10" x14ac:dyDescent="0.25">
      <c r="I5004" s="17"/>
      <c r="J5004" s="18"/>
    </row>
    <row r="5005" spans="9:10" x14ac:dyDescent="0.25">
      <c r="I5005" s="17"/>
      <c r="J5005" s="18"/>
    </row>
    <row r="5006" spans="9:10" x14ac:dyDescent="0.25">
      <c r="I5006" s="17"/>
      <c r="J5006" s="18"/>
    </row>
    <row r="5007" spans="9:10" x14ac:dyDescent="0.25">
      <c r="I5007" s="17"/>
      <c r="J5007" s="18"/>
    </row>
    <row r="5008" spans="9:10" x14ac:dyDescent="0.25">
      <c r="I5008" s="17"/>
      <c r="J5008" s="18"/>
    </row>
    <row r="5009" spans="9:10" x14ac:dyDescent="0.25">
      <c r="I5009" s="17"/>
      <c r="J5009" s="18"/>
    </row>
    <row r="5010" spans="9:10" x14ac:dyDescent="0.25">
      <c r="I5010" s="17"/>
      <c r="J5010" s="18"/>
    </row>
    <row r="5011" spans="9:10" x14ac:dyDescent="0.25">
      <c r="I5011" s="17"/>
      <c r="J5011" s="18"/>
    </row>
    <row r="5012" spans="9:10" x14ac:dyDescent="0.25">
      <c r="I5012" s="17"/>
      <c r="J5012" s="18"/>
    </row>
    <row r="5013" spans="9:10" x14ac:dyDescent="0.25">
      <c r="I5013" s="17"/>
      <c r="J5013" s="18"/>
    </row>
    <row r="5014" spans="9:10" x14ac:dyDescent="0.25">
      <c r="I5014" s="17"/>
      <c r="J5014" s="18"/>
    </row>
    <row r="5015" spans="9:10" x14ac:dyDescent="0.25">
      <c r="I5015" s="17"/>
      <c r="J5015" s="18"/>
    </row>
    <row r="5016" spans="9:10" x14ac:dyDescent="0.25">
      <c r="I5016" s="17"/>
      <c r="J5016" s="18"/>
    </row>
    <row r="5017" spans="9:10" x14ac:dyDescent="0.25">
      <c r="I5017" s="17"/>
      <c r="J5017" s="18"/>
    </row>
    <row r="5018" spans="9:10" x14ac:dyDescent="0.25">
      <c r="I5018" s="17"/>
      <c r="J5018" s="18"/>
    </row>
    <row r="5019" spans="9:10" x14ac:dyDescent="0.25">
      <c r="I5019" s="17"/>
      <c r="J5019" s="18"/>
    </row>
    <row r="5020" spans="9:10" x14ac:dyDescent="0.25">
      <c r="I5020" s="17"/>
      <c r="J5020" s="18"/>
    </row>
    <row r="5021" spans="9:10" x14ac:dyDescent="0.25">
      <c r="I5021" s="17"/>
      <c r="J5021" s="18"/>
    </row>
    <row r="5022" spans="9:10" x14ac:dyDescent="0.25">
      <c r="I5022" s="17"/>
      <c r="J5022" s="18"/>
    </row>
    <row r="5023" spans="9:10" x14ac:dyDescent="0.25">
      <c r="I5023" s="17"/>
      <c r="J5023" s="18"/>
    </row>
    <row r="5024" spans="9:10" x14ac:dyDescent="0.25">
      <c r="I5024" s="17"/>
      <c r="J5024" s="18"/>
    </row>
    <row r="5025" spans="9:10" x14ac:dyDescent="0.25">
      <c r="I5025" s="17"/>
      <c r="J5025" s="18"/>
    </row>
    <row r="5026" spans="9:10" x14ac:dyDescent="0.25">
      <c r="I5026" s="17"/>
      <c r="J5026" s="18"/>
    </row>
    <row r="5027" spans="9:10" x14ac:dyDescent="0.25">
      <c r="I5027" s="17"/>
      <c r="J5027" s="18"/>
    </row>
    <row r="5028" spans="9:10" x14ac:dyDescent="0.25">
      <c r="I5028" s="17"/>
      <c r="J5028" s="18"/>
    </row>
    <row r="5029" spans="9:10" x14ac:dyDescent="0.25">
      <c r="I5029" s="17"/>
      <c r="J5029" s="18"/>
    </row>
    <row r="5030" spans="9:10" x14ac:dyDescent="0.25">
      <c r="I5030" s="17"/>
      <c r="J5030" s="18"/>
    </row>
    <row r="5031" spans="9:10" x14ac:dyDescent="0.25">
      <c r="I5031" s="17"/>
      <c r="J5031" s="18"/>
    </row>
    <row r="5032" spans="9:10" x14ac:dyDescent="0.25">
      <c r="I5032" s="17"/>
      <c r="J5032" s="18"/>
    </row>
    <row r="5033" spans="9:10" x14ac:dyDescent="0.25">
      <c r="I5033" s="17"/>
      <c r="J5033" s="18"/>
    </row>
    <row r="5034" spans="9:10" x14ac:dyDescent="0.25">
      <c r="I5034" s="17"/>
      <c r="J5034" s="18"/>
    </row>
    <row r="5035" spans="9:10" x14ac:dyDescent="0.25">
      <c r="I5035" s="17"/>
      <c r="J5035" s="18"/>
    </row>
    <row r="5036" spans="9:10" x14ac:dyDescent="0.25">
      <c r="I5036" s="17"/>
      <c r="J5036" s="18"/>
    </row>
    <row r="5037" spans="9:10" x14ac:dyDescent="0.25">
      <c r="I5037" s="17"/>
      <c r="J5037" s="18"/>
    </row>
    <row r="5038" spans="9:10" x14ac:dyDescent="0.25">
      <c r="I5038" s="17"/>
      <c r="J5038" s="18"/>
    </row>
    <row r="5039" spans="9:10" x14ac:dyDescent="0.25">
      <c r="I5039" s="17"/>
      <c r="J5039" s="18"/>
    </row>
    <row r="5040" spans="9:10" x14ac:dyDescent="0.25">
      <c r="I5040" s="17"/>
      <c r="J5040" s="18"/>
    </row>
    <row r="5041" spans="9:10" x14ac:dyDescent="0.25">
      <c r="I5041" s="17"/>
      <c r="J5041" s="18"/>
    </row>
    <row r="5042" spans="9:10" x14ac:dyDescent="0.25">
      <c r="I5042" s="17"/>
      <c r="J5042" s="18"/>
    </row>
    <row r="5043" spans="9:10" x14ac:dyDescent="0.25">
      <c r="I5043" s="17"/>
      <c r="J5043" s="18"/>
    </row>
    <row r="5044" spans="9:10" x14ac:dyDescent="0.25">
      <c r="I5044" s="17"/>
      <c r="J5044" s="18"/>
    </row>
    <row r="5045" spans="9:10" x14ac:dyDescent="0.25">
      <c r="I5045" s="17"/>
      <c r="J5045" s="18"/>
    </row>
    <row r="5046" spans="9:10" x14ac:dyDescent="0.25">
      <c r="I5046" s="17"/>
      <c r="J5046" s="18"/>
    </row>
    <row r="5047" spans="9:10" x14ac:dyDescent="0.25">
      <c r="I5047" s="17"/>
      <c r="J5047" s="18"/>
    </row>
    <row r="5048" spans="9:10" x14ac:dyDescent="0.25">
      <c r="I5048" s="17"/>
      <c r="J5048" s="18"/>
    </row>
    <row r="5049" spans="9:10" x14ac:dyDescent="0.25">
      <c r="I5049" s="17"/>
      <c r="J5049" s="18"/>
    </row>
    <row r="5050" spans="9:10" x14ac:dyDescent="0.25">
      <c r="I5050" s="17"/>
      <c r="J5050" s="18"/>
    </row>
    <row r="5051" spans="9:10" x14ac:dyDescent="0.25">
      <c r="I5051" s="17"/>
      <c r="J5051" s="18"/>
    </row>
    <row r="5052" spans="9:10" x14ac:dyDescent="0.25">
      <c r="I5052" s="17"/>
      <c r="J5052" s="18"/>
    </row>
    <row r="5053" spans="9:10" x14ac:dyDescent="0.25">
      <c r="I5053" s="17"/>
      <c r="J5053" s="18"/>
    </row>
    <row r="5054" spans="9:10" x14ac:dyDescent="0.25">
      <c r="I5054" s="17"/>
      <c r="J5054" s="18"/>
    </row>
    <row r="5055" spans="9:10" x14ac:dyDescent="0.25">
      <c r="I5055" s="17"/>
      <c r="J5055" s="18"/>
    </row>
    <row r="5056" spans="9:10" x14ac:dyDescent="0.25">
      <c r="I5056" s="17"/>
      <c r="J5056" s="18"/>
    </row>
    <row r="5057" spans="9:10" x14ac:dyDescent="0.25">
      <c r="I5057" s="17"/>
      <c r="J5057" s="18"/>
    </row>
    <row r="5058" spans="9:10" x14ac:dyDescent="0.25">
      <c r="I5058" s="17"/>
      <c r="J5058" s="18"/>
    </row>
    <row r="5059" spans="9:10" x14ac:dyDescent="0.25">
      <c r="I5059" s="17"/>
      <c r="J5059" s="18"/>
    </row>
    <row r="5060" spans="9:10" x14ac:dyDescent="0.25">
      <c r="I5060" s="17"/>
      <c r="J5060" s="18"/>
    </row>
    <row r="5061" spans="9:10" x14ac:dyDescent="0.25">
      <c r="I5061" s="17"/>
      <c r="J5061" s="18"/>
    </row>
    <row r="5062" spans="9:10" x14ac:dyDescent="0.25">
      <c r="I5062" s="17"/>
      <c r="J5062" s="18"/>
    </row>
    <row r="5063" spans="9:10" x14ac:dyDescent="0.25">
      <c r="I5063" s="17"/>
      <c r="J5063" s="18"/>
    </row>
    <row r="5064" spans="9:10" x14ac:dyDescent="0.25">
      <c r="I5064" s="17"/>
      <c r="J5064" s="18"/>
    </row>
    <row r="5065" spans="9:10" x14ac:dyDescent="0.25">
      <c r="I5065" s="17"/>
      <c r="J5065" s="18"/>
    </row>
    <row r="5066" spans="9:10" x14ac:dyDescent="0.25">
      <c r="I5066" s="17"/>
      <c r="J5066" s="18"/>
    </row>
    <row r="5067" spans="9:10" x14ac:dyDescent="0.25">
      <c r="I5067" s="17"/>
      <c r="J5067" s="18"/>
    </row>
    <row r="5068" spans="9:10" x14ac:dyDescent="0.25">
      <c r="I5068" s="17"/>
      <c r="J5068" s="18"/>
    </row>
    <row r="5069" spans="9:10" x14ac:dyDescent="0.25">
      <c r="I5069" s="17"/>
      <c r="J5069" s="18"/>
    </row>
    <row r="5070" spans="9:10" x14ac:dyDescent="0.25">
      <c r="I5070" s="17"/>
      <c r="J5070" s="18"/>
    </row>
    <row r="5071" spans="9:10" x14ac:dyDescent="0.25">
      <c r="I5071" s="17"/>
      <c r="J5071" s="18"/>
    </row>
    <row r="5072" spans="9:10" x14ac:dyDescent="0.25">
      <c r="I5072" s="17"/>
      <c r="J5072" s="18"/>
    </row>
    <row r="5073" spans="9:10" x14ac:dyDescent="0.25">
      <c r="I5073" s="17"/>
      <c r="J5073" s="18"/>
    </row>
    <row r="5074" spans="9:10" x14ac:dyDescent="0.25">
      <c r="I5074" s="17"/>
      <c r="J5074" s="18"/>
    </row>
    <row r="5075" spans="9:10" x14ac:dyDescent="0.25">
      <c r="I5075" s="17"/>
      <c r="J5075" s="18"/>
    </row>
    <row r="5076" spans="9:10" x14ac:dyDescent="0.25">
      <c r="I5076" s="17"/>
      <c r="J5076" s="18"/>
    </row>
    <row r="5077" spans="9:10" x14ac:dyDescent="0.25">
      <c r="I5077" s="17"/>
      <c r="J5077" s="18"/>
    </row>
    <row r="5078" spans="9:10" x14ac:dyDescent="0.25">
      <c r="I5078" s="17"/>
      <c r="J5078" s="18"/>
    </row>
    <row r="5079" spans="9:10" x14ac:dyDescent="0.25">
      <c r="I5079" s="17"/>
      <c r="J5079" s="18"/>
    </row>
    <row r="5080" spans="9:10" x14ac:dyDescent="0.25">
      <c r="I5080" s="17"/>
      <c r="J5080" s="18"/>
    </row>
    <row r="5081" spans="9:10" x14ac:dyDescent="0.25">
      <c r="I5081" s="17"/>
      <c r="J5081" s="18"/>
    </row>
    <row r="5082" spans="9:10" x14ac:dyDescent="0.25">
      <c r="I5082" s="17"/>
      <c r="J5082" s="18"/>
    </row>
    <row r="5083" spans="9:10" x14ac:dyDescent="0.25">
      <c r="I5083" s="17"/>
      <c r="J5083" s="18"/>
    </row>
    <row r="5084" spans="9:10" x14ac:dyDescent="0.25">
      <c r="I5084" s="17"/>
      <c r="J5084" s="18"/>
    </row>
    <row r="5085" spans="9:10" x14ac:dyDescent="0.25">
      <c r="I5085" s="17"/>
      <c r="J5085" s="18"/>
    </row>
    <row r="5086" spans="9:10" x14ac:dyDescent="0.25">
      <c r="I5086" s="17"/>
      <c r="J5086" s="18"/>
    </row>
    <row r="5087" spans="9:10" x14ac:dyDescent="0.25">
      <c r="I5087" s="17"/>
      <c r="J5087" s="18"/>
    </row>
    <row r="5088" spans="9:10" x14ac:dyDescent="0.25">
      <c r="I5088" s="17"/>
      <c r="J5088" s="18"/>
    </row>
    <row r="5089" spans="9:10" x14ac:dyDescent="0.25">
      <c r="I5089" s="17"/>
      <c r="J5089" s="18"/>
    </row>
    <row r="5090" spans="9:10" x14ac:dyDescent="0.25">
      <c r="I5090" s="17"/>
      <c r="J5090" s="18"/>
    </row>
    <row r="5091" spans="9:10" x14ac:dyDescent="0.25">
      <c r="I5091" s="17"/>
      <c r="J5091" s="18"/>
    </row>
    <row r="5092" spans="9:10" x14ac:dyDescent="0.25">
      <c r="I5092" s="17"/>
      <c r="J5092" s="18"/>
    </row>
    <row r="5093" spans="9:10" x14ac:dyDescent="0.25">
      <c r="I5093" s="17"/>
      <c r="J5093" s="18"/>
    </row>
    <row r="5094" spans="9:10" x14ac:dyDescent="0.25">
      <c r="I5094" s="17"/>
      <c r="J5094" s="18"/>
    </row>
    <row r="5095" spans="9:10" x14ac:dyDescent="0.25">
      <c r="I5095" s="17"/>
      <c r="J5095" s="18"/>
    </row>
    <row r="5096" spans="9:10" x14ac:dyDescent="0.25">
      <c r="I5096" s="17"/>
      <c r="J5096" s="18"/>
    </row>
    <row r="5097" spans="9:10" x14ac:dyDescent="0.25">
      <c r="I5097" s="17"/>
      <c r="J5097" s="18"/>
    </row>
    <row r="5098" spans="9:10" x14ac:dyDescent="0.25">
      <c r="I5098" s="17"/>
      <c r="J5098" s="18"/>
    </row>
    <row r="5099" spans="9:10" x14ac:dyDescent="0.25">
      <c r="I5099" s="17"/>
      <c r="J5099" s="18"/>
    </row>
    <row r="5100" spans="9:10" x14ac:dyDescent="0.25">
      <c r="I5100" s="17"/>
      <c r="J5100" s="18"/>
    </row>
    <row r="5101" spans="9:10" x14ac:dyDescent="0.25">
      <c r="I5101" s="17"/>
      <c r="J5101" s="18"/>
    </row>
    <row r="5102" spans="9:10" x14ac:dyDescent="0.25">
      <c r="I5102" s="17"/>
      <c r="J5102" s="18"/>
    </row>
    <row r="5103" spans="9:10" x14ac:dyDescent="0.25">
      <c r="I5103" s="17"/>
      <c r="J5103" s="18"/>
    </row>
    <row r="5104" spans="9:10" x14ac:dyDescent="0.25">
      <c r="I5104" s="17"/>
      <c r="J5104" s="18"/>
    </row>
    <row r="5105" spans="9:10" x14ac:dyDescent="0.25">
      <c r="I5105" s="17"/>
      <c r="J5105" s="18"/>
    </row>
    <row r="5106" spans="9:10" x14ac:dyDescent="0.25">
      <c r="I5106" s="17"/>
      <c r="J5106" s="18"/>
    </row>
    <row r="5107" spans="9:10" x14ac:dyDescent="0.25">
      <c r="I5107" s="17"/>
      <c r="J5107" s="18"/>
    </row>
    <row r="5108" spans="9:10" x14ac:dyDescent="0.25">
      <c r="I5108" s="17"/>
      <c r="J5108" s="18"/>
    </row>
    <row r="5109" spans="9:10" x14ac:dyDescent="0.25">
      <c r="I5109" s="17"/>
      <c r="J5109" s="18"/>
    </row>
    <row r="5110" spans="9:10" x14ac:dyDescent="0.25">
      <c r="I5110" s="17"/>
      <c r="J5110" s="18"/>
    </row>
    <row r="5111" spans="9:10" x14ac:dyDescent="0.25">
      <c r="I5111" s="17"/>
      <c r="J5111" s="18"/>
    </row>
    <row r="5112" spans="9:10" x14ac:dyDescent="0.25">
      <c r="I5112" s="17"/>
      <c r="J5112" s="18"/>
    </row>
    <row r="5113" spans="9:10" x14ac:dyDescent="0.25">
      <c r="I5113" s="17"/>
      <c r="J5113" s="18"/>
    </row>
    <row r="5114" spans="9:10" x14ac:dyDescent="0.25">
      <c r="I5114" s="17"/>
      <c r="J5114" s="18"/>
    </row>
    <row r="5115" spans="9:10" x14ac:dyDescent="0.25">
      <c r="I5115" s="17"/>
      <c r="J5115" s="18"/>
    </row>
    <row r="5116" spans="9:10" x14ac:dyDescent="0.25">
      <c r="I5116" s="17"/>
      <c r="J5116" s="18"/>
    </row>
    <row r="5117" spans="9:10" x14ac:dyDescent="0.25">
      <c r="I5117" s="17"/>
      <c r="J5117" s="18"/>
    </row>
    <row r="5118" spans="9:10" x14ac:dyDescent="0.25">
      <c r="I5118" s="17"/>
      <c r="J5118" s="18"/>
    </row>
    <row r="5119" spans="9:10" x14ac:dyDescent="0.25">
      <c r="I5119" s="17"/>
      <c r="J5119" s="18"/>
    </row>
    <row r="5120" spans="9:10" x14ac:dyDescent="0.25">
      <c r="I5120" s="17"/>
      <c r="J5120" s="18"/>
    </row>
    <row r="5121" spans="9:10" x14ac:dyDescent="0.25">
      <c r="I5121" s="17"/>
      <c r="J5121" s="18"/>
    </row>
    <row r="5122" spans="9:10" x14ac:dyDescent="0.25">
      <c r="I5122" s="17"/>
      <c r="J5122" s="18"/>
    </row>
    <row r="5123" spans="9:10" x14ac:dyDescent="0.25">
      <c r="I5123" s="17"/>
      <c r="J5123" s="18"/>
    </row>
    <row r="5124" spans="9:10" x14ac:dyDescent="0.25">
      <c r="I5124" s="17"/>
      <c r="J5124" s="18"/>
    </row>
    <row r="5125" spans="9:10" x14ac:dyDescent="0.25">
      <c r="I5125" s="17"/>
      <c r="J5125" s="18"/>
    </row>
    <row r="5126" spans="9:10" x14ac:dyDescent="0.25">
      <c r="I5126" s="17"/>
      <c r="J5126" s="18"/>
    </row>
    <row r="5127" spans="9:10" x14ac:dyDescent="0.25">
      <c r="I5127" s="17"/>
      <c r="J5127" s="18"/>
    </row>
    <row r="5128" spans="9:10" x14ac:dyDescent="0.25">
      <c r="I5128" s="17"/>
      <c r="J5128" s="18"/>
    </row>
    <row r="5129" spans="9:10" x14ac:dyDescent="0.25">
      <c r="I5129" s="17"/>
      <c r="J5129" s="18"/>
    </row>
    <row r="5130" spans="9:10" x14ac:dyDescent="0.25">
      <c r="I5130" s="17"/>
      <c r="J5130" s="18"/>
    </row>
    <row r="5131" spans="9:10" x14ac:dyDescent="0.25">
      <c r="I5131" s="17"/>
      <c r="J5131" s="18"/>
    </row>
    <row r="5132" spans="9:10" x14ac:dyDescent="0.25">
      <c r="I5132" s="17"/>
      <c r="J5132" s="18"/>
    </row>
    <row r="5133" spans="9:10" x14ac:dyDescent="0.25">
      <c r="I5133" s="17"/>
      <c r="J5133" s="18"/>
    </row>
    <row r="5134" spans="9:10" x14ac:dyDescent="0.25">
      <c r="I5134" s="17"/>
      <c r="J5134" s="18"/>
    </row>
    <row r="5135" spans="9:10" x14ac:dyDescent="0.25">
      <c r="I5135" s="17"/>
      <c r="J5135" s="18"/>
    </row>
    <row r="5136" spans="9:10" x14ac:dyDescent="0.25">
      <c r="I5136" s="17"/>
      <c r="J5136" s="18"/>
    </row>
    <row r="5137" spans="9:10" x14ac:dyDescent="0.25">
      <c r="I5137" s="17"/>
      <c r="J5137" s="18"/>
    </row>
    <row r="5138" spans="9:10" x14ac:dyDescent="0.25">
      <c r="I5138" s="17"/>
      <c r="J5138" s="18"/>
    </row>
    <row r="5139" spans="9:10" x14ac:dyDescent="0.25">
      <c r="I5139" s="17"/>
      <c r="J5139" s="18"/>
    </row>
    <row r="5140" spans="9:10" x14ac:dyDescent="0.25">
      <c r="I5140" s="17"/>
      <c r="J5140" s="18"/>
    </row>
    <row r="5141" spans="9:10" x14ac:dyDescent="0.25">
      <c r="I5141" s="17"/>
      <c r="J5141" s="18"/>
    </row>
    <row r="5142" spans="9:10" x14ac:dyDescent="0.25">
      <c r="I5142" s="17"/>
      <c r="J5142" s="18"/>
    </row>
    <row r="5143" spans="9:10" x14ac:dyDescent="0.25">
      <c r="I5143" s="17"/>
      <c r="J5143" s="18"/>
    </row>
    <row r="5144" spans="9:10" x14ac:dyDescent="0.25">
      <c r="I5144" s="17"/>
      <c r="J5144" s="18"/>
    </row>
    <row r="5145" spans="9:10" x14ac:dyDescent="0.25">
      <c r="I5145" s="17"/>
      <c r="J5145" s="18"/>
    </row>
    <row r="5146" spans="9:10" x14ac:dyDescent="0.25">
      <c r="I5146" s="17"/>
      <c r="J5146" s="18"/>
    </row>
    <row r="5147" spans="9:10" x14ac:dyDescent="0.25">
      <c r="I5147" s="17"/>
      <c r="J5147" s="18"/>
    </row>
    <row r="5148" spans="9:10" x14ac:dyDescent="0.25">
      <c r="I5148" s="17"/>
      <c r="J5148" s="18"/>
    </row>
    <row r="5149" spans="9:10" x14ac:dyDescent="0.25">
      <c r="I5149" s="17"/>
      <c r="J5149" s="18"/>
    </row>
    <row r="5150" spans="9:10" x14ac:dyDescent="0.25">
      <c r="I5150" s="17"/>
      <c r="J5150" s="18"/>
    </row>
    <row r="5151" spans="9:10" x14ac:dyDescent="0.25">
      <c r="I5151" s="17"/>
      <c r="J5151" s="18"/>
    </row>
    <row r="5152" spans="9:10" x14ac:dyDescent="0.25">
      <c r="I5152" s="17"/>
      <c r="J5152" s="18"/>
    </row>
    <row r="5153" spans="9:10" x14ac:dyDescent="0.25">
      <c r="I5153" s="17"/>
      <c r="J5153" s="18"/>
    </row>
    <row r="5154" spans="9:10" x14ac:dyDescent="0.25">
      <c r="I5154" s="17"/>
      <c r="J5154" s="18"/>
    </row>
    <row r="5155" spans="9:10" x14ac:dyDescent="0.25">
      <c r="I5155" s="17"/>
      <c r="J5155" s="18"/>
    </row>
    <row r="5156" spans="9:10" x14ac:dyDescent="0.25">
      <c r="I5156" s="17"/>
      <c r="J5156" s="18"/>
    </row>
    <row r="5157" spans="9:10" x14ac:dyDescent="0.25">
      <c r="I5157" s="17"/>
      <c r="J5157" s="18"/>
    </row>
    <row r="5158" spans="9:10" x14ac:dyDescent="0.25">
      <c r="I5158" s="17"/>
      <c r="J5158" s="18"/>
    </row>
    <row r="5159" spans="9:10" x14ac:dyDescent="0.25">
      <c r="I5159" s="17"/>
      <c r="J5159" s="18"/>
    </row>
    <row r="5160" spans="9:10" x14ac:dyDescent="0.25">
      <c r="I5160" s="17"/>
      <c r="J5160" s="18"/>
    </row>
    <row r="5161" spans="9:10" x14ac:dyDescent="0.25">
      <c r="I5161" s="17"/>
      <c r="J5161" s="18"/>
    </row>
    <row r="5162" spans="9:10" x14ac:dyDescent="0.25">
      <c r="I5162" s="17"/>
      <c r="J5162" s="18"/>
    </row>
    <row r="5163" spans="9:10" x14ac:dyDescent="0.25">
      <c r="I5163" s="17"/>
      <c r="J5163" s="18"/>
    </row>
    <row r="5164" spans="9:10" x14ac:dyDescent="0.25">
      <c r="I5164" s="17"/>
      <c r="J5164" s="18"/>
    </row>
    <row r="5165" spans="9:10" x14ac:dyDescent="0.25">
      <c r="I5165" s="17"/>
      <c r="J5165" s="18"/>
    </row>
    <row r="5166" spans="9:10" x14ac:dyDescent="0.25">
      <c r="I5166" s="17"/>
      <c r="J5166" s="18"/>
    </row>
    <row r="5167" spans="9:10" x14ac:dyDescent="0.25">
      <c r="I5167" s="17"/>
      <c r="J5167" s="18"/>
    </row>
    <row r="5168" spans="9:10" x14ac:dyDescent="0.25">
      <c r="I5168" s="17"/>
      <c r="J5168" s="18"/>
    </row>
    <row r="5169" spans="9:10" x14ac:dyDescent="0.25">
      <c r="I5169" s="17"/>
      <c r="J5169" s="18"/>
    </row>
    <row r="5170" spans="9:10" x14ac:dyDescent="0.25">
      <c r="I5170" s="17"/>
      <c r="J5170" s="18"/>
    </row>
    <row r="5171" spans="9:10" x14ac:dyDescent="0.25">
      <c r="I5171" s="17"/>
      <c r="J5171" s="18"/>
    </row>
    <row r="5172" spans="9:10" x14ac:dyDescent="0.25">
      <c r="I5172" s="17"/>
      <c r="J5172" s="18"/>
    </row>
    <row r="5173" spans="9:10" x14ac:dyDescent="0.25">
      <c r="I5173" s="17"/>
      <c r="J5173" s="18"/>
    </row>
    <row r="5174" spans="9:10" x14ac:dyDescent="0.25">
      <c r="I5174" s="17"/>
      <c r="J5174" s="18"/>
    </row>
    <row r="5175" spans="9:10" x14ac:dyDescent="0.25">
      <c r="I5175" s="17"/>
      <c r="J5175" s="18"/>
    </row>
    <row r="5176" spans="9:10" x14ac:dyDescent="0.25">
      <c r="I5176" s="17"/>
      <c r="J5176" s="18"/>
    </row>
    <row r="5177" spans="9:10" x14ac:dyDescent="0.25">
      <c r="I5177" s="17"/>
      <c r="J5177" s="18"/>
    </row>
    <row r="5178" spans="9:10" x14ac:dyDescent="0.25">
      <c r="I5178" s="17"/>
      <c r="J5178" s="18"/>
    </row>
    <row r="5179" spans="9:10" x14ac:dyDescent="0.25">
      <c r="I5179" s="17"/>
      <c r="J5179" s="18"/>
    </row>
    <row r="5180" spans="9:10" x14ac:dyDescent="0.25">
      <c r="I5180" s="17"/>
      <c r="J5180" s="18"/>
    </row>
    <row r="5181" spans="9:10" x14ac:dyDescent="0.25">
      <c r="I5181" s="17"/>
      <c r="J5181" s="18"/>
    </row>
    <row r="5182" spans="9:10" x14ac:dyDescent="0.25">
      <c r="I5182" s="17"/>
      <c r="J5182" s="18"/>
    </row>
    <row r="5183" spans="9:10" x14ac:dyDescent="0.25">
      <c r="I5183" s="17"/>
      <c r="J5183" s="18"/>
    </row>
    <row r="5184" spans="9:10" x14ac:dyDescent="0.25">
      <c r="I5184" s="17"/>
      <c r="J5184" s="18"/>
    </row>
    <row r="5185" spans="9:10" x14ac:dyDescent="0.25">
      <c r="I5185" s="17"/>
      <c r="J5185" s="18"/>
    </row>
    <row r="5186" spans="9:10" x14ac:dyDescent="0.25">
      <c r="I5186" s="17"/>
      <c r="J5186" s="18"/>
    </row>
    <row r="5187" spans="9:10" x14ac:dyDescent="0.25">
      <c r="I5187" s="17"/>
      <c r="J5187" s="18"/>
    </row>
    <row r="5188" spans="9:10" x14ac:dyDescent="0.25">
      <c r="I5188" s="17"/>
      <c r="J5188" s="18"/>
    </row>
    <row r="5189" spans="9:10" x14ac:dyDescent="0.25">
      <c r="I5189" s="17"/>
      <c r="J5189" s="18"/>
    </row>
    <row r="5190" spans="9:10" x14ac:dyDescent="0.25">
      <c r="I5190" s="17"/>
      <c r="J5190" s="18"/>
    </row>
    <row r="5191" spans="9:10" x14ac:dyDescent="0.25">
      <c r="I5191" s="17"/>
      <c r="J5191" s="18"/>
    </row>
    <row r="5192" spans="9:10" x14ac:dyDescent="0.25">
      <c r="I5192" s="17"/>
      <c r="J5192" s="18"/>
    </row>
    <row r="5193" spans="9:10" x14ac:dyDescent="0.25">
      <c r="I5193" s="17"/>
      <c r="J5193" s="18"/>
    </row>
    <row r="5194" spans="9:10" x14ac:dyDescent="0.25">
      <c r="I5194" s="17"/>
      <c r="J5194" s="18"/>
    </row>
    <row r="5195" spans="9:10" x14ac:dyDescent="0.25">
      <c r="I5195" s="17"/>
      <c r="J5195" s="18"/>
    </row>
    <row r="5196" spans="9:10" x14ac:dyDescent="0.25">
      <c r="I5196" s="17"/>
      <c r="J5196" s="18"/>
    </row>
    <row r="5197" spans="9:10" x14ac:dyDescent="0.25">
      <c r="I5197" s="17"/>
      <c r="J5197" s="18"/>
    </row>
    <row r="5198" spans="9:10" x14ac:dyDescent="0.25">
      <c r="I5198" s="17"/>
      <c r="J5198" s="18"/>
    </row>
    <row r="5199" spans="9:10" x14ac:dyDescent="0.25">
      <c r="I5199" s="17"/>
      <c r="J5199" s="18"/>
    </row>
    <row r="5200" spans="9:10" x14ac:dyDescent="0.25">
      <c r="I5200" s="17"/>
      <c r="J5200" s="18"/>
    </row>
    <row r="5201" spans="9:10" x14ac:dyDescent="0.25">
      <c r="I5201" s="17"/>
      <c r="J5201" s="18"/>
    </row>
    <row r="5202" spans="9:10" x14ac:dyDescent="0.25">
      <c r="I5202" s="17"/>
      <c r="J5202" s="18"/>
    </row>
    <row r="5203" spans="9:10" x14ac:dyDescent="0.25">
      <c r="I5203" s="17"/>
      <c r="J5203" s="18"/>
    </row>
    <row r="5204" spans="9:10" x14ac:dyDescent="0.25">
      <c r="I5204" s="17"/>
      <c r="J5204" s="18"/>
    </row>
    <row r="5205" spans="9:10" x14ac:dyDescent="0.25">
      <c r="I5205" s="17"/>
      <c r="J5205" s="18"/>
    </row>
    <row r="5206" spans="9:10" x14ac:dyDescent="0.25">
      <c r="I5206" s="17"/>
      <c r="J5206" s="18"/>
    </row>
    <row r="5207" spans="9:10" x14ac:dyDescent="0.25">
      <c r="I5207" s="17"/>
      <c r="J5207" s="18"/>
    </row>
    <row r="5208" spans="9:10" x14ac:dyDescent="0.25">
      <c r="I5208" s="17"/>
      <c r="J5208" s="18"/>
    </row>
    <row r="5209" spans="9:10" x14ac:dyDescent="0.25">
      <c r="I5209" s="17"/>
      <c r="J5209" s="18"/>
    </row>
    <row r="5210" spans="9:10" x14ac:dyDescent="0.25">
      <c r="I5210" s="17"/>
      <c r="J5210" s="18"/>
    </row>
    <row r="5211" spans="9:10" x14ac:dyDescent="0.25">
      <c r="I5211" s="17"/>
      <c r="J5211" s="18"/>
    </row>
    <row r="5212" spans="9:10" x14ac:dyDescent="0.25">
      <c r="I5212" s="17"/>
      <c r="J5212" s="18"/>
    </row>
    <row r="5213" spans="9:10" x14ac:dyDescent="0.25">
      <c r="I5213" s="17"/>
      <c r="J5213" s="18"/>
    </row>
    <row r="5214" spans="9:10" x14ac:dyDescent="0.25">
      <c r="I5214" s="17"/>
      <c r="J5214" s="18"/>
    </row>
    <row r="5215" spans="9:10" x14ac:dyDescent="0.25">
      <c r="I5215" s="17"/>
      <c r="J5215" s="18"/>
    </row>
    <row r="5216" spans="9:10" x14ac:dyDescent="0.25">
      <c r="I5216" s="17"/>
      <c r="J5216" s="18"/>
    </row>
    <row r="5217" spans="9:10" x14ac:dyDescent="0.25">
      <c r="I5217" s="17"/>
      <c r="J5217" s="18"/>
    </row>
    <row r="5218" spans="9:10" x14ac:dyDescent="0.25">
      <c r="I5218" s="17"/>
      <c r="J5218" s="18"/>
    </row>
    <row r="5219" spans="9:10" x14ac:dyDescent="0.25">
      <c r="I5219" s="17"/>
      <c r="J5219" s="18"/>
    </row>
    <row r="5220" spans="9:10" x14ac:dyDescent="0.25">
      <c r="I5220" s="17"/>
      <c r="J5220" s="18"/>
    </row>
    <row r="5221" spans="9:10" x14ac:dyDescent="0.25">
      <c r="I5221" s="17"/>
      <c r="J5221" s="18"/>
    </row>
    <row r="5222" spans="9:10" x14ac:dyDescent="0.25">
      <c r="I5222" s="17"/>
      <c r="J5222" s="18"/>
    </row>
    <row r="5223" spans="9:10" x14ac:dyDescent="0.25">
      <c r="I5223" s="17"/>
      <c r="J5223" s="18"/>
    </row>
    <row r="5224" spans="9:10" x14ac:dyDescent="0.25">
      <c r="I5224" s="17"/>
      <c r="J5224" s="18"/>
    </row>
    <row r="5225" spans="9:10" x14ac:dyDescent="0.25">
      <c r="I5225" s="17"/>
      <c r="J5225" s="18"/>
    </row>
    <row r="5226" spans="9:10" x14ac:dyDescent="0.25">
      <c r="I5226" s="17"/>
      <c r="J5226" s="18"/>
    </row>
    <row r="5227" spans="9:10" x14ac:dyDescent="0.25">
      <c r="I5227" s="17"/>
      <c r="J5227" s="18"/>
    </row>
    <row r="5228" spans="9:10" x14ac:dyDescent="0.25">
      <c r="I5228" s="17"/>
      <c r="J5228" s="18"/>
    </row>
    <row r="5229" spans="9:10" x14ac:dyDescent="0.25">
      <c r="I5229" s="17"/>
      <c r="J5229" s="18"/>
    </row>
    <row r="5230" spans="9:10" x14ac:dyDescent="0.25">
      <c r="I5230" s="17"/>
      <c r="J5230" s="18"/>
    </row>
    <row r="5231" spans="9:10" x14ac:dyDescent="0.25">
      <c r="I5231" s="17"/>
      <c r="J5231" s="18"/>
    </row>
    <row r="5232" spans="9:10" x14ac:dyDescent="0.25">
      <c r="I5232" s="17"/>
      <c r="J5232" s="18"/>
    </row>
    <row r="5233" spans="9:10" x14ac:dyDescent="0.25">
      <c r="I5233" s="17"/>
      <c r="J5233" s="18"/>
    </row>
    <row r="5234" spans="9:10" x14ac:dyDescent="0.25">
      <c r="I5234" s="17"/>
      <c r="J5234" s="18"/>
    </row>
    <row r="5235" spans="9:10" x14ac:dyDescent="0.25">
      <c r="I5235" s="17"/>
      <c r="J5235" s="18"/>
    </row>
    <row r="5236" spans="9:10" x14ac:dyDescent="0.25">
      <c r="I5236" s="17"/>
      <c r="J5236" s="18"/>
    </row>
    <row r="5237" spans="9:10" x14ac:dyDescent="0.25">
      <c r="I5237" s="17"/>
      <c r="J5237" s="18"/>
    </row>
    <row r="5238" spans="9:10" x14ac:dyDescent="0.25">
      <c r="I5238" s="17"/>
      <c r="J5238" s="18"/>
    </row>
    <row r="5239" spans="9:10" x14ac:dyDescent="0.25">
      <c r="I5239" s="17"/>
      <c r="J5239" s="18"/>
    </row>
    <row r="5240" spans="9:10" x14ac:dyDescent="0.25">
      <c r="I5240" s="17"/>
      <c r="J5240" s="18"/>
    </row>
    <row r="5241" spans="9:10" x14ac:dyDescent="0.25">
      <c r="I5241" s="17"/>
      <c r="J5241" s="18"/>
    </row>
    <row r="5242" spans="9:10" x14ac:dyDescent="0.25">
      <c r="I5242" s="17"/>
      <c r="J5242" s="18"/>
    </row>
    <row r="5243" spans="9:10" x14ac:dyDescent="0.25">
      <c r="I5243" s="17"/>
      <c r="J5243" s="18"/>
    </row>
    <row r="5244" spans="9:10" x14ac:dyDescent="0.25">
      <c r="I5244" s="17"/>
      <c r="J5244" s="18"/>
    </row>
    <row r="5245" spans="9:10" x14ac:dyDescent="0.25">
      <c r="I5245" s="17"/>
      <c r="J5245" s="18"/>
    </row>
    <row r="5246" spans="9:10" x14ac:dyDescent="0.25">
      <c r="I5246" s="17"/>
      <c r="J5246" s="18"/>
    </row>
    <row r="5247" spans="9:10" x14ac:dyDescent="0.25">
      <c r="I5247" s="17"/>
      <c r="J5247" s="18"/>
    </row>
    <row r="5248" spans="9:10" x14ac:dyDescent="0.25">
      <c r="I5248" s="17"/>
      <c r="J5248" s="18"/>
    </row>
    <row r="5249" spans="9:10" x14ac:dyDescent="0.25">
      <c r="I5249" s="17"/>
      <c r="J5249" s="18"/>
    </row>
    <row r="5250" spans="9:10" x14ac:dyDescent="0.25">
      <c r="I5250" s="17"/>
      <c r="J5250" s="18"/>
    </row>
    <row r="5251" spans="9:10" x14ac:dyDescent="0.25">
      <c r="I5251" s="17"/>
      <c r="J5251" s="18"/>
    </row>
    <row r="5252" spans="9:10" x14ac:dyDescent="0.25">
      <c r="I5252" s="17"/>
      <c r="J5252" s="18"/>
    </row>
    <row r="5253" spans="9:10" x14ac:dyDescent="0.25">
      <c r="I5253" s="17"/>
      <c r="J5253" s="18"/>
    </row>
    <row r="5254" spans="9:10" x14ac:dyDescent="0.25">
      <c r="I5254" s="17"/>
      <c r="J5254" s="18"/>
    </row>
    <row r="5255" spans="9:10" x14ac:dyDescent="0.25">
      <c r="I5255" s="17"/>
      <c r="J5255" s="18"/>
    </row>
    <row r="5256" spans="9:10" x14ac:dyDescent="0.25">
      <c r="I5256" s="17"/>
      <c r="J5256" s="18"/>
    </row>
    <row r="5257" spans="9:10" x14ac:dyDescent="0.25">
      <c r="I5257" s="17"/>
      <c r="J5257" s="18"/>
    </row>
    <row r="5258" spans="9:10" x14ac:dyDescent="0.25">
      <c r="I5258" s="17"/>
      <c r="J5258" s="18"/>
    </row>
    <row r="5259" spans="9:10" x14ac:dyDescent="0.25">
      <c r="I5259" s="17"/>
      <c r="J5259" s="18"/>
    </row>
    <row r="5260" spans="9:10" x14ac:dyDescent="0.25">
      <c r="I5260" s="17"/>
      <c r="J5260" s="18"/>
    </row>
    <row r="5261" spans="9:10" x14ac:dyDescent="0.25">
      <c r="I5261" s="17"/>
      <c r="J5261" s="18"/>
    </row>
    <row r="5262" spans="9:10" x14ac:dyDescent="0.25">
      <c r="I5262" s="17"/>
      <c r="J5262" s="18"/>
    </row>
    <row r="5263" spans="9:10" x14ac:dyDescent="0.25">
      <c r="I5263" s="17"/>
      <c r="J5263" s="18"/>
    </row>
    <row r="5264" spans="9:10" x14ac:dyDescent="0.25">
      <c r="I5264" s="17"/>
      <c r="J5264" s="18"/>
    </row>
    <row r="5265" spans="9:10" x14ac:dyDescent="0.25">
      <c r="I5265" s="17"/>
      <c r="J5265" s="18"/>
    </row>
    <row r="5266" spans="9:10" x14ac:dyDescent="0.25">
      <c r="I5266" s="17"/>
      <c r="J5266" s="18"/>
    </row>
    <row r="5267" spans="9:10" x14ac:dyDescent="0.25">
      <c r="I5267" s="17"/>
      <c r="J5267" s="18"/>
    </row>
    <row r="5268" spans="9:10" x14ac:dyDescent="0.25">
      <c r="I5268" s="17"/>
      <c r="J5268" s="18"/>
    </row>
    <row r="5269" spans="9:10" x14ac:dyDescent="0.25">
      <c r="I5269" s="17"/>
      <c r="J5269" s="18"/>
    </row>
    <row r="5270" spans="9:10" x14ac:dyDescent="0.25">
      <c r="I5270" s="17"/>
      <c r="J5270" s="18"/>
    </row>
    <row r="5271" spans="9:10" x14ac:dyDescent="0.25">
      <c r="I5271" s="17"/>
      <c r="J5271" s="18"/>
    </row>
    <row r="5272" spans="9:10" x14ac:dyDescent="0.25">
      <c r="I5272" s="17"/>
      <c r="J5272" s="18"/>
    </row>
    <row r="5273" spans="9:10" x14ac:dyDescent="0.25">
      <c r="I5273" s="17"/>
      <c r="J5273" s="18"/>
    </row>
    <row r="5274" spans="9:10" x14ac:dyDescent="0.25">
      <c r="I5274" s="17"/>
      <c r="J5274" s="18"/>
    </row>
    <row r="5275" spans="9:10" x14ac:dyDescent="0.25">
      <c r="I5275" s="17"/>
      <c r="J5275" s="18"/>
    </row>
    <row r="5276" spans="9:10" x14ac:dyDescent="0.25">
      <c r="I5276" s="17"/>
      <c r="J5276" s="18"/>
    </row>
    <row r="5277" spans="9:10" x14ac:dyDescent="0.25">
      <c r="I5277" s="17"/>
      <c r="J5277" s="18"/>
    </row>
    <row r="5278" spans="9:10" x14ac:dyDescent="0.25">
      <c r="I5278" s="17"/>
      <c r="J5278" s="18"/>
    </row>
    <row r="5279" spans="9:10" x14ac:dyDescent="0.25">
      <c r="I5279" s="17"/>
      <c r="J5279" s="18"/>
    </row>
    <row r="5280" spans="9:10" x14ac:dyDescent="0.25">
      <c r="I5280" s="17"/>
      <c r="J5280" s="18"/>
    </row>
    <row r="5281" spans="9:10" x14ac:dyDescent="0.25">
      <c r="I5281" s="17"/>
      <c r="J5281" s="18"/>
    </row>
    <row r="5282" spans="9:10" x14ac:dyDescent="0.25">
      <c r="I5282" s="17"/>
      <c r="J5282" s="18"/>
    </row>
    <row r="5283" spans="9:10" x14ac:dyDescent="0.25">
      <c r="I5283" s="17"/>
      <c r="J5283" s="18"/>
    </row>
    <row r="5284" spans="9:10" x14ac:dyDescent="0.25">
      <c r="I5284" s="17"/>
      <c r="J5284" s="18"/>
    </row>
    <row r="5285" spans="9:10" x14ac:dyDescent="0.25">
      <c r="I5285" s="17"/>
      <c r="J5285" s="18"/>
    </row>
    <row r="5286" spans="9:10" x14ac:dyDescent="0.25">
      <c r="I5286" s="17"/>
      <c r="J5286" s="18"/>
    </row>
    <row r="5287" spans="9:10" x14ac:dyDescent="0.25">
      <c r="I5287" s="17"/>
      <c r="J5287" s="18"/>
    </row>
    <row r="5288" spans="9:10" x14ac:dyDescent="0.25">
      <c r="I5288" s="17"/>
      <c r="J5288" s="18"/>
    </row>
    <row r="5289" spans="9:10" x14ac:dyDescent="0.25">
      <c r="I5289" s="17"/>
      <c r="J5289" s="18"/>
    </row>
    <row r="5290" spans="9:10" x14ac:dyDescent="0.25">
      <c r="I5290" s="17"/>
      <c r="J5290" s="18"/>
    </row>
    <row r="5291" spans="9:10" x14ac:dyDescent="0.25">
      <c r="I5291" s="17"/>
      <c r="J5291" s="18"/>
    </row>
    <row r="5292" spans="9:10" x14ac:dyDescent="0.25">
      <c r="I5292" s="17"/>
      <c r="J5292" s="18"/>
    </row>
    <row r="5293" spans="9:10" x14ac:dyDescent="0.25">
      <c r="I5293" s="17"/>
      <c r="J5293" s="18"/>
    </row>
    <row r="5294" spans="9:10" x14ac:dyDescent="0.25">
      <c r="I5294" s="17"/>
      <c r="J5294" s="18"/>
    </row>
    <row r="5295" spans="9:10" x14ac:dyDescent="0.25">
      <c r="I5295" s="17"/>
      <c r="J5295" s="18"/>
    </row>
    <row r="5296" spans="9:10" x14ac:dyDescent="0.25">
      <c r="I5296" s="17"/>
      <c r="J5296" s="18"/>
    </row>
    <row r="5297" spans="9:10" x14ac:dyDescent="0.25">
      <c r="I5297" s="17"/>
      <c r="J5297" s="18"/>
    </row>
    <row r="5298" spans="9:10" x14ac:dyDescent="0.25">
      <c r="I5298" s="17"/>
      <c r="J5298" s="18"/>
    </row>
    <row r="5299" spans="9:10" x14ac:dyDescent="0.25">
      <c r="I5299" s="17"/>
      <c r="J5299" s="18"/>
    </row>
    <row r="5300" spans="9:10" x14ac:dyDescent="0.25">
      <c r="I5300" s="17"/>
      <c r="J5300" s="18"/>
    </row>
    <row r="5301" spans="9:10" x14ac:dyDescent="0.25">
      <c r="I5301" s="17"/>
      <c r="J5301" s="18"/>
    </row>
    <row r="5302" spans="9:10" x14ac:dyDescent="0.25">
      <c r="I5302" s="17"/>
      <c r="J5302" s="18"/>
    </row>
    <row r="5303" spans="9:10" x14ac:dyDescent="0.25">
      <c r="I5303" s="17"/>
      <c r="J5303" s="18"/>
    </row>
    <row r="5304" spans="9:10" x14ac:dyDescent="0.25">
      <c r="I5304" s="17"/>
      <c r="J5304" s="18"/>
    </row>
    <row r="5305" spans="9:10" x14ac:dyDescent="0.25">
      <c r="I5305" s="17"/>
      <c r="J5305" s="18"/>
    </row>
    <row r="5306" spans="9:10" x14ac:dyDescent="0.25">
      <c r="I5306" s="17"/>
      <c r="J5306" s="18"/>
    </row>
    <row r="5307" spans="9:10" x14ac:dyDescent="0.25">
      <c r="I5307" s="17"/>
      <c r="J5307" s="18"/>
    </row>
    <row r="5308" spans="9:10" x14ac:dyDescent="0.25">
      <c r="I5308" s="17"/>
      <c r="J5308" s="18"/>
    </row>
    <row r="5309" spans="9:10" x14ac:dyDescent="0.25">
      <c r="I5309" s="17"/>
      <c r="J5309" s="18"/>
    </row>
    <row r="5310" spans="9:10" x14ac:dyDescent="0.25">
      <c r="I5310" s="17"/>
      <c r="J5310" s="18"/>
    </row>
    <row r="5311" spans="9:10" x14ac:dyDescent="0.25">
      <c r="I5311" s="17"/>
      <c r="J5311" s="18"/>
    </row>
    <row r="5312" spans="9:10" x14ac:dyDescent="0.25">
      <c r="I5312" s="17"/>
      <c r="J5312" s="18"/>
    </row>
    <row r="5313" spans="9:10" x14ac:dyDescent="0.25">
      <c r="I5313" s="17"/>
      <c r="J5313" s="18"/>
    </row>
    <row r="5314" spans="9:10" x14ac:dyDescent="0.25">
      <c r="I5314" s="17"/>
      <c r="J5314" s="18"/>
    </row>
    <row r="5315" spans="9:10" x14ac:dyDescent="0.25">
      <c r="I5315" s="17"/>
      <c r="J5315" s="18"/>
    </row>
    <row r="5316" spans="9:10" x14ac:dyDescent="0.25">
      <c r="I5316" s="17"/>
      <c r="J5316" s="18"/>
    </row>
    <row r="5317" spans="9:10" x14ac:dyDescent="0.25">
      <c r="I5317" s="17"/>
      <c r="J5317" s="18"/>
    </row>
    <row r="5318" spans="9:10" x14ac:dyDescent="0.25">
      <c r="I5318" s="17"/>
      <c r="J5318" s="18"/>
    </row>
    <row r="5319" spans="9:10" x14ac:dyDescent="0.25">
      <c r="I5319" s="17"/>
      <c r="J5319" s="18"/>
    </row>
    <row r="5320" spans="9:10" x14ac:dyDescent="0.25">
      <c r="I5320" s="17"/>
      <c r="J5320" s="18"/>
    </row>
    <row r="5321" spans="9:10" x14ac:dyDescent="0.25">
      <c r="I5321" s="17"/>
      <c r="J5321" s="18"/>
    </row>
    <row r="5322" spans="9:10" x14ac:dyDescent="0.25">
      <c r="I5322" s="17"/>
      <c r="J5322" s="18"/>
    </row>
    <row r="5323" spans="9:10" x14ac:dyDescent="0.25">
      <c r="I5323" s="17"/>
      <c r="J5323" s="18"/>
    </row>
    <row r="5324" spans="9:10" x14ac:dyDescent="0.25">
      <c r="I5324" s="17"/>
      <c r="J5324" s="18"/>
    </row>
    <row r="5325" spans="9:10" x14ac:dyDescent="0.25">
      <c r="I5325" s="17"/>
      <c r="J5325" s="18"/>
    </row>
    <row r="5326" spans="9:10" x14ac:dyDescent="0.25">
      <c r="I5326" s="17"/>
      <c r="J5326" s="18"/>
    </row>
    <row r="5327" spans="9:10" x14ac:dyDescent="0.25">
      <c r="I5327" s="17"/>
      <c r="J5327" s="18"/>
    </row>
    <row r="5328" spans="9:10" x14ac:dyDescent="0.25">
      <c r="I5328" s="17"/>
      <c r="J5328" s="18"/>
    </row>
    <row r="5329" spans="9:10" x14ac:dyDescent="0.25">
      <c r="I5329" s="17"/>
      <c r="J5329" s="18"/>
    </row>
    <row r="5330" spans="9:10" x14ac:dyDescent="0.25">
      <c r="I5330" s="17"/>
      <c r="J5330" s="18"/>
    </row>
    <row r="5331" spans="9:10" x14ac:dyDescent="0.25">
      <c r="I5331" s="17"/>
      <c r="J5331" s="18"/>
    </row>
    <row r="5332" spans="9:10" x14ac:dyDescent="0.25">
      <c r="I5332" s="17"/>
      <c r="J5332" s="18"/>
    </row>
    <row r="5333" spans="9:10" x14ac:dyDescent="0.25">
      <c r="I5333" s="17"/>
      <c r="J5333" s="18"/>
    </row>
    <row r="5334" spans="9:10" x14ac:dyDescent="0.25">
      <c r="I5334" s="17"/>
      <c r="J5334" s="18"/>
    </row>
    <row r="5335" spans="9:10" x14ac:dyDescent="0.25">
      <c r="I5335" s="17"/>
      <c r="J5335" s="18"/>
    </row>
    <row r="5336" spans="9:10" x14ac:dyDescent="0.25">
      <c r="I5336" s="17"/>
      <c r="J5336" s="18"/>
    </row>
    <row r="5337" spans="9:10" x14ac:dyDescent="0.25">
      <c r="I5337" s="17"/>
      <c r="J5337" s="18"/>
    </row>
    <row r="5338" spans="9:10" x14ac:dyDescent="0.25">
      <c r="I5338" s="17"/>
      <c r="J5338" s="18"/>
    </row>
    <row r="5339" spans="9:10" x14ac:dyDescent="0.25">
      <c r="I5339" s="17"/>
      <c r="J5339" s="18"/>
    </row>
    <row r="5340" spans="9:10" x14ac:dyDescent="0.25">
      <c r="I5340" s="17"/>
      <c r="J5340" s="18"/>
    </row>
    <row r="5341" spans="9:10" x14ac:dyDescent="0.25">
      <c r="I5341" s="17"/>
      <c r="J5341" s="18"/>
    </row>
    <row r="5342" spans="9:10" x14ac:dyDescent="0.25">
      <c r="I5342" s="17"/>
      <c r="J5342" s="18"/>
    </row>
    <row r="5343" spans="9:10" x14ac:dyDescent="0.25">
      <c r="I5343" s="17"/>
      <c r="J5343" s="18"/>
    </row>
    <row r="5344" spans="9:10" x14ac:dyDescent="0.25">
      <c r="I5344" s="17"/>
      <c r="J5344" s="18"/>
    </row>
    <row r="5345" spans="9:10" x14ac:dyDescent="0.25">
      <c r="I5345" s="17"/>
      <c r="J5345" s="18"/>
    </row>
    <row r="5346" spans="9:10" x14ac:dyDescent="0.25">
      <c r="I5346" s="17"/>
      <c r="J5346" s="18"/>
    </row>
    <row r="5347" spans="9:10" x14ac:dyDescent="0.25">
      <c r="I5347" s="17"/>
      <c r="J5347" s="18"/>
    </row>
    <row r="5348" spans="9:10" x14ac:dyDescent="0.25">
      <c r="I5348" s="17"/>
      <c r="J5348" s="18"/>
    </row>
    <row r="5349" spans="9:10" x14ac:dyDescent="0.25">
      <c r="I5349" s="17"/>
      <c r="J5349" s="18"/>
    </row>
    <row r="5350" spans="9:10" x14ac:dyDescent="0.25">
      <c r="I5350" s="17"/>
      <c r="J5350" s="18"/>
    </row>
    <row r="5351" spans="9:10" x14ac:dyDescent="0.25">
      <c r="I5351" s="17"/>
      <c r="J5351" s="18"/>
    </row>
    <row r="5352" spans="9:10" x14ac:dyDescent="0.25">
      <c r="I5352" s="17"/>
      <c r="J5352" s="18"/>
    </row>
    <row r="5353" spans="9:10" x14ac:dyDescent="0.25">
      <c r="I5353" s="17"/>
      <c r="J5353" s="18"/>
    </row>
    <row r="5354" spans="9:10" x14ac:dyDescent="0.25">
      <c r="I5354" s="17"/>
      <c r="J5354" s="18"/>
    </row>
    <row r="5355" spans="9:10" x14ac:dyDescent="0.25">
      <c r="I5355" s="17"/>
      <c r="J5355" s="18"/>
    </row>
    <row r="5356" spans="9:10" x14ac:dyDescent="0.25">
      <c r="I5356" s="17"/>
      <c r="J5356" s="18"/>
    </row>
    <row r="5357" spans="9:10" x14ac:dyDescent="0.25">
      <c r="I5357" s="17"/>
      <c r="J5357" s="18"/>
    </row>
    <row r="5358" spans="9:10" x14ac:dyDescent="0.25">
      <c r="I5358" s="17"/>
      <c r="J5358" s="18"/>
    </row>
    <row r="5359" spans="9:10" x14ac:dyDescent="0.25">
      <c r="I5359" s="17"/>
      <c r="J5359" s="18"/>
    </row>
    <row r="5360" spans="9:10" x14ac:dyDescent="0.25">
      <c r="I5360" s="17"/>
      <c r="J5360" s="18"/>
    </row>
    <row r="5361" spans="9:10" x14ac:dyDescent="0.25">
      <c r="I5361" s="17"/>
      <c r="J5361" s="18"/>
    </row>
    <row r="5362" spans="9:10" x14ac:dyDescent="0.25">
      <c r="I5362" s="17"/>
      <c r="J5362" s="18"/>
    </row>
    <row r="5363" spans="9:10" x14ac:dyDescent="0.25">
      <c r="I5363" s="17"/>
      <c r="J5363" s="18"/>
    </row>
    <row r="5364" spans="9:10" x14ac:dyDescent="0.25">
      <c r="I5364" s="17"/>
      <c r="J5364" s="18"/>
    </row>
    <row r="5365" spans="9:10" x14ac:dyDescent="0.25">
      <c r="I5365" s="17"/>
      <c r="J5365" s="18"/>
    </row>
    <row r="5366" spans="9:10" x14ac:dyDescent="0.25">
      <c r="I5366" s="17"/>
      <c r="J5366" s="18"/>
    </row>
    <row r="5367" spans="9:10" x14ac:dyDescent="0.25">
      <c r="I5367" s="17"/>
      <c r="J5367" s="18"/>
    </row>
    <row r="5368" spans="9:10" x14ac:dyDescent="0.25">
      <c r="I5368" s="17"/>
      <c r="J5368" s="18"/>
    </row>
    <row r="5369" spans="9:10" x14ac:dyDescent="0.25">
      <c r="I5369" s="17"/>
      <c r="J5369" s="18"/>
    </row>
    <row r="5370" spans="9:10" x14ac:dyDescent="0.25">
      <c r="I5370" s="17"/>
      <c r="J5370" s="18"/>
    </row>
    <row r="5371" spans="9:10" x14ac:dyDescent="0.25">
      <c r="I5371" s="17"/>
      <c r="J5371" s="18"/>
    </row>
    <row r="5372" spans="9:10" x14ac:dyDescent="0.25">
      <c r="I5372" s="17"/>
      <c r="J5372" s="18"/>
    </row>
    <row r="5373" spans="9:10" x14ac:dyDescent="0.25">
      <c r="I5373" s="17"/>
      <c r="J5373" s="18"/>
    </row>
    <row r="5374" spans="9:10" x14ac:dyDescent="0.25">
      <c r="I5374" s="17"/>
      <c r="J5374" s="18"/>
    </row>
    <row r="5375" spans="9:10" x14ac:dyDescent="0.25">
      <c r="I5375" s="17"/>
      <c r="J5375" s="18"/>
    </row>
    <row r="5376" spans="9:10" x14ac:dyDescent="0.25">
      <c r="I5376" s="17"/>
      <c r="J5376" s="18"/>
    </row>
    <row r="5377" spans="9:10" x14ac:dyDescent="0.25">
      <c r="I5377" s="17"/>
      <c r="J5377" s="18"/>
    </row>
    <row r="5378" spans="9:10" x14ac:dyDescent="0.25">
      <c r="I5378" s="17"/>
      <c r="J5378" s="18"/>
    </row>
    <row r="5379" spans="9:10" x14ac:dyDescent="0.25">
      <c r="I5379" s="17"/>
      <c r="J5379" s="18"/>
    </row>
    <row r="5380" spans="9:10" x14ac:dyDescent="0.25">
      <c r="I5380" s="17"/>
      <c r="J5380" s="18"/>
    </row>
    <row r="5381" spans="9:10" x14ac:dyDescent="0.25">
      <c r="I5381" s="17"/>
      <c r="J5381" s="18"/>
    </row>
    <row r="5382" spans="9:10" x14ac:dyDescent="0.25">
      <c r="I5382" s="17"/>
      <c r="J5382" s="18"/>
    </row>
    <row r="5383" spans="9:10" x14ac:dyDescent="0.25">
      <c r="I5383" s="17"/>
      <c r="J5383" s="18"/>
    </row>
    <row r="5384" spans="9:10" x14ac:dyDescent="0.25">
      <c r="I5384" s="17"/>
      <c r="J5384" s="18"/>
    </row>
    <row r="5385" spans="9:10" x14ac:dyDescent="0.25">
      <c r="I5385" s="17"/>
      <c r="J5385" s="18"/>
    </row>
    <row r="5386" spans="9:10" x14ac:dyDescent="0.25">
      <c r="I5386" s="17"/>
      <c r="J5386" s="18"/>
    </row>
    <row r="5387" spans="9:10" x14ac:dyDescent="0.25">
      <c r="I5387" s="17"/>
      <c r="J5387" s="18"/>
    </row>
    <row r="5388" spans="9:10" x14ac:dyDescent="0.25">
      <c r="I5388" s="17"/>
      <c r="J5388" s="18"/>
    </row>
    <row r="5389" spans="9:10" x14ac:dyDescent="0.25">
      <c r="I5389" s="17"/>
      <c r="J5389" s="18"/>
    </row>
    <row r="5390" spans="9:10" x14ac:dyDescent="0.25">
      <c r="I5390" s="17"/>
      <c r="J5390" s="18"/>
    </row>
    <row r="5391" spans="9:10" x14ac:dyDescent="0.25">
      <c r="I5391" s="17"/>
      <c r="J5391" s="18"/>
    </row>
    <row r="5392" spans="9:10" x14ac:dyDescent="0.25">
      <c r="I5392" s="17"/>
      <c r="J5392" s="18"/>
    </row>
    <row r="5393" spans="9:10" x14ac:dyDescent="0.25">
      <c r="I5393" s="17"/>
      <c r="J5393" s="18"/>
    </row>
    <row r="5394" spans="9:10" x14ac:dyDescent="0.25">
      <c r="I5394" s="17"/>
      <c r="J5394" s="18"/>
    </row>
    <row r="5395" spans="9:10" x14ac:dyDescent="0.25">
      <c r="I5395" s="17"/>
      <c r="J5395" s="18"/>
    </row>
    <row r="5396" spans="9:10" x14ac:dyDescent="0.25">
      <c r="I5396" s="17"/>
      <c r="J5396" s="18"/>
    </row>
    <row r="5397" spans="9:10" x14ac:dyDescent="0.25">
      <c r="I5397" s="17"/>
      <c r="J5397" s="18"/>
    </row>
    <row r="5398" spans="9:10" x14ac:dyDescent="0.25">
      <c r="I5398" s="17"/>
      <c r="J5398" s="18"/>
    </row>
    <row r="5399" spans="9:10" x14ac:dyDescent="0.25">
      <c r="I5399" s="17"/>
      <c r="J5399" s="18"/>
    </row>
    <row r="5400" spans="9:10" x14ac:dyDescent="0.25">
      <c r="I5400" s="17"/>
      <c r="J5400" s="18"/>
    </row>
    <row r="5401" spans="9:10" x14ac:dyDescent="0.25">
      <c r="I5401" s="17"/>
      <c r="J5401" s="18"/>
    </row>
    <row r="5402" spans="9:10" x14ac:dyDescent="0.25">
      <c r="I5402" s="17"/>
      <c r="J5402" s="18"/>
    </row>
    <row r="5403" spans="9:10" x14ac:dyDescent="0.25">
      <c r="I5403" s="17"/>
      <c r="J5403" s="18"/>
    </row>
    <row r="5404" spans="9:10" x14ac:dyDescent="0.25">
      <c r="I5404" s="17"/>
      <c r="J5404" s="18"/>
    </row>
    <row r="5405" spans="9:10" x14ac:dyDescent="0.25">
      <c r="I5405" s="17"/>
      <c r="J5405" s="18"/>
    </row>
    <row r="5406" spans="9:10" x14ac:dyDescent="0.25">
      <c r="I5406" s="17"/>
      <c r="J5406" s="18"/>
    </row>
    <row r="5407" spans="9:10" x14ac:dyDescent="0.25">
      <c r="I5407" s="17"/>
      <c r="J5407" s="18"/>
    </row>
    <row r="5408" spans="9:10" x14ac:dyDescent="0.25">
      <c r="I5408" s="17"/>
      <c r="J5408" s="18"/>
    </row>
    <row r="5409" spans="9:10" x14ac:dyDescent="0.25">
      <c r="I5409" s="17"/>
      <c r="J5409" s="18"/>
    </row>
    <row r="5410" spans="9:10" x14ac:dyDescent="0.25">
      <c r="I5410" s="17"/>
      <c r="J5410" s="18"/>
    </row>
    <row r="5411" spans="9:10" x14ac:dyDescent="0.25">
      <c r="I5411" s="17"/>
      <c r="J5411" s="18"/>
    </row>
    <row r="5412" spans="9:10" x14ac:dyDescent="0.25">
      <c r="I5412" s="17"/>
      <c r="J5412" s="18"/>
    </row>
    <row r="5413" spans="9:10" x14ac:dyDescent="0.25">
      <c r="I5413" s="17"/>
      <c r="J5413" s="18"/>
    </row>
    <row r="5414" spans="9:10" x14ac:dyDescent="0.25">
      <c r="I5414" s="17"/>
      <c r="J5414" s="18"/>
    </row>
    <row r="5415" spans="9:10" x14ac:dyDescent="0.25">
      <c r="I5415" s="17"/>
      <c r="J5415" s="18"/>
    </row>
    <row r="5416" spans="9:10" x14ac:dyDescent="0.25">
      <c r="I5416" s="17"/>
      <c r="J5416" s="18"/>
    </row>
    <row r="5417" spans="9:10" x14ac:dyDescent="0.25">
      <c r="I5417" s="17"/>
      <c r="J5417" s="18"/>
    </row>
    <row r="5418" spans="9:10" x14ac:dyDescent="0.25">
      <c r="I5418" s="17"/>
      <c r="J5418" s="18"/>
    </row>
    <row r="5419" spans="9:10" x14ac:dyDescent="0.25">
      <c r="I5419" s="17"/>
      <c r="J5419" s="18"/>
    </row>
    <row r="5420" spans="9:10" x14ac:dyDescent="0.25">
      <c r="I5420" s="17"/>
      <c r="J5420" s="18"/>
    </row>
    <row r="5421" spans="9:10" x14ac:dyDescent="0.25">
      <c r="I5421" s="17"/>
      <c r="J5421" s="18"/>
    </row>
    <row r="5422" spans="9:10" x14ac:dyDescent="0.25">
      <c r="I5422" s="17"/>
      <c r="J5422" s="18"/>
    </row>
    <row r="5423" spans="9:10" x14ac:dyDescent="0.25">
      <c r="I5423" s="17"/>
      <c r="J5423" s="18"/>
    </row>
    <row r="5424" spans="9:10" x14ac:dyDescent="0.25">
      <c r="I5424" s="17"/>
      <c r="J5424" s="18"/>
    </row>
    <row r="5425" spans="9:10" x14ac:dyDescent="0.25">
      <c r="I5425" s="17"/>
      <c r="J5425" s="18"/>
    </row>
    <row r="5426" spans="9:10" x14ac:dyDescent="0.25">
      <c r="I5426" s="17"/>
      <c r="J5426" s="18"/>
    </row>
    <row r="5427" spans="9:10" x14ac:dyDescent="0.25">
      <c r="I5427" s="17"/>
      <c r="J5427" s="18"/>
    </row>
    <row r="5428" spans="9:10" x14ac:dyDescent="0.25">
      <c r="I5428" s="17"/>
      <c r="J5428" s="18"/>
    </row>
    <row r="5429" spans="9:10" x14ac:dyDescent="0.25">
      <c r="I5429" s="17"/>
      <c r="J5429" s="18"/>
    </row>
    <row r="5430" spans="9:10" x14ac:dyDescent="0.25">
      <c r="I5430" s="17"/>
      <c r="J5430" s="18"/>
    </row>
    <row r="5431" spans="9:10" x14ac:dyDescent="0.25">
      <c r="I5431" s="17"/>
      <c r="J5431" s="18"/>
    </row>
    <row r="5432" spans="9:10" x14ac:dyDescent="0.25">
      <c r="I5432" s="17"/>
      <c r="J5432" s="18"/>
    </row>
    <row r="5433" spans="9:10" x14ac:dyDescent="0.25">
      <c r="I5433" s="17"/>
      <c r="J5433" s="18"/>
    </row>
    <row r="5434" spans="9:10" x14ac:dyDescent="0.25">
      <c r="I5434" s="17"/>
      <c r="J5434" s="18"/>
    </row>
    <row r="5435" spans="9:10" x14ac:dyDescent="0.25">
      <c r="I5435" s="17"/>
      <c r="J5435" s="18"/>
    </row>
    <row r="5436" spans="9:10" x14ac:dyDescent="0.25">
      <c r="I5436" s="17"/>
      <c r="J5436" s="18"/>
    </row>
    <row r="5437" spans="9:10" x14ac:dyDescent="0.25">
      <c r="I5437" s="17"/>
      <c r="J5437" s="18"/>
    </row>
    <row r="5438" spans="9:10" x14ac:dyDescent="0.25">
      <c r="I5438" s="17"/>
      <c r="J5438" s="18"/>
    </row>
    <row r="5439" spans="9:10" x14ac:dyDescent="0.25">
      <c r="I5439" s="17"/>
      <c r="J5439" s="18"/>
    </row>
    <row r="5440" spans="9:10" x14ac:dyDescent="0.25">
      <c r="I5440" s="17"/>
      <c r="J5440" s="18"/>
    </row>
    <row r="5441" spans="9:10" x14ac:dyDescent="0.25">
      <c r="I5441" s="17"/>
      <c r="J5441" s="18"/>
    </row>
    <row r="5442" spans="9:10" x14ac:dyDescent="0.25">
      <c r="I5442" s="17"/>
      <c r="J5442" s="18"/>
    </row>
    <row r="5443" spans="9:10" x14ac:dyDescent="0.25">
      <c r="I5443" s="17"/>
      <c r="J5443" s="18"/>
    </row>
    <row r="5444" spans="9:10" x14ac:dyDescent="0.25">
      <c r="I5444" s="17"/>
      <c r="J5444" s="18"/>
    </row>
    <row r="5445" spans="9:10" x14ac:dyDescent="0.25">
      <c r="I5445" s="17"/>
      <c r="J5445" s="18"/>
    </row>
    <row r="5446" spans="9:10" x14ac:dyDescent="0.25">
      <c r="I5446" s="17"/>
      <c r="J5446" s="18"/>
    </row>
    <row r="5447" spans="9:10" x14ac:dyDescent="0.25">
      <c r="I5447" s="17"/>
      <c r="J5447" s="18"/>
    </row>
    <row r="5448" spans="9:10" x14ac:dyDescent="0.25">
      <c r="I5448" s="17"/>
      <c r="J5448" s="18"/>
    </row>
    <row r="5449" spans="9:10" x14ac:dyDescent="0.25">
      <c r="I5449" s="17"/>
      <c r="J5449" s="18"/>
    </row>
    <row r="5450" spans="9:10" x14ac:dyDescent="0.25">
      <c r="I5450" s="17"/>
      <c r="J5450" s="18"/>
    </row>
    <row r="5451" spans="9:10" x14ac:dyDescent="0.25">
      <c r="I5451" s="17"/>
      <c r="J5451" s="18"/>
    </row>
    <row r="5452" spans="9:10" x14ac:dyDescent="0.25">
      <c r="I5452" s="17"/>
      <c r="J5452" s="18"/>
    </row>
    <row r="5453" spans="9:10" x14ac:dyDescent="0.25">
      <c r="I5453" s="17"/>
      <c r="J5453" s="18"/>
    </row>
    <row r="5454" spans="9:10" x14ac:dyDescent="0.25">
      <c r="I5454" s="17"/>
      <c r="J5454" s="18"/>
    </row>
    <row r="5455" spans="9:10" x14ac:dyDescent="0.25">
      <c r="I5455" s="17"/>
      <c r="J5455" s="18"/>
    </row>
    <row r="5456" spans="9:10" x14ac:dyDescent="0.25">
      <c r="I5456" s="17"/>
      <c r="J5456" s="18"/>
    </row>
    <row r="5457" spans="9:10" x14ac:dyDescent="0.25">
      <c r="I5457" s="17"/>
      <c r="J5457" s="18"/>
    </row>
    <row r="5458" spans="9:10" x14ac:dyDescent="0.25">
      <c r="I5458" s="17"/>
      <c r="J5458" s="18"/>
    </row>
    <row r="5459" spans="9:10" x14ac:dyDescent="0.25">
      <c r="I5459" s="17"/>
      <c r="J5459" s="18"/>
    </row>
    <row r="5460" spans="9:10" x14ac:dyDescent="0.25">
      <c r="I5460" s="17"/>
      <c r="J5460" s="18"/>
    </row>
    <row r="5461" spans="9:10" x14ac:dyDescent="0.25">
      <c r="I5461" s="17"/>
      <c r="J5461" s="18"/>
    </row>
    <row r="5462" spans="9:10" x14ac:dyDescent="0.25">
      <c r="I5462" s="17"/>
      <c r="J5462" s="18"/>
    </row>
    <row r="5463" spans="9:10" x14ac:dyDescent="0.25">
      <c r="I5463" s="17"/>
      <c r="J5463" s="18"/>
    </row>
    <row r="5464" spans="9:10" x14ac:dyDescent="0.25">
      <c r="I5464" s="17"/>
      <c r="J5464" s="18"/>
    </row>
    <row r="5465" spans="9:10" x14ac:dyDescent="0.25">
      <c r="I5465" s="17"/>
      <c r="J5465" s="18"/>
    </row>
    <row r="5466" spans="9:10" x14ac:dyDescent="0.25">
      <c r="I5466" s="17"/>
      <c r="J5466" s="18"/>
    </row>
    <row r="5467" spans="9:10" x14ac:dyDescent="0.25">
      <c r="I5467" s="17"/>
      <c r="J5467" s="18"/>
    </row>
    <row r="5468" spans="9:10" x14ac:dyDescent="0.25">
      <c r="I5468" s="17"/>
      <c r="J5468" s="18"/>
    </row>
    <row r="5469" spans="9:10" x14ac:dyDescent="0.25">
      <c r="I5469" s="17"/>
      <c r="J5469" s="18"/>
    </row>
    <row r="5470" spans="9:10" x14ac:dyDescent="0.25">
      <c r="I5470" s="17"/>
      <c r="J5470" s="18"/>
    </row>
    <row r="5471" spans="9:10" x14ac:dyDescent="0.25">
      <c r="I5471" s="17"/>
      <c r="J5471" s="18"/>
    </row>
    <row r="5472" spans="9:10" x14ac:dyDescent="0.25">
      <c r="I5472" s="17"/>
      <c r="J5472" s="18"/>
    </row>
    <row r="5473" spans="9:10" x14ac:dyDescent="0.25">
      <c r="I5473" s="17"/>
      <c r="J5473" s="18"/>
    </row>
    <row r="5474" spans="9:10" x14ac:dyDescent="0.25">
      <c r="I5474" s="17"/>
      <c r="J5474" s="18"/>
    </row>
    <row r="5475" spans="9:10" x14ac:dyDescent="0.25">
      <c r="I5475" s="17"/>
      <c r="J5475" s="18"/>
    </row>
    <row r="5476" spans="9:10" x14ac:dyDescent="0.25">
      <c r="I5476" s="17"/>
      <c r="J5476" s="18"/>
    </row>
    <row r="5477" spans="9:10" x14ac:dyDescent="0.25">
      <c r="I5477" s="17"/>
      <c r="J5477" s="18"/>
    </row>
    <row r="5478" spans="9:10" x14ac:dyDescent="0.25">
      <c r="I5478" s="17"/>
      <c r="J5478" s="18"/>
    </row>
    <row r="5479" spans="9:10" x14ac:dyDescent="0.25">
      <c r="I5479" s="17"/>
      <c r="J5479" s="18"/>
    </row>
    <row r="5480" spans="9:10" x14ac:dyDescent="0.25">
      <c r="I5480" s="17"/>
      <c r="J5480" s="18"/>
    </row>
    <row r="5481" spans="9:10" x14ac:dyDescent="0.25">
      <c r="I5481" s="17"/>
      <c r="J5481" s="18"/>
    </row>
    <row r="5482" spans="9:10" x14ac:dyDescent="0.25">
      <c r="I5482" s="17"/>
      <c r="J5482" s="18"/>
    </row>
    <row r="5483" spans="9:10" x14ac:dyDescent="0.25">
      <c r="I5483" s="17"/>
      <c r="J5483" s="18"/>
    </row>
    <row r="5484" spans="9:10" x14ac:dyDescent="0.25">
      <c r="I5484" s="17"/>
      <c r="J5484" s="18"/>
    </row>
    <row r="5485" spans="9:10" x14ac:dyDescent="0.25">
      <c r="I5485" s="17"/>
      <c r="J5485" s="18"/>
    </row>
    <row r="5486" spans="9:10" x14ac:dyDescent="0.25">
      <c r="I5486" s="17"/>
      <c r="J5486" s="18"/>
    </row>
    <row r="5487" spans="9:10" x14ac:dyDescent="0.25">
      <c r="I5487" s="17"/>
      <c r="J5487" s="18"/>
    </row>
    <row r="5488" spans="9:10" x14ac:dyDescent="0.25">
      <c r="I5488" s="17"/>
      <c r="J5488" s="18"/>
    </row>
    <row r="5489" spans="9:10" x14ac:dyDescent="0.25">
      <c r="I5489" s="17"/>
      <c r="J5489" s="18"/>
    </row>
    <row r="5490" spans="9:10" x14ac:dyDescent="0.25">
      <c r="I5490" s="17"/>
      <c r="J5490" s="18"/>
    </row>
    <row r="5491" spans="9:10" x14ac:dyDescent="0.25">
      <c r="I5491" s="17"/>
      <c r="J5491" s="18"/>
    </row>
    <row r="5492" spans="9:10" x14ac:dyDescent="0.25">
      <c r="I5492" s="17"/>
      <c r="J5492" s="18"/>
    </row>
    <row r="5493" spans="9:10" x14ac:dyDescent="0.25">
      <c r="I5493" s="17"/>
      <c r="J5493" s="18"/>
    </row>
    <row r="5494" spans="9:10" x14ac:dyDescent="0.25">
      <c r="I5494" s="17"/>
      <c r="J5494" s="18"/>
    </row>
    <row r="5495" spans="9:10" x14ac:dyDescent="0.25">
      <c r="I5495" s="17"/>
      <c r="J5495" s="18"/>
    </row>
    <row r="5496" spans="9:10" x14ac:dyDescent="0.25">
      <c r="I5496" s="17"/>
      <c r="J5496" s="18"/>
    </row>
    <row r="5497" spans="9:10" x14ac:dyDescent="0.25">
      <c r="I5497" s="17"/>
      <c r="J5497" s="18"/>
    </row>
    <row r="5498" spans="9:10" x14ac:dyDescent="0.25">
      <c r="I5498" s="17"/>
      <c r="J5498" s="18"/>
    </row>
    <row r="5499" spans="9:10" x14ac:dyDescent="0.25">
      <c r="I5499" s="17"/>
      <c r="J5499" s="18"/>
    </row>
    <row r="5500" spans="9:10" x14ac:dyDescent="0.25">
      <c r="I5500" s="17"/>
      <c r="J5500" s="18"/>
    </row>
    <row r="5501" spans="9:10" x14ac:dyDescent="0.25">
      <c r="I5501" s="17"/>
      <c r="J5501" s="18"/>
    </row>
    <row r="5502" spans="9:10" x14ac:dyDescent="0.25">
      <c r="I5502" s="17"/>
      <c r="J5502" s="18"/>
    </row>
    <row r="5503" spans="9:10" x14ac:dyDescent="0.25">
      <c r="I5503" s="17"/>
      <c r="J5503" s="18"/>
    </row>
    <row r="5504" spans="9:10" x14ac:dyDescent="0.25">
      <c r="I5504" s="17"/>
      <c r="J5504" s="18"/>
    </row>
    <row r="5505" spans="9:10" x14ac:dyDescent="0.25">
      <c r="I5505" s="17"/>
      <c r="J5505" s="18"/>
    </row>
    <row r="5506" spans="9:10" x14ac:dyDescent="0.25">
      <c r="I5506" s="17"/>
      <c r="J5506" s="18"/>
    </row>
    <row r="5507" spans="9:10" x14ac:dyDescent="0.25">
      <c r="I5507" s="17"/>
      <c r="J5507" s="18"/>
    </row>
    <row r="5508" spans="9:10" x14ac:dyDescent="0.25">
      <c r="I5508" s="17"/>
      <c r="J5508" s="18"/>
    </row>
    <row r="5509" spans="9:10" x14ac:dyDescent="0.25">
      <c r="I5509" s="17"/>
      <c r="J5509" s="18"/>
    </row>
    <row r="5510" spans="9:10" x14ac:dyDescent="0.25">
      <c r="I5510" s="17"/>
      <c r="J5510" s="18"/>
    </row>
    <row r="5511" spans="9:10" x14ac:dyDescent="0.25">
      <c r="I5511" s="17"/>
      <c r="J5511" s="18"/>
    </row>
    <row r="5512" spans="9:10" x14ac:dyDescent="0.25">
      <c r="I5512" s="17"/>
      <c r="J5512" s="18"/>
    </row>
    <row r="5513" spans="9:10" x14ac:dyDescent="0.25">
      <c r="I5513" s="17"/>
      <c r="J5513" s="18"/>
    </row>
    <row r="5514" spans="9:10" x14ac:dyDescent="0.25">
      <c r="I5514" s="17"/>
      <c r="J5514" s="18"/>
    </row>
    <row r="5515" spans="9:10" x14ac:dyDescent="0.25">
      <c r="I5515" s="17"/>
      <c r="J5515" s="18"/>
    </row>
    <row r="5516" spans="9:10" x14ac:dyDescent="0.25">
      <c r="I5516" s="17"/>
      <c r="J5516" s="18"/>
    </row>
    <row r="5517" spans="9:10" x14ac:dyDescent="0.25">
      <c r="I5517" s="17"/>
      <c r="J5517" s="18"/>
    </row>
    <row r="5518" spans="9:10" x14ac:dyDescent="0.25">
      <c r="I5518" s="17"/>
      <c r="J5518" s="18"/>
    </row>
    <row r="5519" spans="9:10" x14ac:dyDescent="0.25">
      <c r="I5519" s="17"/>
      <c r="J5519" s="18"/>
    </row>
    <row r="5520" spans="9:10" x14ac:dyDescent="0.25">
      <c r="I5520" s="17"/>
      <c r="J5520" s="18"/>
    </row>
    <row r="5521" spans="9:10" x14ac:dyDescent="0.25">
      <c r="I5521" s="17"/>
      <c r="J5521" s="18"/>
    </row>
    <row r="5522" spans="9:10" x14ac:dyDescent="0.25">
      <c r="I5522" s="17"/>
      <c r="J5522" s="18"/>
    </row>
    <row r="5523" spans="9:10" x14ac:dyDescent="0.25">
      <c r="I5523" s="17"/>
      <c r="J5523" s="18"/>
    </row>
    <row r="5524" spans="9:10" x14ac:dyDescent="0.25">
      <c r="I5524" s="17"/>
      <c r="J5524" s="18"/>
    </row>
    <row r="5525" spans="9:10" x14ac:dyDescent="0.25">
      <c r="I5525" s="17"/>
      <c r="J5525" s="18"/>
    </row>
    <row r="5526" spans="9:10" x14ac:dyDescent="0.25">
      <c r="I5526" s="17"/>
      <c r="J5526" s="18"/>
    </row>
    <row r="5527" spans="9:10" x14ac:dyDescent="0.25">
      <c r="I5527" s="17"/>
      <c r="J5527" s="18"/>
    </row>
    <row r="5528" spans="9:10" x14ac:dyDescent="0.25">
      <c r="I5528" s="17"/>
      <c r="J5528" s="18"/>
    </row>
    <row r="5529" spans="9:10" x14ac:dyDescent="0.25">
      <c r="I5529" s="17"/>
      <c r="J5529" s="18"/>
    </row>
    <row r="5530" spans="9:10" x14ac:dyDescent="0.25">
      <c r="I5530" s="17"/>
      <c r="J5530" s="18"/>
    </row>
    <row r="5531" spans="9:10" x14ac:dyDescent="0.25">
      <c r="I5531" s="17"/>
      <c r="J5531" s="18"/>
    </row>
    <row r="5532" spans="9:10" x14ac:dyDescent="0.25">
      <c r="I5532" s="17"/>
      <c r="J5532" s="18"/>
    </row>
    <row r="5533" spans="9:10" x14ac:dyDescent="0.25">
      <c r="I5533" s="17"/>
      <c r="J5533" s="18"/>
    </row>
    <row r="5534" spans="9:10" x14ac:dyDescent="0.25">
      <c r="I5534" s="17"/>
      <c r="J5534" s="18"/>
    </row>
    <row r="5535" spans="9:10" x14ac:dyDescent="0.25">
      <c r="I5535" s="17"/>
      <c r="J5535" s="18"/>
    </row>
    <row r="5536" spans="9:10" x14ac:dyDescent="0.25">
      <c r="I5536" s="17"/>
      <c r="J5536" s="18"/>
    </row>
    <row r="5537" spans="9:10" x14ac:dyDescent="0.25">
      <c r="I5537" s="17"/>
      <c r="J5537" s="18"/>
    </row>
    <row r="5538" spans="9:10" x14ac:dyDescent="0.25">
      <c r="I5538" s="17"/>
      <c r="J5538" s="18"/>
    </row>
    <row r="5539" spans="9:10" x14ac:dyDescent="0.25">
      <c r="I5539" s="17"/>
      <c r="J5539" s="18"/>
    </row>
    <row r="5540" spans="9:10" x14ac:dyDescent="0.25">
      <c r="I5540" s="17"/>
      <c r="J5540" s="18"/>
    </row>
    <row r="5541" spans="9:10" x14ac:dyDescent="0.25">
      <c r="I5541" s="17"/>
      <c r="J5541" s="18"/>
    </row>
    <row r="5542" spans="9:10" x14ac:dyDescent="0.25">
      <c r="I5542" s="17"/>
      <c r="J5542" s="18"/>
    </row>
    <row r="5543" spans="9:10" x14ac:dyDescent="0.25">
      <c r="I5543" s="17"/>
      <c r="J5543" s="18"/>
    </row>
    <row r="5544" spans="9:10" x14ac:dyDescent="0.25">
      <c r="I5544" s="17"/>
      <c r="J5544" s="18"/>
    </row>
    <row r="5545" spans="9:10" x14ac:dyDescent="0.25">
      <c r="I5545" s="17"/>
      <c r="J5545" s="18"/>
    </row>
    <row r="5546" spans="9:10" x14ac:dyDescent="0.25">
      <c r="I5546" s="17"/>
      <c r="J5546" s="18"/>
    </row>
    <row r="5547" spans="9:10" x14ac:dyDescent="0.25">
      <c r="I5547" s="17"/>
      <c r="J5547" s="18"/>
    </row>
    <row r="5548" spans="9:10" x14ac:dyDescent="0.25">
      <c r="I5548" s="17"/>
      <c r="J5548" s="18"/>
    </row>
    <row r="5549" spans="9:10" x14ac:dyDescent="0.25">
      <c r="I5549" s="17"/>
      <c r="J5549" s="18"/>
    </row>
    <row r="5550" spans="9:10" x14ac:dyDescent="0.25">
      <c r="I5550" s="17"/>
      <c r="J5550" s="18"/>
    </row>
    <row r="5551" spans="9:10" x14ac:dyDescent="0.25">
      <c r="I5551" s="17"/>
      <c r="J5551" s="18"/>
    </row>
    <row r="5552" spans="9:10" x14ac:dyDescent="0.25">
      <c r="I5552" s="17"/>
      <c r="J5552" s="18"/>
    </row>
    <row r="5553" spans="9:10" x14ac:dyDescent="0.25">
      <c r="I5553" s="17"/>
      <c r="J5553" s="18"/>
    </row>
    <row r="5554" spans="9:10" x14ac:dyDescent="0.25">
      <c r="I5554" s="17"/>
      <c r="J5554" s="18"/>
    </row>
    <row r="5555" spans="9:10" x14ac:dyDescent="0.25">
      <c r="I5555" s="17"/>
      <c r="J5555" s="18"/>
    </row>
    <row r="5556" spans="9:10" x14ac:dyDescent="0.25">
      <c r="I5556" s="17"/>
      <c r="J5556" s="18"/>
    </row>
    <row r="5557" spans="9:10" x14ac:dyDescent="0.25">
      <c r="I5557" s="17"/>
      <c r="J5557" s="18"/>
    </row>
    <row r="5558" spans="9:10" x14ac:dyDescent="0.25">
      <c r="I5558" s="17"/>
      <c r="J5558" s="18"/>
    </row>
    <row r="5559" spans="9:10" x14ac:dyDescent="0.25">
      <c r="I5559" s="17"/>
      <c r="J5559" s="18"/>
    </row>
    <row r="5560" spans="9:10" x14ac:dyDescent="0.25">
      <c r="I5560" s="17"/>
      <c r="J5560" s="18"/>
    </row>
    <row r="5561" spans="9:10" x14ac:dyDescent="0.25">
      <c r="I5561" s="17"/>
      <c r="J5561" s="18"/>
    </row>
    <row r="5562" spans="9:10" x14ac:dyDescent="0.25">
      <c r="I5562" s="17"/>
      <c r="J5562" s="18"/>
    </row>
    <row r="5563" spans="9:10" x14ac:dyDescent="0.25">
      <c r="I5563" s="17"/>
      <c r="J5563" s="18"/>
    </row>
    <row r="5564" spans="9:10" x14ac:dyDescent="0.25">
      <c r="I5564" s="17"/>
      <c r="J5564" s="18"/>
    </row>
    <row r="5565" spans="9:10" x14ac:dyDescent="0.25">
      <c r="I5565" s="17"/>
      <c r="J5565" s="18"/>
    </row>
    <row r="5566" spans="9:10" x14ac:dyDescent="0.25">
      <c r="I5566" s="17"/>
      <c r="J5566" s="18"/>
    </row>
    <row r="5567" spans="9:10" x14ac:dyDescent="0.25">
      <c r="I5567" s="17"/>
      <c r="J5567" s="18"/>
    </row>
    <row r="5568" spans="9:10" x14ac:dyDescent="0.25">
      <c r="I5568" s="17"/>
      <c r="J5568" s="18"/>
    </row>
    <row r="5569" spans="9:10" x14ac:dyDescent="0.25">
      <c r="I5569" s="17"/>
      <c r="J5569" s="18"/>
    </row>
    <row r="5570" spans="9:10" x14ac:dyDescent="0.25">
      <c r="I5570" s="17"/>
      <c r="J5570" s="18"/>
    </row>
    <row r="5571" spans="9:10" x14ac:dyDescent="0.25">
      <c r="I5571" s="17"/>
      <c r="J5571" s="18"/>
    </row>
    <row r="5572" spans="9:10" x14ac:dyDescent="0.25">
      <c r="I5572" s="17"/>
      <c r="J5572" s="18"/>
    </row>
    <row r="5573" spans="9:10" x14ac:dyDescent="0.25">
      <c r="I5573" s="17"/>
      <c r="J5573" s="18"/>
    </row>
    <row r="5574" spans="9:10" x14ac:dyDescent="0.25">
      <c r="I5574" s="17"/>
      <c r="J5574" s="18"/>
    </row>
    <row r="5575" spans="9:10" x14ac:dyDescent="0.25">
      <c r="I5575" s="17"/>
      <c r="J5575" s="18"/>
    </row>
    <row r="5576" spans="9:10" x14ac:dyDescent="0.25">
      <c r="I5576" s="17"/>
      <c r="J5576" s="18"/>
    </row>
    <row r="5577" spans="9:10" x14ac:dyDescent="0.25">
      <c r="I5577" s="17"/>
      <c r="J5577" s="18"/>
    </row>
    <row r="5578" spans="9:10" x14ac:dyDescent="0.25">
      <c r="I5578" s="17"/>
      <c r="J5578" s="18"/>
    </row>
    <row r="5579" spans="9:10" x14ac:dyDescent="0.25">
      <c r="I5579" s="17"/>
      <c r="J5579" s="18"/>
    </row>
    <row r="5580" spans="9:10" x14ac:dyDescent="0.25">
      <c r="I5580" s="17"/>
      <c r="J5580" s="18"/>
    </row>
    <row r="5581" spans="9:10" x14ac:dyDescent="0.25">
      <c r="I5581" s="17"/>
      <c r="J5581" s="18"/>
    </row>
    <row r="5582" spans="9:10" x14ac:dyDescent="0.25">
      <c r="I5582" s="17"/>
      <c r="J5582" s="18"/>
    </row>
    <row r="5583" spans="9:10" x14ac:dyDescent="0.25">
      <c r="I5583" s="17"/>
      <c r="J5583" s="18"/>
    </row>
    <row r="5584" spans="9:10" x14ac:dyDescent="0.25">
      <c r="I5584" s="17"/>
      <c r="J5584" s="18"/>
    </row>
    <row r="5585" spans="9:10" x14ac:dyDescent="0.25">
      <c r="I5585" s="17"/>
      <c r="J5585" s="18"/>
    </row>
    <row r="5586" spans="9:10" x14ac:dyDescent="0.25">
      <c r="I5586" s="17"/>
      <c r="J5586" s="18"/>
    </row>
    <row r="5587" spans="9:10" x14ac:dyDescent="0.25">
      <c r="I5587" s="17"/>
      <c r="J5587" s="18"/>
    </row>
    <row r="5588" spans="9:10" x14ac:dyDescent="0.25">
      <c r="I5588" s="17"/>
      <c r="J5588" s="18"/>
    </row>
    <row r="5589" spans="9:10" x14ac:dyDescent="0.25">
      <c r="I5589" s="17"/>
      <c r="J5589" s="18"/>
    </row>
    <row r="5590" spans="9:10" x14ac:dyDescent="0.25">
      <c r="I5590" s="17"/>
      <c r="J5590" s="18"/>
    </row>
    <row r="5591" spans="9:10" x14ac:dyDescent="0.25">
      <c r="I5591" s="17"/>
      <c r="J5591" s="18"/>
    </row>
    <row r="5592" spans="9:10" x14ac:dyDescent="0.25">
      <c r="I5592" s="17"/>
      <c r="J5592" s="18"/>
    </row>
    <row r="5593" spans="9:10" x14ac:dyDescent="0.25">
      <c r="I5593" s="17"/>
      <c r="J5593" s="18"/>
    </row>
    <row r="5594" spans="9:10" x14ac:dyDescent="0.25">
      <c r="I5594" s="17"/>
      <c r="J5594" s="18"/>
    </row>
    <row r="5595" spans="9:10" x14ac:dyDescent="0.25">
      <c r="I5595" s="17"/>
      <c r="J5595" s="18"/>
    </row>
    <row r="5596" spans="9:10" x14ac:dyDescent="0.25">
      <c r="I5596" s="17"/>
      <c r="J5596" s="18"/>
    </row>
    <row r="5597" spans="9:10" x14ac:dyDescent="0.25">
      <c r="I5597" s="17"/>
      <c r="J5597" s="18"/>
    </row>
    <row r="5598" spans="9:10" x14ac:dyDescent="0.25">
      <c r="I5598" s="17"/>
      <c r="J5598" s="18"/>
    </row>
    <row r="5599" spans="9:10" x14ac:dyDescent="0.25">
      <c r="I5599" s="17"/>
      <c r="J5599" s="18"/>
    </row>
    <row r="5600" spans="9:10" x14ac:dyDescent="0.25">
      <c r="I5600" s="17"/>
      <c r="J5600" s="18"/>
    </row>
    <row r="5601" spans="9:10" x14ac:dyDescent="0.25">
      <c r="I5601" s="17"/>
      <c r="J5601" s="18"/>
    </row>
    <row r="5602" spans="9:10" x14ac:dyDescent="0.25">
      <c r="I5602" s="17"/>
      <c r="J5602" s="18"/>
    </row>
    <row r="5603" spans="9:10" x14ac:dyDescent="0.25">
      <c r="I5603" s="17"/>
      <c r="J5603" s="18"/>
    </row>
    <row r="5604" spans="9:10" x14ac:dyDescent="0.25">
      <c r="I5604" s="17"/>
      <c r="J5604" s="18"/>
    </row>
    <row r="5605" spans="9:10" x14ac:dyDescent="0.25">
      <c r="I5605" s="17"/>
      <c r="J5605" s="18"/>
    </row>
    <row r="5606" spans="9:10" x14ac:dyDescent="0.25">
      <c r="I5606" s="17"/>
      <c r="J5606" s="18"/>
    </row>
    <row r="5607" spans="9:10" x14ac:dyDescent="0.25">
      <c r="I5607" s="17"/>
      <c r="J5607" s="18"/>
    </row>
    <row r="5608" spans="9:10" x14ac:dyDescent="0.25">
      <c r="I5608" s="17"/>
      <c r="J5608" s="18"/>
    </row>
    <row r="5609" spans="9:10" x14ac:dyDescent="0.25">
      <c r="I5609" s="17"/>
      <c r="J5609" s="18"/>
    </row>
    <row r="5610" spans="9:10" x14ac:dyDescent="0.25">
      <c r="I5610" s="17"/>
      <c r="J5610" s="18"/>
    </row>
    <row r="5611" spans="9:10" x14ac:dyDescent="0.25">
      <c r="I5611" s="17"/>
      <c r="J5611" s="18"/>
    </row>
    <row r="5612" spans="9:10" x14ac:dyDescent="0.25">
      <c r="I5612" s="17"/>
      <c r="J5612" s="18"/>
    </row>
    <row r="5613" spans="9:10" x14ac:dyDescent="0.25">
      <c r="I5613" s="17"/>
      <c r="J5613" s="18"/>
    </row>
    <row r="5614" spans="9:10" x14ac:dyDescent="0.25">
      <c r="I5614" s="17"/>
      <c r="J5614" s="18"/>
    </row>
    <row r="5615" spans="9:10" x14ac:dyDescent="0.25">
      <c r="I5615" s="17"/>
      <c r="J5615" s="18"/>
    </row>
    <row r="5616" spans="9:10" x14ac:dyDescent="0.25">
      <c r="I5616" s="17"/>
      <c r="J5616" s="18"/>
    </row>
    <row r="5617" spans="9:10" x14ac:dyDescent="0.25">
      <c r="I5617" s="17"/>
      <c r="J5617" s="18"/>
    </row>
    <row r="5618" spans="9:10" x14ac:dyDescent="0.25">
      <c r="I5618" s="17"/>
      <c r="J5618" s="18"/>
    </row>
    <row r="5619" spans="9:10" x14ac:dyDescent="0.25">
      <c r="I5619" s="17"/>
      <c r="J5619" s="18"/>
    </row>
    <row r="5620" spans="9:10" x14ac:dyDescent="0.25">
      <c r="I5620" s="17"/>
      <c r="J5620" s="18"/>
    </row>
    <row r="5621" spans="9:10" x14ac:dyDescent="0.25">
      <c r="I5621" s="17"/>
      <c r="J5621" s="18"/>
    </row>
    <row r="5622" spans="9:10" x14ac:dyDescent="0.25">
      <c r="I5622" s="17"/>
      <c r="J5622" s="18"/>
    </row>
    <row r="5623" spans="9:10" x14ac:dyDescent="0.25">
      <c r="I5623" s="17"/>
      <c r="J5623" s="18"/>
    </row>
    <row r="5624" spans="9:10" x14ac:dyDescent="0.25">
      <c r="I5624" s="17"/>
      <c r="J5624" s="18"/>
    </row>
    <row r="5625" spans="9:10" x14ac:dyDescent="0.25">
      <c r="I5625" s="17"/>
      <c r="J5625" s="18"/>
    </row>
    <row r="5626" spans="9:10" x14ac:dyDescent="0.25">
      <c r="I5626" s="17"/>
      <c r="J5626" s="18"/>
    </row>
    <row r="5627" spans="9:10" x14ac:dyDescent="0.25">
      <c r="I5627" s="17"/>
      <c r="J5627" s="18"/>
    </row>
    <row r="5628" spans="9:10" x14ac:dyDescent="0.25">
      <c r="I5628" s="17"/>
      <c r="J5628" s="18"/>
    </row>
    <row r="5629" spans="9:10" x14ac:dyDescent="0.25">
      <c r="I5629" s="17"/>
      <c r="J5629" s="18"/>
    </row>
    <row r="5630" spans="9:10" x14ac:dyDescent="0.25">
      <c r="I5630" s="17"/>
      <c r="J5630" s="18"/>
    </row>
    <row r="5631" spans="9:10" x14ac:dyDescent="0.25">
      <c r="I5631" s="17"/>
      <c r="J5631" s="18"/>
    </row>
    <row r="5632" spans="9:10" x14ac:dyDescent="0.25">
      <c r="I5632" s="17"/>
      <c r="J5632" s="18"/>
    </row>
    <row r="5633" spans="9:10" x14ac:dyDescent="0.25">
      <c r="I5633" s="17"/>
      <c r="J5633" s="18"/>
    </row>
    <row r="5634" spans="9:10" x14ac:dyDescent="0.25">
      <c r="I5634" s="17"/>
      <c r="J5634" s="18"/>
    </row>
    <row r="5635" spans="9:10" x14ac:dyDescent="0.25">
      <c r="I5635" s="17"/>
      <c r="J5635" s="18"/>
    </row>
    <row r="5636" spans="9:10" x14ac:dyDescent="0.25">
      <c r="I5636" s="17"/>
      <c r="J5636" s="18"/>
    </row>
    <row r="5637" spans="9:10" x14ac:dyDescent="0.25">
      <c r="I5637" s="17"/>
      <c r="J5637" s="18"/>
    </row>
    <row r="5638" spans="9:10" x14ac:dyDescent="0.25">
      <c r="I5638" s="17"/>
      <c r="J5638" s="18"/>
    </row>
    <row r="5639" spans="9:10" x14ac:dyDescent="0.25">
      <c r="I5639" s="17"/>
      <c r="J5639" s="18"/>
    </row>
    <row r="5640" spans="9:10" x14ac:dyDescent="0.25">
      <c r="I5640" s="17"/>
      <c r="J5640" s="18"/>
    </row>
    <row r="5641" spans="9:10" x14ac:dyDescent="0.25">
      <c r="I5641" s="17"/>
      <c r="J5641" s="18"/>
    </row>
    <row r="5642" spans="9:10" x14ac:dyDescent="0.25">
      <c r="I5642" s="17"/>
      <c r="J5642" s="18"/>
    </row>
    <row r="5643" spans="9:10" x14ac:dyDescent="0.25">
      <c r="I5643" s="17"/>
      <c r="J5643" s="18"/>
    </row>
    <row r="5644" spans="9:10" x14ac:dyDescent="0.25">
      <c r="I5644" s="17"/>
      <c r="J5644" s="18"/>
    </row>
    <row r="5645" spans="9:10" x14ac:dyDescent="0.25">
      <c r="I5645" s="17"/>
      <c r="J5645" s="18"/>
    </row>
    <row r="5646" spans="9:10" x14ac:dyDescent="0.25">
      <c r="I5646" s="17"/>
      <c r="J5646" s="18"/>
    </row>
    <row r="5647" spans="9:10" x14ac:dyDescent="0.25">
      <c r="I5647" s="17"/>
      <c r="J5647" s="18"/>
    </row>
    <row r="5648" spans="9:10" x14ac:dyDescent="0.25">
      <c r="I5648" s="17"/>
      <c r="J5648" s="18"/>
    </row>
    <row r="5649" spans="9:10" x14ac:dyDescent="0.25">
      <c r="I5649" s="17"/>
      <c r="J5649" s="18"/>
    </row>
    <row r="5650" spans="9:10" x14ac:dyDescent="0.25">
      <c r="I5650" s="17"/>
      <c r="J5650" s="18"/>
    </row>
    <row r="5651" spans="9:10" x14ac:dyDescent="0.25">
      <c r="I5651" s="17"/>
      <c r="J5651" s="18"/>
    </row>
    <row r="5652" spans="9:10" x14ac:dyDescent="0.25">
      <c r="I5652" s="17"/>
      <c r="J5652" s="18"/>
    </row>
    <row r="5653" spans="9:10" x14ac:dyDescent="0.25">
      <c r="I5653" s="17"/>
      <c r="J5653" s="18"/>
    </row>
    <row r="5654" spans="9:10" x14ac:dyDescent="0.25">
      <c r="I5654" s="17"/>
      <c r="J5654" s="18"/>
    </row>
    <row r="5655" spans="9:10" x14ac:dyDescent="0.25">
      <c r="I5655" s="17"/>
      <c r="J5655" s="18"/>
    </row>
    <row r="5656" spans="9:10" x14ac:dyDescent="0.25">
      <c r="I5656" s="17"/>
      <c r="J5656" s="18"/>
    </row>
    <row r="5657" spans="9:10" x14ac:dyDescent="0.25">
      <c r="I5657" s="17"/>
      <c r="J5657" s="18"/>
    </row>
    <row r="5658" spans="9:10" x14ac:dyDescent="0.25">
      <c r="I5658" s="17"/>
      <c r="J5658" s="18"/>
    </row>
    <row r="5659" spans="9:10" x14ac:dyDescent="0.25">
      <c r="I5659" s="17"/>
      <c r="J5659" s="18"/>
    </row>
    <row r="5660" spans="9:10" x14ac:dyDescent="0.25">
      <c r="I5660" s="17"/>
      <c r="J5660" s="18"/>
    </row>
    <row r="5661" spans="9:10" x14ac:dyDescent="0.25">
      <c r="I5661" s="17"/>
      <c r="J5661" s="18"/>
    </row>
    <row r="5662" spans="9:10" x14ac:dyDescent="0.25">
      <c r="I5662" s="17"/>
      <c r="J5662" s="18"/>
    </row>
    <row r="5663" spans="9:10" x14ac:dyDescent="0.25">
      <c r="I5663" s="17"/>
      <c r="J5663" s="18"/>
    </row>
    <row r="5664" spans="9:10" x14ac:dyDescent="0.25">
      <c r="I5664" s="17"/>
      <c r="J5664" s="18"/>
    </row>
    <row r="5665" spans="9:10" x14ac:dyDescent="0.25">
      <c r="I5665" s="17"/>
      <c r="J5665" s="18"/>
    </row>
    <row r="5666" spans="9:10" x14ac:dyDescent="0.25">
      <c r="I5666" s="17"/>
      <c r="J5666" s="18"/>
    </row>
    <row r="5667" spans="9:10" x14ac:dyDescent="0.25">
      <c r="I5667" s="17"/>
      <c r="J5667" s="18"/>
    </row>
    <row r="5668" spans="9:10" x14ac:dyDescent="0.25">
      <c r="I5668" s="17"/>
      <c r="J5668" s="18"/>
    </row>
    <row r="5669" spans="9:10" x14ac:dyDescent="0.25">
      <c r="I5669" s="17"/>
      <c r="J5669" s="18"/>
    </row>
    <row r="5670" spans="9:10" x14ac:dyDescent="0.25">
      <c r="I5670" s="17"/>
      <c r="J5670" s="18"/>
    </row>
    <row r="5671" spans="9:10" x14ac:dyDescent="0.25">
      <c r="I5671" s="17"/>
      <c r="J5671" s="18"/>
    </row>
    <row r="5672" spans="9:10" x14ac:dyDescent="0.25">
      <c r="I5672" s="17"/>
      <c r="J5672" s="18"/>
    </row>
    <row r="5673" spans="9:10" x14ac:dyDescent="0.25">
      <c r="I5673" s="17"/>
      <c r="J5673" s="18"/>
    </row>
    <row r="5674" spans="9:10" x14ac:dyDescent="0.25">
      <c r="I5674" s="17"/>
      <c r="J5674" s="18"/>
    </row>
    <row r="5675" spans="9:10" x14ac:dyDescent="0.25">
      <c r="I5675" s="17"/>
      <c r="J5675" s="18"/>
    </row>
    <row r="5676" spans="9:10" x14ac:dyDescent="0.25">
      <c r="I5676" s="17"/>
      <c r="J5676" s="18"/>
    </row>
    <row r="5677" spans="9:10" x14ac:dyDescent="0.25">
      <c r="I5677" s="17"/>
      <c r="J5677" s="18"/>
    </row>
    <row r="5678" spans="9:10" x14ac:dyDescent="0.25">
      <c r="I5678" s="17"/>
      <c r="J5678" s="18"/>
    </row>
    <row r="5679" spans="9:10" x14ac:dyDescent="0.25">
      <c r="I5679" s="17"/>
      <c r="J5679" s="18"/>
    </row>
    <row r="5680" spans="9:10" x14ac:dyDescent="0.25">
      <c r="I5680" s="17"/>
      <c r="J5680" s="18"/>
    </row>
    <row r="5681" spans="9:10" x14ac:dyDescent="0.25">
      <c r="I5681" s="17"/>
      <c r="J5681" s="18"/>
    </row>
    <row r="5682" spans="9:10" x14ac:dyDescent="0.25">
      <c r="I5682" s="17"/>
      <c r="J5682" s="18"/>
    </row>
    <row r="5683" spans="9:10" x14ac:dyDescent="0.25">
      <c r="I5683" s="17"/>
      <c r="J5683" s="18"/>
    </row>
    <row r="5684" spans="9:10" x14ac:dyDescent="0.25">
      <c r="I5684" s="17"/>
      <c r="J5684" s="18"/>
    </row>
    <row r="5685" spans="9:10" x14ac:dyDescent="0.25">
      <c r="I5685" s="17"/>
      <c r="J5685" s="18"/>
    </row>
    <row r="5686" spans="9:10" x14ac:dyDescent="0.25">
      <c r="I5686" s="17"/>
      <c r="J5686" s="18"/>
    </row>
    <row r="5687" spans="9:10" x14ac:dyDescent="0.25">
      <c r="I5687" s="17"/>
      <c r="J5687" s="18"/>
    </row>
    <row r="5688" spans="9:10" x14ac:dyDescent="0.25">
      <c r="I5688" s="17"/>
      <c r="J5688" s="18"/>
    </row>
    <row r="5689" spans="9:10" x14ac:dyDescent="0.25">
      <c r="I5689" s="17"/>
      <c r="J5689" s="18"/>
    </row>
    <row r="5690" spans="9:10" x14ac:dyDescent="0.25">
      <c r="I5690" s="17"/>
      <c r="J5690" s="18"/>
    </row>
    <row r="5691" spans="9:10" x14ac:dyDescent="0.25">
      <c r="I5691" s="17"/>
      <c r="J5691" s="18"/>
    </row>
    <row r="5692" spans="9:10" x14ac:dyDescent="0.25">
      <c r="I5692" s="17"/>
      <c r="J5692" s="18"/>
    </row>
    <row r="5693" spans="9:10" x14ac:dyDescent="0.25">
      <c r="I5693" s="17"/>
      <c r="J5693" s="18"/>
    </row>
    <row r="5694" spans="9:10" x14ac:dyDescent="0.25">
      <c r="I5694" s="17"/>
      <c r="J5694" s="18"/>
    </row>
    <row r="5695" spans="9:10" x14ac:dyDescent="0.25">
      <c r="I5695" s="17"/>
      <c r="J5695" s="18"/>
    </row>
    <row r="5696" spans="9:10" x14ac:dyDescent="0.25">
      <c r="I5696" s="17"/>
      <c r="J5696" s="18"/>
    </row>
    <row r="5697" spans="9:10" x14ac:dyDescent="0.25">
      <c r="I5697" s="17"/>
      <c r="J5697" s="18"/>
    </row>
    <row r="5698" spans="9:10" x14ac:dyDescent="0.25">
      <c r="I5698" s="17"/>
      <c r="J5698" s="18"/>
    </row>
    <row r="5699" spans="9:10" x14ac:dyDescent="0.25">
      <c r="I5699" s="17"/>
      <c r="J5699" s="18"/>
    </row>
    <row r="5700" spans="9:10" x14ac:dyDescent="0.25">
      <c r="I5700" s="17"/>
      <c r="J5700" s="18"/>
    </row>
    <row r="5701" spans="9:10" x14ac:dyDescent="0.25">
      <c r="I5701" s="17"/>
      <c r="J5701" s="18"/>
    </row>
    <row r="5702" spans="9:10" x14ac:dyDescent="0.25">
      <c r="I5702" s="17"/>
      <c r="J5702" s="18"/>
    </row>
    <row r="5703" spans="9:10" x14ac:dyDescent="0.25">
      <c r="I5703" s="17"/>
      <c r="J5703" s="18"/>
    </row>
    <row r="5704" spans="9:10" x14ac:dyDescent="0.25">
      <c r="I5704" s="17"/>
      <c r="J5704" s="18"/>
    </row>
    <row r="5705" spans="9:10" x14ac:dyDescent="0.25">
      <c r="I5705" s="17"/>
      <c r="J5705" s="18"/>
    </row>
    <row r="5706" spans="9:10" x14ac:dyDescent="0.25">
      <c r="I5706" s="17"/>
      <c r="J5706" s="18"/>
    </row>
    <row r="5707" spans="9:10" x14ac:dyDescent="0.25">
      <c r="I5707" s="17"/>
      <c r="J5707" s="18"/>
    </row>
    <row r="5708" spans="9:10" x14ac:dyDescent="0.25">
      <c r="I5708" s="17"/>
      <c r="J5708" s="18"/>
    </row>
    <row r="5709" spans="9:10" x14ac:dyDescent="0.25">
      <c r="I5709" s="17"/>
      <c r="J5709" s="18"/>
    </row>
    <row r="5710" spans="9:10" x14ac:dyDescent="0.25">
      <c r="I5710" s="17"/>
      <c r="J5710" s="18"/>
    </row>
    <row r="5711" spans="9:10" x14ac:dyDescent="0.25">
      <c r="I5711" s="17"/>
      <c r="J5711" s="18"/>
    </row>
    <row r="5712" spans="9:10" x14ac:dyDescent="0.25">
      <c r="I5712" s="17"/>
      <c r="J5712" s="18"/>
    </row>
    <row r="5713" spans="9:10" x14ac:dyDescent="0.25">
      <c r="I5713" s="17"/>
      <c r="J5713" s="18"/>
    </row>
    <row r="5714" spans="9:10" x14ac:dyDescent="0.25">
      <c r="I5714" s="17"/>
      <c r="J5714" s="18"/>
    </row>
    <row r="5715" spans="9:10" x14ac:dyDescent="0.25">
      <c r="I5715" s="17"/>
      <c r="J5715" s="18"/>
    </row>
    <row r="5716" spans="9:10" x14ac:dyDescent="0.25">
      <c r="I5716" s="17"/>
      <c r="J5716" s="18"/>
    </row>
    <row r="5717" spans="9:10" x14ac:dyDescent="0.25">
      <c r="I5717" s="17"/>
      <c r="J5717" s="18"/>
    </row>
    <row r="5718" spans="9:10" x14ac:dyDescent="0.25">
      <c r="I5718" s="17"/>
      <c r="J5718" s="18"/>
    </row>
    <row r="5719" spans="9:10" x14ac:dyDescent="0.25">
      <c r="I5719" s="17"/>
      <c r="J5719" s="18"/>
    </row>
    <row r="5720" spans="9:10" x14ac:dyDescent="0.25">
      <c r="I5720" s="17"/>
      <c r="J5720" s="18"/>
    </row>
    <row r="5721" spans="9:10" x14ac:dyDescent="0.25">
      <c r="I5721" s="17"/>
      <c r="J5721" s="18"/>
    </row>
    <row r="5722" spans="9:10" x14ac:dyDescent="0.25">
      <c r="I5722" s="17"/>
      <c r="J5722" s="18"/>
    </row>
    <row r="5723" spans="9:10" x14ac:dyDescent="0.25">
      <c r="I5723" s="17"/>
      <c r="J5723" s="18"/>
    </row>
    <row r="5724" spans="9:10" x14ac:dyDescent="0.25">
      <c r="I5724" s="17"/>
      <c r="J5724" s="18"/>
    </row>
    <row r="5725" spans="9:10" x14ac:dyDescent="0.25">
      <c r="I5725" s="17"/>
      <c r="J5725" s="18"/>
    </row>
    <row r="5726" spans="9:10" x14ac:dyDescent="0.25">
      <c r="I5726" s="17"/>
      <c r="J5726" s="18"/>
    </row>
    <row r="5727" spans="9:10" x14ac:dyDescent="0.25">
      <c r="I5727" s="17"/>
      <c r="J5727" s="18"/>
    </row>
    <row r="5728" spans="9:10" x14ac:dyDescent="0.25">
      <c r="I5728" s="17"/>
      <c r="J5728" s="18"/>
    </row>
    <row r="5729" spans="9:10" x14ac:dyDescent="0.25">
      <c r="I5729" s="17"/>
      <c r="J5729" s="18"/>
    </row>
    <row r="5730" spans="9:10" x14ac:dyDescent="0.25">
      <c r="I5730" s="17"/>
      <c r="J5730" s="18"/>
    </row>
    <row r="5731" spans="9:10" x14ac:dyDescent="0.25">
      <c r="I5731" s="17"/>
      <c r="J5731" s="18"/>
    </row>
    <row r="5732" spans="9:10" x14ac:dyDescent="0.25">
      <c r="I5732" s="17"/>
      <c r="J5732" s="18"/>
    </row>
    <row r="5733" spans="9:10" x14ac:dyDescent="0.25">
      <c r="I5733" s="17"/>
      <c r="J5733" s="18"/>
    </row>
    <row r="5734" spans="9:10" x14ac:dyDescent="0.25">
      <c r="I5734" s="17"/>
      <c r="J5734" s="18"/>
    </row>
    <row r="5735" spans="9:10" x14ac:dyDescent="0.25">
      <c r="I5735" s="17"/>
      <c r="J5735" s="18"/>
    </row>
    <row r="5736" spans="9:10" x14ac:dyDescent="0.25">
      <c r="I5736" s="17"/>
      <c r="J5736" s="18"/>
    </row>
    <row r="5737" spans="9:10" x14ac:dyDescent="0.25">
      <c r="I5737" s="17"/>
      <c r="J5737" s="18"/>
    </row>
    <row r="5738" spans="9:10" x14ac:dyDescent="0.25">
      <c r="I5738" s="17"/>
      <c r="J5738" s="18"/>
    </row>
    <row r="5739" spans="9:10" x14ac:dyDescent="0.25">
      <c r="I5739" s="17"/>
      <c r="J5739" s="18"/>
    </row>
    <row r="5740" spans="9:10" x14ac:dyDescent="0.25">
      <c r="I5740" s="17"/>
      <c r="J5740" s="18"/>
    </row>
    <row r="5741" spans="9:10" x14ac:dyDescent="0.25">
      <c r="I5741" s="17"/>
      <c r="J5741" s="18"/>
    </row>
    <row r="5742" spans="9:10" x14ac:dyDescent="0.25">
      <c r="I5742" s="17"/>
      <c r="J5742" s="18"/>
    </row>
    <row r="5743" spans="9:10" x14ac:dyDescent="0.25">
      <c r="I5743" s="17"/>
      <c r="J5743" s="18"/>
    </row>
    <row r="5744" spans="9:10" x14ac:dyDescent="0.25">
      <c r="I5744" s="17"/>
      <c r="J5744" s="18"/>
    </row>
    <row r="5745" spans="9:10" x14ac:dyDescent="0.25">
      <c r="I5745" s="17"/>
      <c r="J5745" s="18"/>
    </row>
    <row r="5746" spans="9:10" x14ac:dyDescent="0.25">
      <c r="I5746" s="17"/>
      <c r="J5746" s="18"/>
    </row>
    <row r="5747" spans="9:10" x14ac:dyDescent="0.25">
      <c r="I5747" s="17"/>
      <c r="J5747" s="18"/>
    </row>
    <row r="5748" spans="9:10" x14ac:dyDescent="0.25">
      <c r="I5748" s="17"/>
      <c r="J5748" s="18"/>
    </row>
    <row r="5749" spans="9:10" x14ac:dyDescent="0.25">
      <c r="I5749" s="17"/>
      <c r="J5749" s="18"/>
    </row>
    <row r="5750" spans="9:10" x14ac:dyDescent="0.25">
      <c r="I5750" s="17"/>
      <c r="J5750" s="18"/>
    </row>
    <row r="5751" spans="9:10" x14ac:dyDescent="0.25">
      <c r="I5751" s="17"/>
      <c r="J5751" s="18"/>
    </row>
    <row r="5752" spans="9:10" x14ac:dyDescent="0.25">
      <c r="I5752" s="17"/>
      <c r="J5752" s="18"/>
    </row>
    <row r="5753" spans="9:10" x14ac:dyDescent="0.25">
      <c r="I5753" s="17"/>
      <c r="J5753" s="18"/>
    </row>
    <row r="5754" spans="9:10" x14ac:dyDescent="0.25">
      <c r="I5754" s="17"/>
      <c r="J5754" s="18"/>
    </row>
    <row r="5755" spans="9:10" x14ac:dyDescent="0.25">
      <c r="I5755" s="17"/>
      <c r="J5755" s="18"/>
    </row>
    <row r="5756" spans="9:10" x14ac:dyDescent="0.25">
      <c r="I5756" s="17"/>
      <c r="J5756" s="18"/>
    </row>
    <row r="5757" spans="9:10" x14ac:dyDescent="0.25">
      <c r="I5757" s="17"/>
      <c r="J5757" s="18"/>
    </row>
    <row r="5758" spans="9:10" x14ac:dyDescent="0.25">
      <c r="I5758" s="17"/>
      <c r="J5758" s="18"/>
    </row>
    <row r="5759" spans="9:10" x14ac:dyDescent="0.25">
      <c r="I5759" s="17"/>
      <c r="J5759" s="18"/>
    </row>
    <row r="5760" spans="9:10" x14ac:dyDescent="0.25">
      <c r="I5760" s="17"/>
      <c r="J5760" s="18"/>
    </row>
    <row r="5761" spans="9:10" x14ac:dyDescent="0.25">
      <c r="I5761" s="17"/>
      <c r="J5761" s="18"/>
    </row>
    <row r="5762" spans="9:10" x14ac:dyDescent="0.25">
      <c r="I5762" s="17"/>
      <c r="J5762" s="18"/>
    </row>
    <row r="5763" spans="9:10" x14ac:dyDescent="0.25">
      <c r="I5763" s="17"/>
      <c r="J5763" s="18"/>
    </row>
    <row r="5764" spans="9:10" x14ac:dyDescent="0.25">
      <c r="I5764" s="17"/>
      <c r="J5764" s="18"/>
    </row>
    <row r="5765" spans="9:10" x14ac:dyDescent="0.25">
      <c r="I5765" s="17"/>
      <c r="J5765" s="18"/>
    </row>
    <row r="5766" spans="9:10" x14ac:dyDescent="0.25">
      <c r="I5766" s="17"/>
      <c r="J5766" s="18"/>
    </row>
    <row r="5767" spans="9:10" x14ac:dyDescent="0.25">
      <c r="I5767" s="17"/>
      <c r="J5767" s="18"/>
    </row>
    <row r="5768" spans="9:10" x14ac:dyDescent="0.25">
      <c r="I5768" s="17"/>
      <c r="J5768" s="18"/>
    </row>
    <row r="5769" spans="9:10" x14ac:dyDescent="0.25">
      <c r="I5769" s="17"/>
      <c r="J5769" s="18"/>
    </row>
    <row r="5770" spans="9:10" x14ac:dyDescent="0.25">
      <c r="I5770" s="17"/>
      <c r="J5770" s="18"/>
    </row>
    <row r="5771" spans="9:10" x14ac:dyDescent="0.25">
      <c r="I5771" s="17"/>
      <c r="J5771" s="18"/>
    </row>
    <row r="5772" spans="9:10" x14ac:dyDescent="0.25">
      <c r="I5772" s="17"/>
      <c r="J5772" s="18"/>
    </row>
    <row r="5773" spans="9:10" x14ac:dyDescent="0.25">
      <c r="I5773" s="17"/>
      <c r="J5773" s="18"/>
    </row>
    <row r="5774" spans="9:10" x14ac:dyDescent="0.25">
      <c r="I5774" s="17"/>
      <c r="J5774" s="18"/>
    </row>
    <row r="5775" spans="9:10" x14ac:dyDescent="0.25">
      <c r="I5775" s="17"/>
      <c r="J5775" s="18"/>
    </row>
    <row r="5776" spans="9:10" x14ac:dyDescent="0.25">
      <c r="I5776" s="17"/>
      <c r="J5776" s="18"/>
    </row>
    <row r="5777" spans="9:10" x14ac:dyDescent="0.25">
      <c r="I5777" s="17"/>
      <c r="J5777" s="18"/>
    </row>
    <row r="5778" spans="9:10" x14ac:dyDescent="0.25">
      <c r="I5778" s="17"/>
      <c r="J5778" s="18"/>
    </row>
    <row r="5779" spans="9:10" x14ac:dyDescent="0.25">
      <c r="I5779" s="17"/>
      <c r="J5779" s="18"/>
    </row>
    <row r="5780" spans="9:10" x14ac:dyDescent="0.25">
      <c r="I5780" s="17"/>
      <c r="J5780" s="18"/>
    </row>
    <row r="5781" spans="9:10" x14ac:dyDescent="0.25">
      <c r="I5781" s="17"/>
      <c r="J5781" s="18"/>
    </row>
    <row r="5782" spans="9:10" x14ac:dyDescent="0.25">
      <c r="I5782" s="17"/>
      <c r="J5782" s="18"/>
    </row>
    <row r="5783" spans="9:10" x14ac:dyDescent="0.25">
      <c r="I5783" s="17"/>
      <c r="J5783" s="18"/>
    </row>
    <row r="5784" spans="9:10" x14ac:dyDescent="0.25">
      <c r="I5784" s="17"/>
      <c r="J5784" s="18"/>
    </row>
    <row r="5785" spans="9:10" x14ac:dyDescent="0.25">
      <c r="I5785" s="17"/>
      <c r="J5785" s="18"/>
    </row>
    <row r="5786" spans="9:10" x14ac:dyDescent="0.25">
      <c r="I5786" s="17"/>
      <c r="J5786" s="18"/>
    </row>
    <row r="5787" spans="9:10" x14ac:dyDescent="0.25">
      <c r="I5787" s="17"/>
      <c r="J5787" s="18"/>
    </row>
    <row r="5788" spans="9:10" x14ac:dyDescent="0.25">
      <c r="I5788" s="17"/>
      <c r="J5788" s="18"/>
    </row>
    <row r="5789" spans="9:10" x14ac:dyDescent="0.25">
      <c r="I5789" s="17"/>
      <c r="J5789" s="18"/>
    </row>
    <row r="5790" spans="9:10" x14ac:dyDescent="0.25">
      <c r="I5790" s="17"/>
      <c r="J5790" s="18"/>
    </row>
    <row r="5791" spans="9:10" x14ac:dyDescent="0.25">
      <c r="I5791" s="17"/>
      <c r="J5791" s="18"/>
    </row>
    <row r="5792" spans="9:10" x14ac:dyDescent="0.25">
      <c r="I5792" s="17"/>
      <c r="J5792" s="18"/>
    </row>
    <row r="5793" spans="9:10" x14ac:dyDescent="0.25">
      <c r="I5793" s="17"/>
      <c r="J5793" s="18"/>
    </row>
    <row r="5794" spans="9:10" x14ac:dyDescent="0.25">
      <c r="I5794" s="17"/>
      <c r="J5794" s="18"/>
    </row>
    <row r="5795" spans="9:10" x14ac:dyDescent="0.25">
      <c r="I5795" s="17"/>
      <c r="J5795" s="18"/>
    </row>
    <row r="5796" spans="9:10" x14ac:dyDescent="0.25">
      <c r="I5796" s="17"/>
      <c r="J5796" s="18"/>
    </row>
    <row r="5797" spans="9:10" x14ac:dyDescent="0.25">
      <c r="I5797" s="17"/>
      <c r="J5797" s="18"/>
    </row>
    <row r="5798" spans="9:10" x14ac:dyDescent="0.25">
      <c r="I5798" s="17"/>
      <c r="J5798" s="18"/>
    </row>
    <row r="5799" spans="9:10" x14ac:dyDescent="0.25">
      <c r="I5799" s="17"/>
      <c r="J5799" s="18"/>
    </row>
    <row r="5800" spans="9:10" x14ac:dyDescent="0.25">
      <c r="I5800" s="17"/>
      <c r="J5800" s="18"/>
    </row>
    <row r="5801" spans="9:10" x14ac:dyDescent="0.25">
      <c r="I5801" s="17"/>
      <c r="J5801" s="18"/>
    </row>
    <row r="5802" spans="9:10" x14ac:dyDescent="0.25">
      <c r="I5802" s="17"/>
      <c r="J5802" s="18"/>
    </row>
    <row r="5803" spans="9:10" x14ac:dyDescent="0.25">
      <c r="I5803" s="17"/>
      <c r="J5803" s="18"/>
    </row>
    <row r="5804" spans="9:10" x14ac:dyDescent="0.25">
      <c r="I5804" s="17"/>
      <c r="J5804" s="18"/>
    </row>
    <row r="5805" spans="9:10" x14ac:dyDescent="0.25">
      <c r="I5805" s="17"/>
      <c r="J5805" s="18"/>
    </row>
    <row r="5806" spans="9:10" x14ac:dyDescent="0.25">
      <c r="I5806" s="17"/>
      <c r="J5806" s="18"/>
    </row>
    <row r="5807" spans="9:10" x14ac:dyDescent="0.25">
      <c r="I5807" s="17"/>
      <c r="J5807" s="18"/>
    </row>
    <row r="5808" spans="9:10" x14ac:dyDescent="0.25">
      <c r="I5808" s="17"/>
      <c r="J5808" s="18"/>
    </row>
    <row r="5809" spans="9:10" x14ac:dyDescent="0.25">
      <c r="I5809" s="17"/>
      <c r="J5809" s="18"/>
    </row>
    <row r="5810" spans="9:10" x14ac:dyDescent="0.25">
      <c r="I5810" s="17"/>
      <c r="J5810" s="18"/>
    </row>
    <row r="5811" spans="9:10" x14ac:dyDescent="0.25">
      <c r="I5811" s="17"/>
      <c r="J5811" s="18"/>
    </row>
    <row r="5812" spans="9:10" x14ac:dyDescent="0.25">
      <c r="I5812" s="17"/>
      <c r="J5812" s="18"/>
    </row>
    <row r="5813" spans="9:10" x14ac:dyDescent="0.25">
      <c r="I5813" s="17"/>
      <c r="J5813" s="18"/>
    </row>
    <row r="5814" spans="9:10" x14ac:dyDescent="0.25">
      <c r="I5814" s="17"/>
      <c r="J5814" s="18"/>
    </row>
    <row r="5815" spans="9:10" x14ac:dyDescent="0.25">
      <c r="I5815" s="17"/>
      <c r="J5815" s="18"/>
    </row>
    <row r="5816" spans="9:10" x14ac:dyDescent="0.25">
      <c r="I5816" s="17"/>
      <c r="J5816" s="18"/>
    </row>
    <row r="5817" spans="9:10" x14ac:dyDescent="0.25">
      <c r="I5817" s="17"/>
      <c r="J5817" s="18"/>
    </row>
    <row r="5818" spans="9:10" x14ac:dyDescent="0.25">
      <c r="I5818" s="17"/>
      <c r="J5818" s="18"/>
    </row>
    <row r="5819" spans="9:10" x14ac:dyDescent="0.25">
      <c r="I5819" s="17"/>
      <c r="J5819" s="18"/>
    </row>
    <row r="5820" spans="9:10" x14ac:dyDescent="0.25">
      <c r="I5820" s="17"/>
      <c r="J5820" s="18"/>
    </row>
    <row r="5821" spans="9:10" x14ac:dyDescent="0.25">
      <c r="I5821" s="17"/>
      <c r="J5821" s="18"/>
    </row>
    <row r="5822" spans="9:10" x14ac:dyDescent="0.25">
      <c r="I5822" s="17"/>
      <c r="J5822" s="18"/>
    </row>
    <row r="5823" spans="9:10" x14ac:dyDescent="0.25">
      <c r="I5823" s="17"/>
      <c r="J5823" s="18"/>
    </row>
    <row r="5824" spans="9:10" x14ac:dyDescent="0.25">
      <c r="I5824" s="17"/>
      <c r="J5824" s="18"/>
    </row>
    <row r="5825" spans="9:10" x14ac:dyDescent="0.25">
      <c r="I5825" s="17"/>
      <c r="J5825" s="18"/>
    </row>
    <row r="5826" spans="9:10" x14ac:dyDescent="0.25">
      <c r="I5826" s="17"/>
      <c r="J5826" s="18"/>
    </row>
    <row r="5827" spans="9:10" x14ac:dyDescent="0.25">
      <c r="I5827" s="17"/>
      <c r="J5827" s="18"/>
    </row>
    <row r="5828" spans="9:10" x14ac:dyDescent="0.25">
      <c r="I5828" s="17"/>
      <c r="J5828" s="18"/>
    </row>
    <row r="5829" spans="9:10" x14ac:dyDescent="0.25">
      <c r="I5829" s="17"/>
      <c r="J5829" s="18"/>
    </row>
    <row r="5830" spans="9:10" x14ac:dyDescent="0.25">
      <c r="I5830" s="17"/>
      <c r="J5830" s="18"/>
    </row>
    <row r="5831" spans="9:10" x14ac:dyDescent="0.25">
      <c r="I5831" s="17"/>
      <c r="J5831" s="18"/>
    </row>
    <row r="5832" spans="9:10" x14ac:dyDescent="0.25">
      <c r="I5832" s="17"/>
      <c r="J5832" s="18"/>
    </row>
    <row r="5833" spans="9:10" x14ac:dyDescent="0.25">
      <c r="I5833" s="17"/>
      <c r="J5833" s="18"/>
    </row>
    <row r="5834" spans="9:10" x14ac:dyDescent="0.25">
      <c r="I5834" s="17"/>
      <c r="J5834" s="18"/>
    </row>
    <row r="5835" spans="9:10" x14ac:dyDescent="0.25">
      <c r="I5835" s="17"/>
      <c r="J5835" s="18"/>
    </row>
    <row r="5836" spans="9:10" x14ac:dyDescent="0.25">
      <c r="I5836" s="17"/>
      <c r="J5836" s="18"/>
    </row>
    <row r="5837" spans="9:10" x14ac:dyDescent="0.25">
      <c r="I5837" s="17"/>
      <c r="J5837" s="18"/>
    </row>
    <row r="5838" spans="9:10" x14ac:dyDescent="0.25">
      <c r="I5838" s="17"/>
      <c r="J5838" s="18"/>
    </row>
    <row r="5839" spans="9:10" x14ac:dyDescent="0.25">
      <c r="I5839" s="17"/>
      <c r="J5839" s="18"/>
    </row>
    <row r="5840" spans="9:10" x14ac:dyDescent="0.25">
      <c r="I5840" s="17"/>
      <c r="J5840" s="18"/>
    </row>
    <row r="5841" spans="9:10" x14ac:dyDescent="0.25">
      <c r="I5841" s="17"/>
      <c r="J5841" s="18"/>
    </row>
    <row r="5842" spans="9:10" x14ac:dyDescent="0.25">
      <c r="I5842" s="17"/>
      <c r="J5842" s="18"/>
    </row>
    <row r="5843" spans="9:10" x14ac:dyDescent="0.25">
      <c r="I5843" s="17"/>
      <c r="J5843" s="18"/>
    </row>
    <row r="5844" spans="9:10" x14ac:dyDescent="0.25">
      <c r="I5844" s="17"/>
      <c r="J5844" s="18"/>
    </row>
    <row r="5845" spans="9:10" x14ac:dyDescent="0.25">
      <c r="I5845" s="17"/>
      <c r="J5845" s="18"/>
    </row>
    <row r="5846" spans="9:10" x14ac:dyDescent="0.25">
      <c r="I5846" s="17"/>
      <c r="J5846" s="18"/>
    </row>
    <row r="5847" spans="9:10" x14ac:dyDescent="0.25">
      <c r="I5847" s="17"/>
      <c r="J5847" s="18"/>
    </row>
    <row r="5848" spans="9:10" x14ac:dyDescent="0.25">
      <c r="I5848" s="17"/>
      <c r="J5848" s="18"/>
    </row>
    <row r="5849" spans="9:10" x14ac:dyDescent="0.25">
      <c r="I5849" s="17"/>
      <c r="J5849" s="18"/>
    </row>
    <row r="5850" spans="9:10" x14ac:dyDescent="0.25">
      <c r="I5850" s="17"/>
      <c r="J5850" s="18"/>
    </row>
    <row r="5851" spans="9:10" x14ac:dyDescent="0.25">
      <c r="I5851" s="17"/>
      <c r="J5851" s="18"/>
    </row>
    <row r="5852" spans="9:10" x14ac:dyDescent="0.25">
      <c r="I5852" s="17"/>
      <c r="J5852" s="18"/>
    </row>
    <row r="5853" spans="9:10" x14ac:dyDescent="0.25">
      <c r="I5853" s="17"/>
      <c r="J5853" s="18"/>
    </row>
    <row r="5854" spans="9:10" x14ac:dyDescent="0.25">
      <c r="I5854" s="17"/>
      <c r="J5854" s="18"/>
    </row>
    <row r="5855" spans="9:10" x14ac:dyDescent="0.25">
      <c r="I5855" s="17"/>
      <c r="J5855" s="18"/>
    </row>
    <row r="5856" spans="9:10" x14ac:dyDescent="0.25">
      <c r="I5856" s="17"/>
      <c r="J5856" s="18"/>
    </row>
    <row r="5857" spans="9:10" x14ac:dyDescent="0.25">
      <c r="I5857" s="17"/>
      <c r="J5857" s="18"/>
    </row>
    <row r="5858" spans="9:10" x14ac:dyDescent="0.25">
      <c r="I5858" s="17"/>
      <c r="J5858" s="18"/>
    </row>
    <row r="5859" spans="9:10" x14ac:dyDescent="0.25">
      <c r="I5859" s="17"/>
      <c r="J5859" s="18"/>
    </row>
    <row r="5860" spans="9:10" x14ac:dyDescent="0.25">
      <c r="I5860" s="17"/>
      <c r="J5860" s="18"/>
    </row>
    <row r="5861" spans="9:10" x14ac:dyDescent="0.25">
      <c r="I5861" s="17"/>
      <c r="J5861" s="18"/>
    </row>
    <row r="5862" spans="9:10" x14ac:dyDescent="0.25">
      <c r="I5862" s="17"/>
      <c r="J5862" s="18"/>
    </row>
    <row r="5863" spans="9:10" x14ac:dyDescent="0.25">
      <c r="I5863" s="17"/>
      <c r="J5863" s="18"/>
    </row>
    <row r="5864" spans="9:10" x14ac:dyDescent="0.25">
      <c r="I5864" s="17"/>
      <c r="J5864" s="18"/>
    </row>
    <row r="5865" spans="9:10" x14ac:dyDescent="0.25">
      <c r="I5865" s="17"/>
      <c r="J5865" s="18"/>
    </row>
    <row r="5866" spans="9:10" x14ac:dyDescent="0.25">
      <c r="I5866" s="17"/>
      <c r="J5866" s="18"/>
    </row>
    <row r="5867" spans="9:10" x14ac:dyDescent="0.25">
      <c r="I5867" s="17"/>
      <c r="J5867" s="18"/>
    </row>
    <row r="5868" spans="9:10" x14ac:dyDescent="0.25">
      <c r="I5868" s="17"/>
      <c r="J5868" s="18"/>
    </row>
    <row r="5869" spans="9:10" x14ac:dyDescent="0.25">
      <c r="I5869" s="17"/>
      <c r="J5869" s="18"/>
    </row>
    <row r="5870" spans="9:10" x14ac:dyDescent="0.25">
      <c r="I5870" s="17"/>
      <c r="J5870" s="18"/>
    </row>
    <row r="5871" spans="9:10" x14ac:dyDescent="0.25">
      <c r="I5871" s="17"/>
      <c r="J5871" s="18"/>
    </row>
    <row r="5872" spans="9:10" x14ac:dyDescent="0.25">
      <c r="I5872" s="17"/>
      <c r="J5872" s="18"/>
    </row>
    <row r="5873" spans="9:10" x14ac:dyDescent="0.25">
      <c r="I5873" s="17"/>
      <c r="J5873" s="18"/>
    </row>
    <row r="5874" spans="9:10" x14ac:dyDescent="0.25">
      <c r="I5874" s="17"/>
      <c r="J5874" s="18"/>
    </row>
    <row r="5875" spans="9:10" x14ac:dyDescent="0.25">
      <c r="I5875" s="17"/>
      <c r="J5875" s="18"/>
    </row>
    <row r="5876" spans="9:10" x14ac:dyDescent="0.25">
      <c r="I5876" s="17"/>
      <c r="J5876" s="18"/>
    </row>
    <row r="5877" spans="9:10" x14ac:dyDescent="0.25">
      <c r="I5877" s="17"/>
      <c r="J5877" s="18"/>
    </row>
    <row r="5878" spans="9:10" x14ac:dyDescent="0.25">
      <c r="I5878" s="17"/>
      <c r="J5878" s="18"/>
    </row>
    <row r="5879" spans="9:10" x14ac:dyDescent="0.25">
      <c r="I5879" s="17"/>
      <c r="J5879" s="18"/>
    </row>
    <row r="5880" spans="9:10" x14ac:dyDescent="0.25">
      <c r="I5880" s="17"/>
      <c r="J5880" s="18"/>
    </row>
    <row r="5881" spans="9:10" x14ac:dyDescent="0.25">
      <c r="I5881" s="17"/>
      <c r="J5881" s="18"/>
    </row>
    <row r="5882" spans="9:10" x14ac:dyDescent="0.25">
      <c r="I5882" s="17"/>
      <c r="J5882" s="18"/>
    </row>
    <row r="5883" spans="9:10" x14ac:dyDescent="0.25">
      <c r="I5883" s="17"/>
      <c r="J5883" s="18"/>
    </row>
    <row r="5884" spans="9:10" x14ac:dyDescent="0.25">
      <c r="I5884" s="17"/>
      <c r="J5884" s="18"/>
    </row>
    <row r="5885" spans="9:10" x14ac:dyDescent="0.25">
      <c r="I5885" s="17"/>
      <c r="J5885" s="18"/>
    </row>
    <row r="5886" spans="9:10" x14ac:dyDescent="0.25">
      <c r="I5886" s="17"/>
      <c r="J5886" s="18"/>
    </row>
    <row r="5887" spans="9:10" x14ac:dyDescent="0.25">
      <c r="I5887" s="17"/>
      <c r="J5887" s="18"/>
    </row>
    <row r="5888" spans="9:10" x14ac:dyDescent="0.25">
      <c r="I5888" s="17"/>
      <c r="J5888" s="18"/>
    </row>
    <row r="5889" spans="9:10" x14ac:dyDescent="0.25">
      <c r="I5889" s="17"/>
      <c r="J5889" s="18"/>
    </row>
    <row r="5890" spans="9:10" x14ac:dyDescent="0.25">
      <c r="I5890" s="17"/>
      <c r="J5890" s="18"/>
    </row>
    <row r="5891" spans="9:10" x14ac:dyDescent="0.25">
      <c r="I5891" s="17"/>
      <c r="J5891" s="18"/>
    </row>
    <row r="5892" spans="9:10" x14ac:dyDescent="0.25">
      <c r="I5892" s="17"/>
      <c r="J5892" s="18"/>
    </row>
    <row r="5893" spans="9:10" x14ac:dyDescent="0.25">
      <c r="I5893" s="17"/>
      <c r="J5893" s="18"/>
    </row>
    <row r="5894" spans="9:10" x14ac:dyDescent="0.25">
      <c r="I5894" s="17"/>
      <c r="J5894" s="18"/>
    </row>
    <row r="5895" spans="9:10" x14ac:dyDescent="0.25">
      <c r="I5895" s="17"/>
      <c r="J5895" s="18"/>
    </row>
    <row r="5896" spans="9:10" x14ac:dyDescent="0.25">
      <c r="I5896" s="17"/>
      <c r="J5896" s="18"/>
    </row>
    <row r="5897" spans="9:10" x14ac:dyDescent="0.25">
      <c r="I5897" s="17"/>
      <c r="J5897" s="18"/>
    </row>
    <row r="5898" spans="9:10" x14ac:dyDescent="0.25">
      <c r="I5898" s="17"/>
      <c r="J5898" s="18"/>
    </row>
    <row r="5899" spans="9:10" x14ac:dyDescent="0.25">
      <c r="I5899" s="17"/>
      <c r="J5899" s="18"/>
    </row>
    <row r="5900" spans="9:10" x14ac:dyDescent="0.25">
      <c r="I5900" s="17"/>
      <c r="J5900" s="18"/>
    </row>
    <row r="5901" spans="9:10" x14ac:dyDescent="0.25">
      <c r="I5901" s="17"/>
      <c r="J5901" s="18"/>
    </row>
    <row r="5902" spans="9:10" x14ac:dyDescent="0.25">
      <c r="I5902" s="17"/>
      <c r="J5902" s="18"/>
    </row>
    <row r="5903" spans="9:10" x14ac:dyDescent="0.25">
      <c r="I5903" s="17"/>
      <c r="J5903" s="18"/>
    </row>
    <row r="5904" spans="9:10" x14ac:dyDescent="0.25">
      <c r="I5904" s="17"/>
      <c r="J5904" s="18"/>
    </row>
    <row r="5905" spans="9:10" x14ac:dyDescent="0.25">
      <c r="I5905" s="17"/>
      <c r="J5905" s="18"/>
    </row>
    <row r="5906" spans="9:10" x14ac:dyDescent="0.25">
      <c r="I5906" s="17"/>
      <c r="J5906" s="18"/>
    </row>
    <row r="5907" spans="9:10" x14ac:dyDescent="0.25">
      <c r="I5907" s="17"/>
      <c r="J5907" s="18"/>
    </row>
    <row r="5908" spans="9:10" x14ac:dyDescent="0.25">
      <c r="I5908" s="17"/>
      <c r="J5908" s="18"/>
    </row>
    <row r="5909" spans="9:10" x14ac:dyDescent="0.25">
      <c r="I5909" s="17"/>
      <c r="J5909" s="18"/>
    </row>
    <row r="5910" spans="9:10" x14ac:dyDescent="0.25">
      <c r="I5910" s="17"/>
      <c r="J5910" s="18"/>
    </row>
    <row r="5911" spans="9:10" x14ac:dyDescent="0.25">
      <c r="I5911" s="17"/>
      <c r="J5911" s="18"/>
    </row>
    <row r="5912" spans="9:10" x14ac:dyDescent="0.25">
      <c r="I5912" s="17"/>
      <c r="J5912" s="18"/>
    </row>
    <row r="5913" spans="9:10" x14ac:dyDescent="0.25">
      <c r="I5913" s="17"/>
      <c r="J5913" s="18"/>
    </row>
    <row r="5914" spans="9:10" x14ac:dyDescent="0.25">
      <c r="I5914" s="17"/>
      <c r="J5914" s="18"/>
    </row>
    <row r="5915" spans="9:10" x14ac:dyDescent="0.25">
      <c r="I5915" s="17"/>
      <c r="J5915" s="18"/>
    </row>
    <row r="5916" spans="9:10" x14ac:dyDescent="0.25">
      <c r="I5916" s="17"/>
      <c r="J5916" s="18"/>
    </row>
    <row r="5917" spans="9:10" x14ac:dyDescent="0.25">
      <c r="I5917" s="17"/>
      <c r="J5917" s="18"/>
    </row>
    <row r="5918" spans="9:10" x14ac:dyDescent="0.25">
      <c r="I5918" s="17"/>
      <c r="J5918" s="18"/>
    </row>
    <row r="5919" spans="9:10" x14ac:dyDescent="0.25">
      <c r="I5919" s="17"/>
      <c r="J5919" s="18"/>
    </row>
    <row r="5920" spans="9:10" x14ac:dyDescent="0.25">
      <c r="I5920" s="17"/>
      <c r="J5920" s="18"/>
    </row>
    <row r="5921" spans="9:10" x14ac:dyDescent="0.25">
      <c r="I5921" s="17"/>
      <c r="J5921" s="18"/>
    </row>
    <row r="5922" spans="9:10" x14ac:dyDescent="0.25">
      <c r="I5922" s="17"/>
      <c r="J5922" s="18"/>
    </row>
    <row r="5923" spans="9:10" x14ac:dyDescent="0.25">
      <c r="I5923" s="17"/>
      <c r="J5923" s="18"/>
    </row>
    <row r="5924" spans="9:10" x14ac:dyDescent="0.25">
      <c r="I5924" s="17"/>
      <c r="J5924" s="18"/>
    </row>
    <row r="5925" spans="9:10" x14ac:dyDescent="0.25">
      <c r="I5925" s="17"/>
      <c r="J5925" s="18"/>
    </row>
    <row r="5926" spans="9:10" x14ac:dyDescent="0.25">
      <c r="I5926" s="17"/>
      <c r="J5926" s="18"/>
    </row>
    <row r="5927" spans="9:10" x14ac:dyDescent="0.25">
      <c r="I5927" s="17"/>
      <c r="J5927" s="18"/>
    </row>
    <row r="5928" spans="9:10" x14ac:dyDescent="0.25">
      <c r="I5928" s="17"/>
      <c r="J5928" s="18"/>
    </row>
    <row r="5929" spans="9:10" x14ac:dyDescent="0.25">
      <c r="I5929" s="17"/>
      <c r="J5929" s="18"/>
    </row>
    <row r="5930" spans="9:10" x14ac:dyDescent="0.25">
      <c r="I5930" s="17"/>
      <c r="J5930" s="18"/>
    </row>
    <row r="5931" spans="9:10" x14ac:dyDescent="0.25">
      <c r="I5931" s="17"/>
      <c r="J5931" s="18"/>
    </row>
    <row r="5932" spans="9:10" x14ac:dyDescent="0.25">
      <c r="I5932" s="17"/>
      <c r="J5932" s="18"/>
    </row>
    <row r="5933" spans="9:10" x14ac:dyDescent="0.25">
      <c r="I5933" s="17"/>
      <c r="J5933" s="18"/>
    </row>
    <row r="5934" spans="9:10" x14ac:dyDescent="0.25">
      <c r="I5934" s="17"/>
      <c r="J5934" s="18"/>
    </row>
    <row r="5935" spans="9:10" x14ac:dyDescent="0.25">
      <c r="I5935" s="17"/>
      <c r="J5935" s="18"/>
    </row>
    <row r="5936" spans="9:10" x14ac:dyDescent="0.25">
      <c r="I5936" s="17"/>
      <c r="J5936" s="18"/>
    </row>
    <row r="5937" spans="9:10" x14ac:dyDescent="0.25">
      <c r="I5937" s="17"/>
      <c r="J5937" s="18"/>
    </row>
    <row r="5938" spans="9:10" x14ac:dyDescent="0.25">
      <c r="I5938" s="17"/>
      <c r="J5938" s="18"/>
    </row>
    <row r="5939" spans="9:10" x14ac:dyDescent="0.25">
      <c r="I5939" s="17"/>
      <c r="J5939" s="18"/>
    </row>
    <row r="5940" spans="9:10" x14ac:dyDescent="0.25">
      <c r="I5940" s="17"/>
      <c r="J5940" s="18"/>
    </row>
    <row r="5941" spans="9:10" x14ac:dyDescent="0.25">
      <c r="I5941" s="17"/>
      <c r="J5941" s="18"/>
    </row>
    <row r="5942" spans="9:10" x14ac:dyDescent="0.25">
      <c r="I5942" s="17"/>
      <c r="J5942" s="18"/>
    </row>
    <row r="5943" spans="9:10" x14ac:dyDescent="0.25">
      <c r="I5943" s="17"/>
      <c r="J5943" s="18"/>
    </row>
    <row r="5944" spans="9:10" x14ac:dyDescent="0.25">
      <c r="I5944" s="17"/>
      <c r="J5944" s="18"/>
    </row>
    <row r="5945" spans="9:10" x14ac:dyDescent="0.25">
      <c r="I5945" s="17"/>
      <c r="J5945" s="18"/>
    </row>
    <row r="5946" spans="9:10" x14ac:dyDescent="0.25">
      <c r="I5946" s="17"/>
      <c r="J5946" s="18"/>
    </row>
    <row r="5947" spans="9:10" x14ac:dyDescent="0.25">
      <c r="I5947" s="17"/>
      <c r="J5947" s="18"/>
    </row>
    <row r="5948" spans="9:10" x14ac:dyDescent="0.25">
      <c r="I5948" s="17"/>
      <c r="J5948" s="18"/>
    </row>
    <row r="5949" spans="9:10" x14ac:dyDescent="0.25">
      <c r="I5949" s="17"/>
      <c r="J5949" s="18"/>
    </row>
    <row r="5950" spans="9:10" x14ac:dyDescent="0.25">
      <c r="I5950" s="17"/>
      <c r="J5950" s="18"/>
    </row>
    <row r="5951" spans="9:10" x14ac:dyDescent="0.25">
      <c r="I5951" s="17"/>
      <c r="J5951" s="18"/>
    </row>
    <row r="5952" spans="9:10" x14ac:dyDescent="0.25">
      <c r="I5952" s="17"/>
      <c r="J5952" s="18"/>
    </row>
    <row r="5953" spans="9:10" x14ac:dyDescent="0.25">
      <c r="I5953" s="17"/>
      <c r="J5953" s="18"/>
    </row>
    <row r="5954" spans="9:10" x14ac:dyDescent="0.25">
      <c r="I5954" s="17"/>
      <c r="J5954" s="18"/>
    </row>
    <row r="5955" spans="9:10" x14ac:dyDescent="0.25">
      <c r="I5955" s="17"/>
      <c r="J5955" s="18"/>
    </row>
    <row r="5956" spans="9:10" x14ac:dyDescent="0.25">
      <c r="I5956" s="17"/>
      <c r="J5956" s="18"/>
    </row>
    <row r="5957" spans="9:10" x14ac:dyDescent="0.25">
      <c r="I5957" s="17"/>
      <c r="J5957" s="18"/>
    </row>
    <row r="5958" spans="9:10" x14ac:dyDescent="0.25">
      <c r="I5958" s="17"/>
      <c r="J5958" s="18"/>
    </row>
    <row r="5959" spans="9:10" x14ac:dyDescent="0.25">
      <c r="I5959" s="17"/>
      <c r="J5959" s="18"/>
    </row>
    <row r="5960" spans="9:10" x14ac:dyDescent="0.25">
      <c r="I5960" s="17"/>
      <c r="J5960" s="18"/>
    </row>
    <row r="5961" spans="9:10" x14ac:dyDescent="0.25">
      <c r="I5961" s="17"/>
      <c r="J5961" s="18"/>
    </row>
    <row r="5962" spans="9:10" x14ac:dyDescent="0.25">
      <c r="I5962" s="17"/>
      <c r="J5962" s="18"/>
    </row>
    <row r="5963" spans="9:10" x14ac:dyDescent="0.25">
      <c r="I5963" s="17"/>
      <c r="J5963" s="18"/>
    </row>
    <row r="5964" spans="9:10" x14ac:dyDescent="0.25">
      <c r="I5964" s="17"/>
      <c r="J5964" s="18"/>
    </row>
    <row r="5965" spans="9:10" x14ac:dyDescent="0.25">
      <c r="I5965" s="17"/>
      <c r="J5965" s="18"/>
    </row>
    <row r="5966" spans="9:10" x14ac:dyDescent="0.25">
      <c r="I5966" s="17"/>
      <c r="J5966" s="18"/>
    </row>
    <row r="5967" spans="9:10" x14ac:dyDescent="0.25">
      <c r="I5967" s="17"/>
      <c r="J5967" s="18"/>
    </row>
    <row r="5968" spans="9:10" x14ac:dyDescent="0.25">
      <c r="I5968" s="17"/>
      <c r="J5968" s="18"/>
    </row>
    <row r="5969" spans="9:10" x14ac:dyDescent="0.25">
      <c r="I5969" s="17"/>
      <c r="J5969" s="18"/>
    </row>
    <row r="5970" spans="9:10" x14ac:dyDescent="0.25">
      <c r="I5970" s="17"/>
      <c r="J5970" s="18"/>
    </row>
    <row r="5971" spans="9:10" x14ac:dyDescent="0.25">
      <c r="I5971" s="17"/>
      <c r="J5971" s="18"/>
    </row>
    <row r="5972" spans="9:10" x14ac:dyDescent="0.25">
      <c r="I5972" s="17"/>
      <c r="J5972" s="18"/>
    </row>
    <row r="5973" spans="9:10" x14ac:dyDescent="0.25">
      <c r="I5973" s="17"/>
      <c r="J5973" s="18"/>
    </row>
    <row r="5974" spans="9:10" x14ac:dyDescent="0.25">
      <c r="I5974" s="17"/>
      <c r="J5974" s="18"/>
    </row>
    <row r="5975" spans="9:10" x14ac:dyDescent="0.25">
      <c r="I5975" s="17"/>
      <c r="J5975" s="18"/>
    </row>
    <row r="5976" spans="9:10" x14ac:dyDescent="0.25">
      <c r="I5976" s="17"/>
      <c r="J5976" s="18"/>
    </row>
    <row r="5977" spans="9:10" x14ac:dyDescent="0.25">
      <c r="I5977" s="17"/>
      <c r="J5977" s="18"/>
    </row>
    <row r="5978" spans="9:10" x14ac:dyDescent="0.25">
      <c r="I5978" s="17"/>
      <c r="J5978" s="18"/>
    </row>
    <row r="5979" spans="9:10" x14ac:dyDescent="0.25">
      <c r="I5979" s="17"/>
      <c r="J5979" s="18"/>
    </row>
    <row r="5980" spans="9:10" x14ac:dyDescent="0.25">
      <c r="I5980" s="17"/>
      <c r="J5980" s="18"/>
    </row>
    <row r="5981" spans="9:10" x14ac:dyDescent="0.25">
      <c r="I5981" s="17"/>
      <c r="J5981" s="18"/>
    </row>
    <row r="5982" spans="9:10" x14ac:dyDescent="0.25">
      <c r="I5982" s="17"/>
      <c r="J5982" s="18"/>
    </row>
    <row r="5983" spans="9:10" x14ac:dyDescent="0.25">
      <c r="I5983" s="17"/>
      <c r="J5983" s="18"/>
    </row>
    <row r="5984" spans="9:10" x14ac:dyDescent="0.25">
      <c r="I5984" s="17"/>
      <c r="J5984" s="18"/>
    </row>
    <row r="5985" spans="9:10" x14ac:dyDescent="0.25">
      <c r="I5985" s="17"/>
      <c r="J5985" s="18"/>
    </row>
    <row r="5986" spans="9:10" x14ac:dyDescent="0.25">
      <c r="I5986" s="17"/>
      <c r="J5986" s="18"/>
    </row>
    <row r="5987" spans="9:10" x14ac:dyDescent="0.25">
      <c r="I5987" s="17"/>
      <c r="J5987" s="18"/>
    </row>
    <row r="5988" spans="9:10" x14ac:dyDescent="0.25">
      <c r="I5988" s="17"/>
      <c r="J5988" s="18"/>
    </row>
    <row r="5989" spans="9:10" x14ac:dyDescent="0.25">
      <c r="I5989" s="17"/>
      <c r="J5989" s="18"/>
    </row>
    <row r="5990" spans="9:10" x14ac:dyDescent="0.25">
      <c r="I5990" s="17"/>
      <c r="J5990" s="18"/>
    </row>
    <row r="5991" spans="9:10" x14ac:dyDescent="0.25">
      <c r="I5991" s="17"/>
      <c r="J5991" s="18"/>
    </row>
    <row r="5992" spans="9:10" x14ac:dyDescent="0.25">
      <c r="I5992" s="17"/>
      <c r="J5992" s="18"/>
    </row>
    <row r="5993" spans="9:10" x14ac:dyDescent="0.25">
      <c r="I5993" s="17"/>
      <c r="J5993" s="18"/>
    </row>
    <row r="5994" spans="9:10" x14ac:dyDescent="0.25">
      <c r="I5994" s="17"/>
      <c r="J5994" s="18"/>
    </row>
    <row r="5995" spans="9:10" x14ac:dyDescent="0.25">
      <c r="I5995" s="17"/>
      <c r="J5995" s="18"/>
    </row>
    <row r="5996" spans="9:10" x14ac:dyDescent="0.25">
      <c r="I5996" s="17"/>
      <c r="J5996" s="18"/>
    </row>
    <row r="5997" spans="9:10" x14ac:dyDescent="0.25">
      <c r="I5997" s="17"/>
      <c r="J5997" s="18"/>
    </row>
    <row r="5998" spans="9:10" x14ac:dyDescent="0.25">
      <c r="I5998" s="17"/>
      <c r="J5998" s="18"/>
    </row>
    <row r="5999" spans="9:10" x14ac:dyDescent="0.25">
      <c r="I5999" s="17"/>
      <c r="J5999" s="18"/>
    </row>
    <row r="6000" spans="9:10" x14ac:dyDescent="0.25">
      <c r="I6000" s="17"/>
      <c r="J6000" s="18"/>
    </row>
    <row r="6001" spans="9:10" x14ac:dyDescent="0.25">
      <c r="I6001" s="17"/>
      <c r="J6001" s="18"/>
    </row>
    <row r="6002" spans="9:10" x14ac:dyDescent="0.25">
      <c r="I6002" s="17"/>
      <c r="J6002" s="18"/>
    </row>
    <row r="6003" spans="9:10" x14ac:dyDescent="0.25">
      <c r="I6003" s="17"/>
      <c r="J6003" s="18"/>
    </row>
    <row r="6004" spans="9:10" x14ac:dyDescent="0.25">
      <c r="I6004" s="17"/>
      <c r="J6004" s="18"/>
    </row>
    <row r="6005" spans="9:10" x14ac:dyDescent="0.25">
      <c r="I6005" s="17"/>
      <c r="J6005" s="18"/>
    </row>
    <row r="6006" spans="9:10" x14ac:dyDescent="0.25">
      <c r="I6006" s="17"/>
      <c r="J6006" s="18"/>
    </row>
    <row r="6007" spans="9:10" x14ac:dyDescent="0.25">
      <c r="I6007" s="17"/>
      <c r="J6007" s="18"/>
    </row>
    <row r="6008" spans="9:10" x14ac:dyDescent="0.25">
      <c r="I6008" s="17"/>
      <c r="J6008" s="18"/>
    </row>
    <row r="6009" spans="9:10" x14ac:dyDescent="0.25">
      <c r="I6009" s="17"/>
      <c r="J6009" s="18"/>
    </row>
    <row r="6010" spans="9:10" x14ac:dyDescent="0.25">
      <c r="I6010" s="17"/>
      <c r="J6010" s="18"/>
    </row>
    <row r="6011" spans="9:10" x14ac:dyDescent="0.25">
      <c r="I6011" s="17"/>
      <c r="J6011" s="18"/>
    </row>
    <row r="6012" spans="9:10" x14ac:dyDescent="0.25">
      <c r="I6012" s="17"/>
      <c r="J6012" s="18"/>
    </row>
    <row r="6013" spans="9:10" x14ac:dyDescent="0.25">
      <c r="I6013" s="17"/>
      <c r="J6013" s="18"/>
    </row>
    <row r="6014" spans="9:10" x14ac:dyDescent="0.25">
      <c r="I6014" s="17"/>
      <c r="J6014" s="18"/>
    </row>
    <row r="6015" spans="9:10" x14ac:dyDescent="0.25">
      <c r="I6015" s="17"/>
      <c r="J6015" s="18"/>
    </row>
    <row r="6016" spans="9:10" x14ac:dyDescent="0.25">
      <c r="I6016" s="17"/>
      <c r="J6016" s="18"/>
    </row>
    <row r="6017" spans="9:10" x14ac:dyDescent="0.25">
      <c r="I6017" s="17"/>
      <c r="J6017" s="18"/>
    </row>
    <row r="6018" spans="9:10" x14ac:dyDescent="0.25">
      <c r="I6018" s="17"/>
      <c r="J6018" s="18"/>
    </row>
    <row r="6019" spans="9:10" x14ac:dyDescent="0.25">
      <c r="I6019" s="17"/>
      <c r="J6019" s="18"/>
    </row>
    <row r="6020" spans="9:10" x14ac:dyDescent="0.25">
      <c r="I6020" s="17"/>
      <c r="J6020" s="18"/>
    </row>
    <row r="6021" spans="9:10" x14ac:dyDescent="0.25">
      <c r="I6021" s="17"/>
      <c r="J6021" s="18"/>
    </row>
    <row r="6022" spans="9:10" x14ac:dyDescent="0.25">
      <c r="I6022" s="17"/>
      <c r="J6022" s="18"/>
    </row>
    <row r="6023" spans="9:10" x14ac:dyDescent="0.25">
      <c r="I6023" s="17"/>
      <c r="J6023" s="18"/>
    </row>
    <row r="6024" spans="9:10" x14ac:dyDescent="0.25">
      <c r="I6024" s="17"/>
      <c r="J6024" s="18"/>
    </row>
    <row r="6025" spans="9:10" x14ac:dyDescent="0.25">
      <c r="I6025" s="17"/>
      <c r="J6025" s="18"/>
    </row>
    <row r="6026" spans="9:10" x14ac:dyDescent="0.25">
      <c r="I6026" s="17"/>
      <c r="J6026" s="18"/>
    </row>
    <row r="6027" spans="9:10" x14ac:dyDescent="0.25">
      <c r="I6027" s="17"/>
      <c r="J6027" s="18"/>
    </row>
    <row r="6028" spans="9:10" x14ac:dyDescent="0.25">
      <c r="I6028" s="17"/>
      <c r="J6028" s="18"/>
    </row>
    <row r="6029" spans="9:10" x14ac:dyDescent="0.25">
      <c r="I6029" s="17"/>
      <c r="J6029" s="18"/>
    </row>
    <row r="6030" spans="9:10" x14ac:dyDescent="0.25">
      <c r="I6030" s="17"/>
      <c r="J6030" s="18"/>
    </row>
    <row r="6031" spans="9:10" x14ac:dyDescent="0.25">
      <c r="I6031" s="17"/>
      <c r="J6031" s="18"/>
    </row>
    <row r="6032" spans="9:10" x14ac:dyDescent="0.25">
      <c r="I6032" s="17"/>
      <c r="J6032" s="18"/>
    </row>
    <row r="6033" spans="9:10" x14ac:dyDescent="0.25">
      <c r="I6033" s="17"/>
      <c r="J6033" s="18"/>
    </row>
    <row r="6034" spans="9:10" x14ac:dyDescent="0.25">
      <c r="I6034" s="17"/>
      <c r="J6034" s="18"/>
    </row>
    <row r="6035" spans="9:10" x14ac:dyDescent="0.25">
      <c r="I6035" s="17"/>
      <c r="J6035" s="18"/>
    </row>
    <row r="6036" spans="9:10" x14ac:dyDescent="0.25">
      <c r="I6036" s="17"/>
      <c r="J6036" s="18"/>
    </row>
    <row r="6037" spans="9:10" x14ac:dyDescent="0.25">
      <c r="I6037" s="17"/>
      <c r="J6037" s="18"/>
    </row>
    <row r="6038" spans="9:10" x14ac:dyDescent="0.25">
      <c r="I6038" s="17"/>
      <c r="J6038" s="18"/>
    </row>
    <row r="6039" spans="9:10" x14ac:dyDescent="0.25">
      <c r="I6039" s="17"/>
      <c r="J6039" s="18"/>
    </row>
    <row r="6040" spans="9:10" x14ac:dyDescent="0.25">
      <c r="I6040" s="17"/>
      <c r="J6040" s="18"/>
    </row>
    <row r="6041" spans="9:10" x14ac:dyDescent="0.25">
      <c r="I6041" s="17"/>
      <c r="J6041" s="18"/>
    </row>
    <row r="6042" spans="9:10" x14ac:dyDescent="0.25">
      <c r="I6042" s="17"/>
      <c r="J6042" s="18"/>
    </row>
    <row r="6043" spans="9:10" x14ac:dyDescent="0.25">
      <c r="I6043" s="17"/>
      <c r="J6043" s="18"/>
    </row>
    <row r="6044" spans="9:10" x14ac:dyDescent="0.25">
      <c r="I6044" s="17"/>
      <c r="J6044" s="18"/>
    </row>
    <row r="6045" spans="9:10" x14ac:dyDescent="0.25">
      <c r="I6045" s="17"/>
      <c r="J6045" s="18"/>
    </row>
    <row r="6046" spans="9:10" x14ac:dyDescent="0.25">
      <c r="I6046" s="17"/>
      <c r="J6046" s="18"/>
    </row>
    <row r="6047" spans="9:10" x14ac:dyDescent="0.25">
      <c r="I6047" s="17"/>
      <c r="J6047" s="18"/>
    </row>
    <row r="6048" spans="9:10" x14ac:dyDescent="0.25">
      <c r="I6048" s="17"/>
      <c r="J6048" s="18"/>
    </row>
    <row r="6049" spans="9:10" x14ac:dyDescent="0.25">
      <c r="I6049" s="17"/>
      <c r="J6049" s="18"/>
    </row>
    <row r="6050" spans="9:10" x14ac:dyDescent="0.25">
      <c r="I6050" s="17"/>
      <c r="J6050" s="18"/>
    </row>
    <row r="6051" spans="9:10" x14ac:dyDescent="0.25">
      <c r="I6051" s="17"/>
      <c r="J6051" s="18"/>
    </row>
    <row r="6052" spans="9:10" x14ac:dyDescent="0.25">
      <c r="I6052" s="17"/>
      <c r="J6052" s="18"/>
    </row>
    <row r="6053" spans="9:10" x14ac:dyDescent="0.25">
      <c r="I6053" s="17"/>
      <c r="J6053" s="18"/>
    </row>
    <row r="6054" spans="9:10" x14ac:dyDescent="0.25">
      <c r="I6054" s="17"/>
      <c r="J6054" s="18"/>
    </row>
    <row r="6055" spans="9:10" x14ac:dyDescent="0.25">
      <c r="I6055" s="17"/>
      <c r="J6055" s="18"/>
    </row>
    <row r="6056" spans="9:10" x14ac:dyDescent="0.25">
      <c r="I6056" s="17"/>
      <c r="J6056" s="18"/>
    </row>
    <row r="6057" spans="9:10" x14ac:dyDescent="0.25">
      <c r="I6057" s="17"/>
      <c r="J6057" s="18"/>
    </row>
    <row r="6058" spans="9:10" x14ac:dyDescent="0.25">
      <c r="I6058" s="17"/>
      <c r="J6058" s="18"/>
    </row>
    <row r="6059" spans="9:10" x14ac:dyDescent="0.25">
      <c r="I6059" s="17"/>
      <c r="J6059" s="18"/>
    </row>
    <row r="6060" spans="9:10" x14ac:dyDescent="0.25">
      <c r="I6060" s="17"/>
      <c r="J6060" s="18"/>
    </row>
    <row r="6061" spans="9:10" x14ac:dyDescent="0.25">
      <c r="I6061" s="17"/>
      <c r="J6061" s="18"/>
    </row>
    <row r="6062" spans="9:10" x14ac:dyDescent="0.25">
      <c r="I6062" s="17"/>
      <c r="J6062" s="18"/>
    </row>
    <row r="6063" spans="9:10" x14ac:dyDescent="0.25">
      <c r="I6063" s="17"/>
      <c r="J6063" s="18"/>
    </row>
    <row r="6064" spans="9:10" x14ac:dyDescent="0.25">
      <c r="I6064" s="17"/>
      <c r="J6064" s="18"/>
    </row>
    <row r="6065" spans="9:10" x14ac:dyDescent="0.25">
      <c r="I6065" s="17"/>
      <c r="J6065" s="18"/>
    </row>
    <row r="6066" spans="9:10" x14ac:dyDescent="0.25">
      <c r="I6066" s="17"/>
      <c r="J6066" s="18"/>
    </row>
    <row r="6067" spans="9:10" x14ac:dyDescent="0.25">
      <c r="I6067" s="17"/>
      <c r="J6067" s="18"/>
    </row>
    <row r="6068" spans="9:10" x14ac:dyDescent="0.25">
      <c r="I6068" s="17"/>
      <c r="J6068" s="18"/>
    </row>
    <row r="6069" spans="9:10" x14ac:dyDescent="0.25">
      <c r="I6069" s="17"/>
      <c r="J6069" s="18"/>
    </row>
    <row r="6070" spans="9:10" x14ac:dyDescent="0.25">
      <c r="I6070" s="17"/>
      <c r="J6070" s="18"/>
    </row>
    <row r="6071" spans="9:10" x14ac:dyDescent="0.25">
      <c r="I6071" s="17"/>
      <c r="J6071" s="18"/>
    </row>
    <row r="6072" spans="9:10" x14ac:dyDescent="0.25">
      <c r="I6072" s="17"/>
      <c r="J6072" s="18"/>
    </row>
    <row r="6073" spans="9:10" x14ac:dyDescent="0.25">
      <c r="I6073" s="17"/>
      <c r="J6073" s="18"/>
    </row>
    <row r="6074" spans="9:10" x14ac:dyDescent="0.25">
      <c r="I6074" s="17"/>
      <c r="J6074" s="18"/>
    </row>
    <row r="6075" spans="9:10" x14ac:dyDescent="0.25">
      <c r="I6075" s="17"/>
      <c r="J6075" s="18"/>
    </row>
    <row r="6076" spans="9:10" x14ac:dyDescent="0.25">
      <c r="I6076" s="17"/>
      <c r="J6076" s="18"/>
    </row>
    <row r="6077" spans="9:10" x14ac:dyDescent="0.25">
      <c r="I6077" s="17"/>
      <c r="J6077" s="18"/>
    </row>
    <row r="6078" spans="9:10" x14ac:dyDescent="0.25">
      <c r="I6078" s="17"/>
      <c r="J6078" s="18"/>
    </row>
    <row r="6079" spans="9:10" x14ac:dyDescent="0.25">
      <c r="I6079" s="17"/>
      <c r="J6079" s="18"/>
    </row>
    <row r="6080" spans="9:10" x14ac:dyDescent="0.25">
      <c r="I6080" s="17"/>
      <c r="J6080" s="18"/>
    </row>
    <row r="6081" spans="9:10" x14ac:dyDescent="0.25">
      <c r="I6081" s="17"/>
      <c r="J6081" s="18"/>
    </row>
    <row r="6082" spans="9:10" x14ac:dyDescent="0.25">
      <c r="I6082" s="17"/>
      <c r="J6082" s="18"/>
    </row>
    <row r="6083" spans="9:10" x14ac:dyDescent="0.25">
      <c r="I6083" s="17"/>
      <c r="J6083" s="18"/>
    </row>
    <row r="6084" spans="9:10" x14ac:dyDescent="0.25">
      <c r="I6084" s="17"/>
      <c r="J6084" s="18"/>
    </row>
    <row r="6085" spans="9:10" x14ac:dyDescent="0.25">
      <c r="I6085" s="17"/>
      <c r="J6085" s="18"/>
    </row>
    <row r="6086" spans="9:10" x14ac:dyDescent="0.25">
      <c r="I6086" s="17"/>
      <c r="J6086" s="18"/>
    </row>
    <row r="6087" spans="9:10" x14ac:dyDescent="0.25">
      <c r="I6087" s="17"/>
      <c r="J6087" s="18"/>
    </row>
    <row r="6088" spans="9:10" x14ac:dyDescent="0.25">
      <c r="I6088" s="17"/>
      <c r="J6088" s="18"/>
    </row>
    <row r="6089" spans="9:10" x14ac:dyDescent="0.25">
      <c r="I6089" s="17"/>
      <c r="J6089" s="18"/>
    </row>
    <row r="6090" spans="9:10" x14ac:dyDescent="0.25">
      <c r="I6090" s="17"/>
      <c r="J6090" s="18"/>
    </row>
    <row r="6091" spans="9:10" x14ac:dyDescent="0.25">
      <c r="I6091" s="17"/>
      <c r="J6091" s="18"/>
    </row>
    <row r="6092" spans="9:10" x14ac:dyDescent="0.25">
      <c r="I6092" s="17"/>
      <c r="J6092" s="18"/>
    </row>
    <row r="6093" spans="9:10" x14ac:dyDescent="0.25">
      <c r="I6093" s="17"/>
      <c r="J6093" s="18"/>
    </row>
    <row r="6094" spans="9:10" x14ac:dyDescent="0.25">
      <c r="I6094" s="17"/>
      <c r="J6094" s="18"/>
    </row>
    <row r="6095" spans="9:10" x14ac:dyDescent="0.25">
      <c r="I6095" s="17"/>
      <c r="J6095" s="18"/>
    </row>
    <row r="6096" spans="9:10" x14ac:dyDescent="0.25">
      <c r="I6096" s="17"/>
      <c r="J6096" s="18"/>
    </row>
    <row r="6097" spans="9:10" x14ac:dyDescent="0.25">
      <c r="I6097" s="17"/>
      <c r="J6097" s="18"/>
    </row>
    <row r="6098" spans="9:10" x14ac:dyDescent="0.25">
      <c r="I6098" s="17"/>
      <c r="J6098" s="18"/>
    </row>
    <row r="6099" spans="9:10" x14ac:dyDescent="0.25">
      <c r="I6099" s="17"/>
      <c r="J6099" s="18"/>
    </row>
    <row r="6100" spans="9:10" x14ac:dyDescent="0.25">
      <c r="I6100" s="17"/>
      <c r="J6100" s="18"/>
    </row>
    <row r="6101" spans="9:10" x14ac:dyDescent="0.25">
      <c r="I6101" s="17"/>
      <c r="J6101" s="18"/>
    </row>
    <row r="6102" spans="9:10" x14ac:dyDescent="0.25">
      <c r="I6102" s="17"/>
      <c r="J6102" s="18"/>
    </row>
    <row r="6103" spans="9:10" x14ac:dyDescent="0.25">
      <c r="I6103" s="17"/>
      <c r="J6103" s="18"/>
    </row>
    <row r="6104" spans="9:10" x14ac:dyDescent="0.25">
      <c r="I6104" s="17"/>
      <c r="J6104" s="18"/>
    </row>
    <row r="6105" spans="9:10" x14ac:dyDescent="0.25">
      <c r="I6105" s="17"/>
      <c r="J6105" s="18"/>
    </row>
    <row r="6106" spans="9:10" x14ac:dyDescent="0.25">
      <c r="I6106" s="17"/>
      <c r="J6106" s="18"/>
    </row>
    <row r="6107" spans="9:10" x14ac:dyDescent="0.25">
      <c r="I6107" s="17"/>
      <c r="J6107" s="18"/>
    </row>
    <row r="6108" spans="9:10" x14ac:dyDescent="0.25">
      <c r="I6108" s="17"/>
      <c r="J6108" s="18"/>
    </row>
    <row r="6109" spans="9:10" x14ac:dyDescent="0.25">
      <c r="I6109" s="17"/>
      <c r="J6109" s="18"/>
    </row>
    <row r="6110" spans="9:10" x14ac:dyDescent="0.25">
      <c r="I6110" s="17"/>
      <c r="J6110" s="18"/>
    </row>
    <row r="6111" spans="9:10" x14ac:dyDescent="0.25">
      <c r="I6111" s="17"/>
      <c r="J6111" s="18"/>
    </row>
    <row r="6112" spans="9:10" x14ac:dyDescent="0.25">
      <c r="I6112" s="17"/>
      <c r="J6112" s="18"/>
    </row>
    <row r="6113" spans="9:10" x14ac:dyDescent="0.25">
      <c r="I6113" s="17"/>
      <c r="J6113" s="18"/>
    </row>
    <row r="6114" spans="9:10" x14ac:dyDescent="0.25">
      <c r="I6114" s="17"/>
      <c r="J6114" s="18"/>
    </row>
    <row r="6115" spans="9:10" x14ac:dyDescent="0.25">
      <c r="I6115" s="17"/>
      <c r="J6115" s="18"/>
    </row>
    <row r="6116" spans="9:10" x14ac:dyDescent="0.25">
      <c r="I6116" s="17"/>
      <c r="J6116" s="18"/>
    </row>
    <row r="6117" spans="9:10" x14ac:dyDescent="0.25">
      <c r="I6117" s="17"/>
      <c r="J6117" s="18"/>
    </row>
    <row r="6118" spans="9:10" x14ac:dyDescent="0.25">
      <c r="I6118" s="17"/>
      <c r="J6118" s="18"/>
    </row>
    <row r="6119" spans="9:10" x14ac:dyDescent="0.25">
      <c r="I6119" s="17"/>
      <c r="J6119" s="18"/>
    </row>
    <row r="6120" spans="9:10" x14ac:dyDescent="0.25">
      <c r="I6120" s="17"/>
      <c r="J6120" s="18"/>
    </row>
    <row r="6121" spans="9:10" x14ac:dyDescent="0.25">
      <c r="I6121" s="17"/>
      <c r="J6121" s="18"/>
    </row>
    <row r="6122" spans="9:10" x14ac:dyDescent="0.25">
      <c r="I6122" s="17"/>
      <c r="J6122" s="18"/>
    </row>
    <row r="6123" spans="9:10" x14ac:dyDescent="0.25">
      <c r="I6123" s="17"/>
      <c r="J6123" s="18"/>
    </row>
    <row r="6124" spans="9:10" x14ac:dyDescent="0.25">
      <c r="I6124" s="17"/>
      <c r="J6124" s="18"/>
    </row>
    <row r="6125" spans="9:10" x14ac:dyDescent="0.25">
      <c r="I6125" s="17"/>
      <c r="J6125" s="18"/>
    </row>
    <row r="6126" spans="9:10" x14ac:dyDescent="0.25">
      <c r="I6126" s="17"/>
      <c r="J6126" s="18"/>
    </row>
    <row r="6127" spans="9:10" x14ac:dyDescent="0.25">
      <c r="I6127" s="17"/>
      <c r="J6127" s="18"/>
    </row>
    <row r="6128" spans="9:10" x14ac:dyDescent="0.25">
      <c r="I6128" s="17"/>
      <c r="J6128" s="18"/>
    </row>
    <row r="6129" spans="9:10" x14ac:dyDescent="0.25">
      <c r="I6129" s="17"/>
      <c r="J6129" s="18"/>
    </row>
    <row r="6130" spans="9:10" x14ac:dyDescent="0.25">
      <c r="I6130" s="17"/>
      <c r="J6130" s="18"/>
    </row>
    <row r="6131" spans="9:10" x14ac:dyDescent="0.25">
      <c r="I6131" s="17"/>
      <c r="J6131" s="18"/>
    </row>
    <row r="6132" spans="9:10" x14ac:dyDescent="0.25">
      <c r="I6132" s="17"/>
      <c r="J6132" s="18"/>
    </row>
    <row r="6133" spans="9:10" x14ac:dyDescent="0.25">
      <c r="I6133" s="17"/>
      <c r="J6133" s="18"/>
    </row>
    <row r="6134" spans="9:10" x14ac:dyDescent="0.25">
      <c r="I6134" s="17"/>
      <c r="J6134" s="18"/>
    </row>
    <row r="6135" spans="9:10" x14ac:dyDescent="0.25">
      <c r="I6135" s="17"/>
      <c r="J6135" s="18"/>
    </row>
    <row r="6136" spans="9:10" x14ac:dyDescent="0.25">
      <c r="I6136" s="17"/>
      <c r="J6136" s="18"/>
    </row>
    <row r="6137" spans="9:10" x14ac:dyDescent="0.25">
      <c r="I6137" s="17"/>
      <c r="J6137" s="18"/>
    </row>
    <row r="6138" spans="9:10" x14ac:dyDescent="0.25">
      <c r="I6138" s="17"/>
      <c r="J6138" s="18"/>
    </row>
    <row r="6139" spans="9:10" x14ac:dyDescent="0.25">
      <c r="I6139" s="17"/>
      <c r="J6139" s="18"/>
    </row>
    <row r="6140" spans="9:10" x14ac:dyDescent="0.25">
      <c r="I6140" s="17"/>
      <c r="J6140" s="18"/>
    </row>
    <row r="6141" spans="9:10" x14ac:dyDescent="0.25">
      <c r="I6141" s="17"/>
      <c r="J6141" s="18"/>
    </row>
    <row r="6142" spans="9:10" x14ac:dyDescent="0.25">
      <c r="I6142" s="17"/>
      <c r="J6142" s="18"/>
    </row>
    <row r="6143" spans="9:10" x14ac:dyDescent="0.25">
      <c r="I6143" s="17"/>
      <c r="J6143" s="18"/>
    </row>
    <row r="6144" spans="9:10" x14ac:dyDescent="0.25">
      <c r="I6144" s="17"/>
      <c r="J6144" s="18"/>
    </row>
    <row r="6145" spans="9:10" x14ac:dyDescent="0.25">
      <c r="I6145" s="17"/>
      <c r="J6145" s="18"/>
    </row>
    <row r="6146" spans="9:10" x14ac:dyDescent="0.25">
      <c r="I6146" s="17"/>
      <c r="J6146" s="18"/>
    </row>
    <row r="6147" spans="9:10" x14ac:dyDescent="0.25">
      <c r="I6147" s="17"/>
      <c r="J6147" s="18"/>
    </row>
    <row r="6148" spans="9:10" x14ac:dyDescent="0.25">
      <c r="I6148" s="17"/>
      <c r="J6148" s="18"/>
    </row>
    <row r="6149" spans="9:10" x14ac:dyDescent="0.25">
      <c r="I6149" s="17"/>
      <c r="J6149" s="18"/>
    </row>
    <row r="6150" spans="9:10" x14ac:dyDescent="0.25">
      <c r="I6150" s="17"/>
      <c r="J6150" s="18"/>
    </row>
    <row r="6151" spans="9:10" x14ac:dyDescent="0.25">
      <c r="I6151" s="17"/>
      <c r="J6151" s="18"/>
    </row>
    <row r="6152" spans="9:10" x14ac:dyDescent="0.25">
      <c r="I6152" s="17"/>
      <c r="J6152" s="18"/>
    </row>
    <row r="6153" spans="9:10" x14ac:dyDescent="0.25">
      <c r="I6153" s="17"/>
      <c r="J6153" s="18"/>
    </row>
    <row r="6154" spans="9:10" x14ac:dyDescent="0.25">
      <c r="I6154" s="17"/>
      <c r="J6154" s="18"/>
    </row>
    <row r="6155" spans="9:10" x14ac:dyDescent="0.25">
      <c r="I6155" s="17"/>
      <c r="J6155" s="18"/>
    </row>
    <row r="6156" spans="9:10" x14ac:dyDescent="0.25">
      <c r="I6156" s="17"/>
      <c r="J6156" s="18"/>
    </row>
    <row r="6157" spans="9:10" x14ac:dyDescent="0.25">
      <c r="I6157" s="17"/>
      <c r="J6157" s="18"/>
    </row>
    <row r="6158" spans="9:10" x14ac:dyDescent="0.25">
      <c r="I6158" s="17"/>
      <c r="J6158" s="18"/>
    </row>
    <row r="6159" spans="9:10" x14ac:dyDescent="0.25">
      <c r="I6159" s="17"/>
      <c r="J6159" s="18"/>
    </row>
    <row r="6160" spans="9:10" x14ac:dyDescent="0.25">
      <c r="I6160" s="17"/>
      <c r="J6160" s="18"/>
    </row>
    <row r="6161" spans="9:10" x14ac:dyDescent="0.25">
      <c r="I6161" s="17"/>
      <c r="J6161" s="18"/>
    </row>
    <row r="6162" spans="9:10" x14ac:dyDescent="0.25">
      <c r="I6162" s="17"/>
      <c r="J6162" s="18"/>
    </row>
    <row r="6163" spans="9:10" x14ac:dyDescent="0.25">
      <c r="I6163" s="17"/>
      <c r="J6163" s="18"/>
    </row>
    <row r="6164" spans="9:10" x14ac:dyDescent="0.25">
      <c r="I6164" s="17"/>
      <c r="J6164" s="18"/>
    </row>
    <row r="6165" spans="9:10" x14ac:dyDescent="0.25">
      <c r="I6165" s="17"/>
      <c r="J6165" s="18"/>
    </row>
    <row r="6166" spans="9:10" x14ac:dyDescent="0.25">
      <c r="I6166" s="17"/>
      <c r="J6166" s="18"/>
    </row>
    <row r="6167" spans="9:10" x14ac:dyDescent="0.25">
      <c r="I6167" s="17"/>
      <c r="J6167" s="18"/>
    </row>
    <row r="6168" spans="9:10" x14ac:dyDescent="0.25">
      <c r="I6168" s="17"/>
      <c r="J6168" s="18"/>
    </row>
    <row r="6169" spans="9:10" x14ac:dyDescent="0.25">
      <c r="I6169" s="17"/>
      <c r="J6169" s="18"/>
    </row>
    <row r="6170" spans="9:10" x14ac:dyDescent="0.25">
      <c r="I6170" s="17"/>
      <c r="J6170" s="18"/>
    </row>
    <row r="6171" spans="9:10" x14ac:dyDescent="0.25">
      <c r="I6171" s="17"/>
      <c r="J6171" s="18"/>
    </row>
    <row r="6172" spans="9:10" x14ac:dyDescent="0.25">
      <c r="I6172" s="17"/>
      <c r="J6172" s="18"/>
    </row>
    <row r="6173" spans="9:10" x14ac:dyDescent="0.25">
      <c r="I6173" s="17"/>
      <c r="J6173" s="18"/>
    </row>
    <row r="6174" spans="9:10" x14ac:dyDescent="0.25">
      <c r="I6174" s="17"/>
      <c r="J6174" s="18"/>
    </row>
    <row r="6175" spans="9:10" x14ac:dyDescent="0.25">
      <c r="I6175" s="17"/>
      <c r="J6175" s="18"/>
    </row>
    <row r="6176" spans="9:10" x14ac:dyDescent="0.25">
      <c r="I6176" s="17"/>
      <c r="J6176" s="18"/>
    </row>
    <row r="6177" spans="9:10" x14ac:dyDescent="0.25">
      <c r="I6177" s="17"/>
      <c r="J6177" s="18"/>
    </row>
    <row r="6178" spans="9:10" x14ac:dyDescent="0.25">
      <c r="I6178" s="17"/>
      <c r="J6178" s="18"/>
    </row>
    <row r="6179" spans="9:10" x14ac:dyDescent="0.25">
      <c r="I6179" s="17"/>
      <c r="J6179" s="18"/>
    </row>
    <row r="6180" spans="9:10" x14ac:dyDescent="0.25">
      <c r="I6180" s="17"/>
      <c r="J6180" s="18"/>
    </row>
    <row r="6181" spans="9:10" x14ac:dyDescent="0.25">
      <c r="I6181" s="17"/>
      <c r="J6181" s="18"/>
    </row>
    <row r="6182" spans="9:10" x14ac:dyDescent="0.25">
      <c r="I6182" s="17"/>
      <c r="J6182" s="18"/>
    </row>
    <row r="6183" spans="9:10" x14ac:dyDescent="0.25">
      <c r="I6183" s="17"/>
      <c r="J6183" s="18"/>
    </row>
    <row r="6184" spans="9:10" x14ac:dyDescent="0.25">
      <c r="I6184" s="17"/>
      <c r="J6184" s="18"/>
    </row>
    <row r="6185" spans="9:10" x14ac:dyDescent="0.25">
      <c r="I6185" s="17"/>
      <c r="J6185" s="18"/>
    </row>
    <row r="6186" spans="9:10" x14ac:dyDescent="0.25">
      <c r="I6186" s="17"/>
      <c r="J6186" s="18"/>
    </row>
    <row r="6187" spans="9:10" x14ac:dyDescent="0.25">
      <c r="I6187" s="17"/>
      <c r="J6187" s="18"/>
    </row>
    <row r="6188" spans="9:10" x14ac:dyDescent="0.25">
      <c r="I6188" s="17"/>
      <c r="J6188" s="18"/>
    </row>
    <row r="6189" spans="9:10" x14ac:dyDescent="0.25">
      <c r="I6189" s="17"/>
      <c r="J6189" s="18"/>
    </row>
    <row r="6190" spans="9:10" x14ac:dyDescent="0.25">
      <c r="I6190" s="17"/>
      <c r="J6190" s="18"/>
    </row>
    <row r="6191" spans="9:10" x14ac:dyDescent="0.25">
      <c r="I6191" s="17"/>
      <c r="J6191" s="18"/>
    </row>
    <row r="6192" spans="9:10" x14ac:dyDescent="0.25">
      <c r="I6192" s="17"/>
      <c r="J6192" s="18"/>
    </row>
    <row r="6193" spans="9:10" x14ac:dyDescent="0.25">
      <c r="I6193" s="17"/>
      <c r="J6193" s="18"/>
    </row>
    <row r="6194" spans="9:10" x14ac:dyDescent="0.25">
      <c r="I6194" s="17"/>
      <c r="J6194" s="18"/>
    </row>
    <row r="6195" spans="9:10" x14ac:dyDescent="0.25">
      <c r="I6195" s="17"/>
      <c r="J6195" s="18"/>
    </row>
    <row r="6196" spans="9:10" x14ac:dyDescent="0.25">
      <c r="I6196" s="17"/>
      <c r="J6196" s="18"/>
    </row>
    <row r="6197" spans="9:10" x14ac:dyDescent="0.25">
      <c r="I6197" s="17"/>
      <c r="J6197" s="18"/>
    </row>
    <row r="6198" spans="9:10" x14ac:dyDescent="0.25">
      <c r="I6198" s="17"/>
      <c r="J6198" s="18"/>
    </row>
    <row r="6199" spans="9:10" x14ac:dyDescent="0.25">
      <c r="I6199" s="17"/>
      <c r="J6199" s="18"/>
    </row>
    <row r="6200" spans="9:10" x14ac:dyDescent="0.25">
      <c r="I6200" s="17"/>
      <c r="J6200" s="18"/>
    </row>
    <row r="6201" spans="9:10" x14ac:dyDescent="0.25">
      <c r="I6201" s="17"/>
      <c r="J6201" s="18"/>
    </row>
    <row r="6202" spans="9:10" x14ac:dyDescent="0.25">
      <c r="I6202" s="17"/>
      <c r="J6202" s="18"/>
    </row>
    <row r="6203" spans="9:10" x14ac:dyDescent="0.25">
      <c r="I6203" s="17"/>
      <c r="J6203" s="18"/>
    </row>
    <row r="6204" spans="9:10" x14ac:dyDescent="0.25">
      <c r="I6204" s="17"/>
      <c r="J6204" s="18"/>
    </row>
    <row r="6205" spans="9:10" x14ac:dyDescent="0.25">
      <c r="I6205" s="17"/>
      <c r="J6205" s="18"/>
    </row>
    <row r="6206" spans="9:10" x14ac:dyDescent="0.25">
      <c r="I6206" s="17"/>
      <c r="J6206" s="18"/>
    </row>
    <row r="6207" spans="9:10" x14ac:dyDescent="0.25">
      <c r="I6207" s="17"/>
      <c r="J6207" s="18"/>
    </row>
    <row r="6208" spans="9:10" x14ac:dyDescent="0.25">
      <c r="I6208" s="17"/>
      <c r="J6208" s="18"/>
    </row>
    <row r="6209" spans="9:10" x14ac:dyDescent="0.25">
      <c r="I6209" s="17"/>
      <c r="J6209" s="18"/>
    </row>
    <row r="6210" spans="9:10" x14ac:dyDescent="0.25">
      <c r="I6210" s="17"/>
      <c r="J6210" s="18"/>
    </row>
    <row r="6211" spans="9:10" x14ac:dyDescent="0.25">
      <c r="I6211" s="17"/>
      <c r="J6211" s="18"/>
    </row>
    <row r="6212" spans="9:10" x14ac:dyDescent="0.25">
      <c r="I6212" s="17"/>
      <c r="J6212" s="18"/>
    </row>
    <row r="6213" spans="9:10" x14ac:dyDescent="0.25">
      <c r="I6213" s="17"/>
      <c r="J6213" s="18"/>
    </row>
    <row r="6214" spans="9:10" x14ac:dyDescent="0.25">
      <c r="I6214" s="17"/>
      <c r="J6214" s="18"/>
    </row>
    <row r="6215" spans="9:10" x14ac:dyDescent="0.25">
      <c r="I6215" s="17"/>
      <c r="J6215" s="18"/>
    </row>
    <row r="6216" spans="9:10" x14ac:dyDescent="0.25">
      <c r="I6216" s="17"/>
      <c r="J6216" s="18"/>
    </row>
    <row r="6217" spans="9:10" x14ac:dyDescent="0.25">
      <c r="I6217" s="17"/>
      <c r="J6217" s="18"/>
    </row>
    <row r="6218" spans="9:10" x14ac:dyDescent="0.25">
      <c r="I6218" s="17"/>
      <c r="J6218" s="18"/>
    </row>
    <row r="6219" spans="9:10" x14ac:dyDescent="0.25">
      <c r="I6219" s="17"/>
      <c r="J6219" s="18"/>
    </row>
    <row r="6220" spans="9:10" x14ac:dyDescent="0.25">
      <c r="I6220" s="17"/>
      <c r="J6220" s="18"/>
    </row>
    <row r="6221" spans="9:10" x14ac:dyDescent="0.25">
      <c r="I6221" s="17"/>
      <c r="J6221" s="18"/>
    </row>
    <row r="6222" spans="9:10" x14ac:dyDescent="0.25">
      <c r="I6222" s="17"/>
      <c r="J6222" s="18"/>
    </row>
    <row r="6223" spans="9:10" x14ac:dyDescent="0.25">
      <c r="I6223" s="17"/>
      <c r="J6223" s="18"/>
    </row>
    <row r="6224" spans="9:10" x14ac:dyDescent="0.25">
      <c r="I6224" s="17"/>
      <c r="J6224" s="18"/>
    </row>
    <row r="6225" spans="9:10" x14ac:dyDescent="0.25">
      <c r="I6225" s="17"/>
      <c r="J6225" s="18"/>
    </row>
    <row r="6226" spans="9:10" x14ac:dyDescent="0.25">
      <c r="I6226" s="17"/>
      <c r="J6226" s="18"/>
    </row>
    <row r="6227" spans="9:10" x14ac:dyDescent="0.25">
      <c r="I6227" s="17"/>
      <c r="J6227" s="18"/>
    </row>
    <row r="6228" spans="9:10" x14ac:dyDescent="0.25">
      <c r="I6228" s="17"/>
      <c r="J6228" s="18"/>
    </row>
    <row r="6229" spans="9:10" x14ac:dyDescent="0.25">
      <c r="I6229" s="17"/>
      <c r="J6229" s="18"/>
    </row>
    <row r="6230" spans="9:10" x14ac:dyDescent="0.25">
      <c r="I6230" s="17"/>
      <c r="J6230" s="18"/>
    </row>
    <row r="6231" spans="9:10" x14ac:dyDescent="0.25">
      <c r="I6231" s="17"/>
      <c r="J6231" s="18"/>
    </row>
    <row r="6232" spans="9:10" x14ac:dyDescent="0.25">
      <c r="I6232" s="17"/>
      <c r="J6232" s="18"/>
    </row>
    <row r="6233" spans="9:10" x14ac:dyDescent="0.25">
      <c r="I6233" s="17"/>
      <c r="J6233" s="18"/>
    </row>
    <row r="6234" spans="9:10" x14ac:dyDescent="0.25">
      <c r="I6234" s="17"/>
      <c r="J6234" s="18"/>
    </row>
    <row r="6235" spans="9:10" x14ac:dyDescent="0.25">
      <c r="I6235" s="17"/>
      <c r="J6235" s="18"/>
    </row>
    <row r="6236" spans="9:10" x14ac:dyDescent="0.25">
      <c r="I6236" s="17"/>
      <c r="J6236" s="18"/>
    </row>
    <row r="6237" spans="9:10" x14ac:dyDescent="0.25">
      <c r="I6237" s="17"/>
      <c r="J6237" s="18"/>
    </row>
    <row r="6238" spans="9:10" x14ac:dyDescent="0.25">
      <c r="I6238" s="17"/>
      <c r="J6238" s="18"/>
    </row>
    <row r="6239" spans="9:10" x14ac:dyDescent="0.25">
      <c r="I6239" s="17"/>
      <c r="J6239" s="18"/>
    </row>
    <row r="6240" spans="9:10" x14ac:dyDescent="0.25">
      <c r="I6240" s="17"/>
      <c r="J6240" s="18"/>
    </row>
    <row r="6241" spans="9:10" x14ac:dyDescent="0.25">
      <c r="I6241" s="17"/>
      <c r="J6241" s="18"/>
    </row>
    <row r="6242" spans="9:10" x14ac:dyDescent="0.25">
      <c r="I6242" s="17"/>
      <c r="J6242" s="18"/>
    </row>
    <row r="6243" spans="9:10" x14ac:dyDescent="0.25">
      <c r="I6243" s="17"/>
      <c r="J6243" s="18"/>
    </row>
    <row r="6244" spans="9:10" x14ac:dyDescent="0.25">
      <c r="I6244" s="17"/>
      <c r="J6244" s="18"/>
    </row>
    <row r="6245" spans="9:10" x14ac:dyDescent="0.25">
      <c r="I6245" s="17"/>
      <c r="J6245" s="18"/>
    </row>
    <row r="6246" spans="9:10" x14ac:dyDescent="0.25">
      <c r="I6246" s="17"/>
      <c r="J6246" s="18"/>
    </row>
    <row r="6247" spans="9:10" x14ac:dyDescent="0.25">
      <c r="I6247" s="17"/>
      <c r="J6247" s="18"/>
    </row>
    <row r="6248" spans="9:10" x14ac:dyDescent="0.25">
      <c r="I6248" s="17"/>
      <c r="J6248" s="18"/>
    </row>
    <row r="6249" spans="9:10" x14ac:dyDescent="0.25">
      <c r="I6249" s="17"/>
      <c r="J6249" s="18"/>
    </row>
    <row r="6250" spans="9:10" x14ac:dyDescent="0.25">
      <c r="I6250" s="17"/>
      <c r="J6250" s="18"/>
    </row>
    <row r="6251" spans="9:10" x14ac:dyDescent="0.25">
      <c r="I6251" s="17"/>
      <c r="J6251" s="18"/>
    </row>
    <row r="6252" spans="9:10" x14ac:dyDescent="0.25">
      <c r="I6252" s="17"/>
      <c r="J6252" s="18"/>
    </row>
    <row r="6253" spans="9:10" x14ac:dyDescent="0.25">
      <c r="I6253" s="17"/>
      <c r="J6253" s="18"/>
    </row>
    <row r="6254" spans="9:10" x14ac:dyDescent="0.25">
      <c r="I6254" s="17"/>
      <c r="J6254" s="18"/>
    </row>
    <row r="6255" spans="9:10" x14ac:dyDescent="0.25">
      <c r="I6255" s="17"/>
      <c r="J6255" s="18"/>
    </row>
    <row r="6256" spans="9:10" x14ac:dyDescent="0.25">
      <c r="I6256" s="17"/>
      <c r="J6256" s="18"/>
    </row>
    <row r="6257" spans="9:10" x14ac:dyDescent="0.25">
      <c r="I6257" s="17"/>
      <c r="J6257" s="18"/>
    </row>
    <row r="6258" spans="9:10" x14ac:dyDescent="0.25">
      <c r="I6258" s="17"/>
      <c r="J6258" s="18"/>
    </row>
    <row r="6259" spans="9:10" x14ac:dyDescent="0.25">
      <c r="I6259" s="17"/>
      <c r="J6259" s="18"/>
    </row>
    <row r="6260" spans="9:10" x14ac:dyDescent="0.25">
      <c r="I6260" s="17"/>
      <c r="J6260" s="18"/>
    </row>
    <row r="6261" spans="9:10" x14ac:dyDescent="0.25">
      <c r="I6261" s="17"/>
      <c r="J6261" s="18"/>
    </row>
    <row r="6262" spans="9:10" x14ac:dyDescent="0.25">
      <c r="I6262" s="17"/>
      <c r="J6262" s="18"/>
    </row>
    <row r="6263" spans="9:10" x14ac:dyDescent="0.25">
      <c r="I6263" s="17"/>
      <c r="J6263" s="18"/>
    </row>
    <row r="6264" spans="9:10" x14ac:dyDescent="0.25">
      <c r="I6264" s="17"/>
      <c r="J6264" s="18"/>
    </row>
    <row r="6265" spans="9:10" x14ac:dyDescent="0.25">
      <c r="I6265" s="17"/>
      <c r="J6265" s="18"/>
    </row>
    <row r="6266" spans="9:10" x14ac:dyDescent="0.25">
      <c r="I6266" s="17"/>
      <c r="J6266" s="18"/>
    </row>
    <row r="6267" spans="9:10" x14ac:dyDescent="0.25">
      <c r="I6267" s="17"/>
      <c r="J6267" s="18"/>
    </row>
    <row r="6268" spans="9:10" x14ac:dyDescent="0.25">
      <c r="I6268" s="17"/>
      <c r="J6268" s="18"/>
    </row>
    <row r="6269" spans="9:10" x14ac:dyDescent="0.25">
      <c r="I6269" s="17"/>
      <c r="J6269" s="18"/>
    </row>
    <row r="6270" spans="9:10" x14ac:dyDescent="0.25">
      <c r="I6270" s="17"/>
      <c r="J6270" s="18"/>
    </row>
    <row r="6271" spans="9:10" x14ac:dyDescent="0.25">
      <c r="I6271" s="17"/>
      <c r="J6271" s="18"/>
    </row>
    <row r="6272" spans="9:10" x14ac:dyDescent="0.25">
      <c r="I6272" s="17"/>
      <c r="J6272" s="18"/>
    </row>
    <row r="6273" spans="9:10" x14ac:dyDescent="0.25">
      <c r="I6273" s="17"/>
      <c r="J6273" s="18"/>
    </row>
    <row r="6274" spans="9:10" x14ac:dyDescent="0.25">
      <c r="I6274" s="17"/>
      <c r="J6274" s="18"/>
    </row>
    <row r="6275" spans="9:10" x14ac:dyDescent="0.25">
      <c r="I6275" s="17"/>
      <c r="J6275" s="18"/>
    </row>
    <row r="6276" spans="9:10" x14ac:dyDescent="0.25">
      <c r="I6276" s="17"/>
      <c r="J6276" s="18"/>
    </row>
    <row r="6277" spans="9:10" x14ac:dyDescent="0.25">
      <c r="I6277" s="17"/>
      <c r="J6277" s="18"/>
    </row>
    <row r="6278" spans="9:10" x14ac:dyDescent="0.25">
      <c r="I6278" s="17"/>
      <c r="J6278" s="18"/>
    </row>
    <row r="6279" spans="9:10" x14ac:dyDescent="0.25">
      <c r="I6279" s="17"/>
      <c r="J6279" s="18"/>
    </row>
    <row r="6280" spans="9:10" x14ac:dyDescent="0.25">
      <c r="I6280" s="17"/>
      <c r="J6280" s="18"/>
    </row>
    <row r="6281" spans="9:10" x14ac:dyDescent="0.25">
      <c r="I6281" s="17"/>
      <c r="J6281" s="18"/>
    </row>
    <row r="6282" spans="9:10" x14ac:dyDescent="0.25">
      <c r="I6282" s="17"/>
      <c r="J6282" s="18"/>
    </row>
    <row r="6283" spans="9:10" x14ac:dyDescent="0.25">
      <c r="I6283" s="17"/>
      <c r="J6283" s="18"/>
    </row>
    <row r="6284" spans="9:10" x14ac:dyDescent="0.25">
      <c r="I6284" s="17"/>
      <c r="J6284" s="18"/>
    </row>
    <row r="6285" spans="9:10" x14ac:dyDescent="0.25">
      <c r="I6285" s="17"/>
      <c r="J6285" s="18"/>
    </row>
    <row r="6286" spans="9:10" x14ac:dyDescent="0.25">
      <c r="I6286" s="17"/>
      <c r="J6286" s="18"/>
    </row>
    <row r="6287" spans="9:10" x14ac:dyDescent="0.25">
      <c r="I6287" s="17"/>
      <c r="J6287" s="18"/>
    </row>
    <row r="6288" spans="9:10" x14ac:dyDescent="0.25">
      <c r="I6288" s="17"/>
      <c r="J6288" s="18"/>
    </row>
    <row r="6289" spans="9:10" x14ac:dyDescent="0.25">
      <c r="I6289" s="17"/>
      <c r="J6289" s="18"/>
    </row>
    <row r="6290" spans="9:10" x14ac:dyDescent="0.25">
      <c r="I6290" s="17"/>
      <c r="J6290" s="18"/>
    </row>
    <row r="6291" spans="9:10" x14ac:dyDescent="0.25">
      <c r="I6291" s="17"/>
      <c r="J6291" s="18"/>
    </row>
    <row r="6292" spans="9:10" x14ac:dyDescent="0.25">
      <c r="I6292" s="17"/>
      <c r="J6292" s="18"/>
    </row>
    <row r="6293" spans="9:10" x14ac:dyDescent="0.25">
      <c r="I6293" s="17"/>
      <c r="J6293" s="18"/>
    </row>
    <row r="6294" spans="9:10" x14ac:dyDescent="0.25">
      <c r="I6294" s="17"/>
      <c r="J6294" s="18"/>
    </row>
    <row r="6295" spans="9:10" x14ac:dyDescent="0.25">
      <c r="I6295" s="17"/>
      <c r="J6295" s="18"/>
    </row>
    <row r="6296" spans="9:10" x14ac:dyDescent="0.25">
      <c r="I6296" s="17"/>
      <c r="J6296" s="18"/>
    </row>
    <row r="6297" spans="9:10" x14ac:dyDescent="0.25">
      <c r="I6297" s="17"/>
      <c r="J6297" s="18"/>
    </row>
    <row r="6298" spans="9:10" x14ac:dyDescent="0.25">
      <c r="I6298" s="17"/>
      <c r="J6298" s="18"/>
    </row>
    <row r="6299" spans="9:10" x14ac:dyDescent="0.25">
      <c r="I6299" s="17"/>
      <c r="J6299" s="18"/>
    </row>
    <row r="6300" spans="9:10" x14ac:dyDescent="0.25">
      <c r="I6300" s="17"/>
      <c r="J6300" s="18"/>
    </row>
    <row r="6301" spans="9:10" x14ac:dyDescent="0.25">
      <c r="I6301" s="17"/>
      <c r="J6301" s="18"/>
    </row>
    <row r="6302" spans="9:10" x14ac:dyDescent="0.25">
      <c r="I6302" s="17"/>
      <c r="J6302" s="18"/>
    </row>
    <row r="6303" spans="9:10" x14ac:dyDescent="0.25">
      <c r="I6303" s="17"/>
      <c r="J6303" s="18"/>
    </row>
    <row r="6304" spans="9:10" x14ac:dyDescent="0.25">
      <c r="I6304" s="17"/>
      <c r="J6304" s="18"/>
    </row>
    <row r="6305" spans="9:10" x14ac:dyDescent="0.25">
      <c r="I6305" s="17"/>
      <c r="J6305" s="18"/>
    </row>
    <row r="6306" spans="9:10" x14ac:dyDescent="0.25">
      <c r="I6306" s="17"/>
      <c r="J6306" s="18"/>
    </row>
    <row r="6307" spans="9:10" x14ac:dyDescent="0.25">
      <c r="I6307" s="17"/>
      <c r="J6307" s="18"/>
    </row>
    <row r="6308" spans="9:10" x14ac:dyDescent="0.25">
      <c r="I6308" s="17"/>
      <c r="J6308" s="18"/>
    </row>
    <row r="6309" spans="9:10" x14ac:dyDescent="0.25">
      <c r="I6309" s="17"/>
      <c r="J6309" s="18"/>
    </row>
    <row r="6310" spans="9:10" x14ac:dyDescent="0.25">
      <c r="I6310" s="17"/>
      <c r="J6310" s="18"/>
    </row>
    <row r="6311" spans="9:10" x14ac:dyDescent="0.25">
      <c r="I6311" s="17"/>
      <c r="J6311" s="18"/>
    </row>
    <row r="6312" spans="9:10" x14ac:dyDescent="0.25">
      <c r="I6312" s="17"/>
      <c r="J6312" s="18"/>
    </row>
    <row r="6313" spans="9:10" x14ac:dyDescent="0.25">
      <c r="I6313" s="17"/>
      <c r="J6313" s="18"/>
    </row>
    <row r="6314" spans="9:10" x14ac:dyDescent="0.25">
      <c r="I6314" s="17"/>
      <c r="J6314" s="18"/>
    </row>
    <row r="6315" spans="9:10" x14ac:dyDescent="0.25">
      <c r="I6315" s="17"/>
      <c r="J6315" s="18"/>
    </row>
    <row r="6316" spans="9:10" x14ac:dyDescent="0.25">
      <c r="I6316" s="17"/>
      <c r="J6316" s="18"/>
    </row>
    <row r="6317" spans="9:10" x14ac:dyDescent="0.25">
      <c r="I6317" s="17"/>
      <c r="J6317" s="18"/>
    </row>
    <row r="6318" spans="9:10" x14ac:dyDescent="0.25">
      <c r="I6318" s="17"/>
      <c r="J6318" s="18"/>
    </row>
    <row r="6319" spans="9:10" x14ac:dyDescent="0.25">
      <c r="I6319" s="17"/>
      <c r="J6319" s="18"/>
    </row>
    <row r="6320" spans="9:10" x14ac:dyDescent="0.25">
      <c r="I6320" s="17"/>
      <c r="J6320" s="18"/>
    </row>
    <row r="6321" spans="9:10" x14ac:dyDescent="0.25">
      <c r="I6321" s="17"/>
      <c r="J6321" s="18"/>
    </row>
    <row r="6322" spans="9:10" x14ac:dyDescent="0.25">
      <c r="I6322" s="17"/>
      <c r="J6322" s="18"/>
    </row>
    <row r="6323" spans="9:10" x14ac:dyDescent="0.25">
      <c r="I6323" s="17"/>
      <c r="J6323" s="18"/>
    </row>
    <row r="6324" spans="9:10" x14ac:dyDescent="0.25">
      <c r="I6324" s="17"/>
      <c r="J6324" s="18"/>
    </row>
    <row r="6325" spans="9:10" x14ac:dyDescent="0.25">
      <c r="I6325" s="17"/>
      <c r="J6325" s="18"/>
    </row>
    <row r="6326" spans="9:10" x14ac:dyDescent="0.25">
      <c r="I6326" s="17"/>
      <c r="J6326" s="18"/>
    </row>
    <row r="6327" spans="9:10" x14ac:dyDescent="0.25">
      <c r="I6327" s="17"/>
      <c r="J6327" s="18"/>
    </row>
    <row r="6328" spans="9:10" x14ac:dyDescent="0.25">
      <c r="I6328" s="17"/>
      <c r="J6328" s="18"/>
    </row>
    <row r="6329" spans="9:10" x14ac:dyDescent="0.25">
      <c r="I6329" s="17"/>
      <c r="J6329" s="18"/>
    </row>
    <row r="6330" spans="9:10" x14ac:dyDescent="0.25">
      <c r="I6330" s="17"/>
      <c r="J6330" s="18"/>
    </row>
    <row r="6331" spans="9:10" x14ac:dyDescent="0.25">
      <c r="I6331" s="17"/>
      <c r="J6331" s="18"/>
    </row>
    <row r="6332" spans="9:10" x14ac:dyDescent="0.25">
      <c r="I6332" s="17"/>
      <c r="J6332" s="18"/>
    </row>
    <row r="6333" spans="9:10" x14ac:dyDescent="0.25">
      <c r="I6333" s="17"/>
      <c r="J6333" s="18"/>
    </row>
    <row r="6334" spans="9:10" x14ac:dyDescent="0.25">
      <c r="I6334" s="17"/>
      <c r="J6334" s="18"/>
    </row>
    <row r="6335" spans="9:10" x14ac:dyDescent="0.25">
      <c r="I6335" s="17"/>
      <c r="J6335" s="18"/>
    </row>
    <row r="6336" spans="9:10" x14ac:dyDescent="0.25">
      <c r="I6336" s="17"/>
      <c r="J6336" s="18"/>
    </row>
    <row r="6337" spans="9:10" x14ac:dyDescent="0.25">
      <c r="I6337" s="17"/>
      <c r="J6337" s="18"/>
    </row>
    <row r="6338" spans="9:10" x14ac:dyDescent="0.25">
      <c r="I6338" s="17"/>
      <c r="J6338" s="18"/>
    </row>
    <row r="6339" spans="9:10" x14ac:dyDescent="0.25">
      <c r="I6339" s="17"/>
      <c r="J6339" s="18"/>
    </row>
    <row r="6340" spans="9:10" x14ac:dyDescent="0.25">
      <c r="I6340" s="17"/>
      <c r="J6340" s="18"/>
    </row>
    <row r="6341" spans="9:10" x14ac:dyDescent="0.25">
      <c r="I6341" s="17"/>
      <c r="J6341" s="18"/>
    </row>
    <row r="6342" spans="9:10" x14ac:dyDescent="0.25">
      <c r="I6342" s="17"/>
      <c r="J6342" s="18"/>
    </row>
    <row r="6343" spans="9:10" x14ac:dyDescent="0.25">
      <c r="I6343" s="17"/>
      <c r="J6343" s="18"/>
    </row>
    <row r="6344" spans="9:10" x14ac:dyDescent="0.25">
      <c r="I6344" s="17"/>
      <c r="J6344" s="18"/>
    </row>
    <row r="6345" spans="9:10" x14ac:dyDescent="0.25">
      <c r="I6345" s="17"/>
      <c r="J6345" s="18"/>
    </row>
    <row r="6346" spans="9:10" x14ac:dyDescent="0.25">
      <c r="I6346" s="17"/>
      <c r="J6346" s="18"/>
    </row>
    <row r="6347" spans="9:10" x14ac:dyDescent="0.25">
      <c r="I6347" s="17"/>
      <c r="J6347" s="18"/>
    </row>
    <row r="6348" spans="9:10" x14ac:dyDescent="0.25">
      <c r="I6348" s="17"/>
      <c r="J6348" s="18"/>
    </row>
    <row r="6349" spans="9:10" x14ac:dyDescent="0.25">
      <c r="I6349" s="17"/>
      <c r="J6349" s="18"/>
    </row>
    <row r="6350" spans="9:10" x14ac:dyDescent="0.25">
      <c r="I6350" s="17"/>
      <c r="J6350" s="18"/>
    </row>
    <row r="6351" spans="9:10" x14ac:dyDescent="0.25">
      <c r="I6351" s="17"/>
      <c r="J6351" s="18"/>
    </row>
    <row r="6352" spans="9:10" x14ac:dyDescent="0.25">
      <c r="I6352" s="17"/>
      <c r="J6352" s="18"/>
    </row>
    <row r="6353" spans="9:10" x14ac:dyDescent="0.25">
      <c r="I6353" s="17"/>
      <c r="J6353" s="18"/>
    </row>
    <row r="6354" spans="9:10" x14ac:dyDescent="0.25">
      <c r="I6354" s="17"/>
      <c r="J6354" s="18"/>
    </row>
    <row r="6355" spans="9:10" x14ac:dyDescent="0.25">
      <c r="I6355" s="17"/>
      <c r="J6355" s="18"/>
    </row>
    <row r="6356" spans="9:10" x14ac:dyDescent="0.25">
      <c r="I6356" s="17"/>
      <c r="J6356" s="18"/>
    </row>
    <row r="6357" spans="9:10" x14ac:dyDescent="0.25">
      <c r="I6357" s="17"/>
      <c r="J6357" s="18"/>
    </row>
    <row r="6358" spans="9:10" x14ac:dyDescent="0.25">
      <c r="I6358" s="17"/>
      <c r="J6358" s="18"/>
    </row>
    <row r="6359" spans="9:10" x14ac:dyDescent="0.25">
      <c r="I6359" s="17"/>
      <c r="J6359" s="18"/>
    </row>
    <row r="6360" spans="9:10" x14ac:dyDescent="0.25">
      <c r="I6360" s="17"/>
      <c r="J6360" s="18"/>
    </row>
    <row r="6361" spans="9:10" x14ac:dyDescent="0.25">
      <c r="I6361" s="17"/>
      <c r="J6361" s="18"/>
    </row>
    <row r="6362" spans="9:10" x14ac:dyDescent="0.25">
      <c r="I6362" s="17"/>
      <c r="J6362" s="18"/>
    </row>
    <row r="6363" spans="9:10" x14ac:dyDescent="0.25">
      <c r="I6363" s="17"/>
      <c r="J6363" s="18"/>
    </row>
    <row r="6364" spans="9:10" x14ac:dyDescent="0.25">
      <c r="I6364" s="17"/>
      <c r="J6364" s="18"/>
    </row>
    <row r="6365" spans="9:10" x14ac:dyDescent="0.25">
      <c r="I6365" s="17"/>
      <c r="J6365" s="18"/>
    </row>
    <row r="6366" spans="9:10" x14ac:dyDescent="0.25">
      <c r="I6366" s="17"/>
      <c r="J6366" s="18"/>
    </row>
    <row r="6367" spans="9:10" x14ac:dyDescent="0.25">
      <c r="I6367" s="17"/>
      <c r="J6367" s="18"/>
    </row>
    <row r="6368" spans="9:10" x14ac:dyDescent="0.25">
      <c r="I6368" s="17"/>
      <c r="J6368" s="18"/>
    </row>
    <row r="6369" spans="9:10" x14ac:dyDescent="0.25">
      <c r="I6369" s="17"/>
      <c r="J6369" s="18"/>
    </row>
    <row r="6370" spans="9:10" x14ac:dyDescent="0.25">
      <c r="I6370" s="17"/>
      <c r="J6370" s="18"/>
    </row>
    <row r="6371" spans="9:10" x14ac:dyDescent="0.25">
      <c r="I6371" s="17"/>
      <c r="J6371" s="18"/>
    </row>
    <row r="6372" spans="9:10" x14ac:dyDescent="0.25">
      <c r="I6372" s="17"/>
      <c r="J6372" s="18"/>
    </row>
    <row r="6373" spans="9:10" x14ac:dyDescent="0.25">
      <c r="I6373" s="17"/>
      <c r="J6373" s="18"/>
    </row>
    <row r="6374" spans="9:10" x14ac:dyDescent="0.25">
      <c r="I6374" s="17"/>
      <c r="J6374" s="18"/>
    </row>
    <row r="6375" spans="9:10" x14ac:dyDescent="0.25">
      <c r="I6375" s="17"/>
      <c r="J6375" s="18"/>
    </row>
    <row r="6376" spans="9:10" x14ac:dyDescent="0.25">
      <c r="I6376" s="17"/>
      <c r="J6376" s="18"/>
    </row>
    <row r="6377" spans="9:10" x14ac:dyDescent="0.25">
      <c r="I6377" s="17"/>
      <c r="J6377" s="18"/>
    </row>
    <row r="6378" spans="9:10" x14ac:dyDescent="0.25">
      <c r="I6378" s="17"/>
      <c r="J6378" s="18"/>
    </row>
    <row r="6379" spans="9:10" x14ac:dyDescent="0.25">
      <c r="I6379" s="17"/>
      <c r="J6379" s="18"/>
    </row>
    <row r="6380" spans="9:10" x14ac:dyDescent="0.25">
      <c r="I6380" s="17"/>
      <c r="J6380" s="18"/>
    </row>
    <row r="6381" spans="9:10" x14ac:dyDescent="0.25">
      <c r="I6381" s="17"/>
      <c r="J6381" s="18"/>
    </row>
    <row r="6382" spans="9:10" x14ac:dyDescent="0.25">
      <c r="I6382" s="17"/>
      <c r="J6382" s="18"/>
    </row>
    <row r="6383" spans="9:10" x14ac:dyDescent="0.25">
      <c r="I6383" s="17"/>
      <c r="J6383" s="18"/>
    </row>
    <row r="6384" spans="9:10" x14ac:dyDescent="0.25">
      <c r="I6384" s="17"/>
      <c r="J6384" s="18"/>
    </row>
    <row r="6385" spans="9:10" x14ac:dyDescent="0.25">
      <c r="I6385" s="17"/>
      <c r="J6385" s="18"/>
    </row>
    <row r="6386" spans="9:10" x14ac:dyDescent="0.25">
      <c r="I6386" s="17"/>
      <c r="J6386" s="18"/>
    </row>
    <row r="6387" spans="9:10" x14ac:dyDescent="0.25">
      <c r="I6387" s="17"/>
      <c r="J6387" s="18"/>
    </row>
    <row r="6388" spans="9:10" x14ac:dyDescent="0.25">
      <c r="I6388" s="17"/>
      <c r="J6388" s="18"/>
    </row>
    <row r="6389" spans="9:10" x14ac:dyDescent="0.25">
      <c r="I6389" s="17"/>
      <c r="J6389" s="18"/>
    </row>
    <row r="6390" spans="9:10" x14ac:dyDescent="0.25">
      <c r="I6390" s="17"/>
      <c r="J6390" s="18"/>
    </row>
    <row r="6391" spans="9:10" x14ac:dyDescent="0.25">
      <c r="I6391" s="17"/>
      <c r="J6391" s="18"/>
    </row>
    <row r="6392" spans="9:10" x14ac:dyDescent="0.25">
      <c r="I6392" s="17"/>
      <c r="J6392" s="18"/>
    </row>
    <row r="6393" spans="9:10" x14ac:dyDescent="0.25">
      <c r="I6393" s="17"/>
      <c r="J6393" s="18"/>
    </row>
    <row r="6394" spans="9:10" x14ac:dyDescent="0.25">
      <c r="I6394" s="17"/>
      <c r="J6394" s="18"/>
    </row>
    <row r="6395" spans="9:10" x14ac:dyDescent="0.25">
      <c r="I6395" s="17"/>
      <c r="J6395" s="18"/>
    </row>
    <row r="6396" spans="9:10" x14ac:dyDescent="0.25">
      <c r="I6396" s="17"/>
      <c r="J6396" s="18"/>
    </row>
    <row r="6397" spans="9:10" x14ac:dyDescent="0.25">
      <c r="I6397" s="17"/>
      <c r="J6397" s="18"/>
    </row>
    <row r="6398" spans="9:10" x14ac:dyDescent="0.25">
      <c r="I6398" s="17"/>
      <c r="J6398" s="18"/>
    </row>
    <row r="6399" spans="9:10" x14ac:dyDescent="0.25">
      <c r="I6399" s="17"/>
      <c r="J6399" s="18"/>
    </row>
    <row r="6400" spans="9:10" x14ac:dyDescent="0.25">
      <c r="I6400" s="17"/>
      <c r="J6400" s="18"/>
    </row>
    <row r="6401" spans="9:10" x14ac:dyDescent="0.25">
      <c r="I6401" s="17"/>
      <c r="J6401" s="18"/>
    </row>
    <row r="6402" spans="9:10" x14ac:dyDescent="0.25">
      <c r="I6402" s="17"/>
      <c r="J6402" s="18"/>
    </row>
    <row r="6403" spans="9:10" x14ac:dyDescent="0.25">
      <c r="I6403" s="17"/>
      <c r="J6403" s="18"/>
    </row>
    <row r="6404" spans="9:10" x14ac:dyDescent="0.25">
      <c r="I6404" s="17"/>
      <c r="J6404" s="18"/>
    </row>
    <row r="6405" spans="9:10" x14ac:dyDescent="0.25">
      <c r="I6405" s="17"/>
      <c r="J6405" s="18"/>
    </row>
    <row r="6406" spans="9:10" x14ac:dyDescent="0.25">
      <c r="I6406" s="17"/>
      <c r="J6406" s="18"/>
    </row>
    <row r="6407" spans="9:10" x14ac:dyDescent="0.25">
      <c r="I6407" s="17"/>
      <c r="J6407" s="18"/>
    </row>
    <row r="6408" spans="9:10" x14ac:dyDescent="0.25">
      <c r="I6408" s="17"/>
      <c r="J6408" s="18"/>
    </row>
    <row r="6409" spans="9:10" x14ac:dyDescent="0.25">
      <c r="I6409" s="17"/>
      <c r="J6409" s="18"/>
    </row>
    <row r="6410" spans="9:10" x14ac:dyDescent="0.25">
      <c r="I6410" s="17"/>
      <c r="J6410" s="18"/>
    </row>
    <row r="6411" spans="9:10" x14ac:dyDescent="0.25">
      <c r="I6411" s="17"/>
      <c r="J6411" s="18"/>
    </row>
    <row r="6412" spans="9:10" x14ac:dyDescent="0.25">
      <c r="I6412" s="17"/>
      <c r="J6412" s="18"/>
    </row>
    <row r="6413" spans="9:10" x14ac:dyDescent="0.25">
      <c r="I6413" s="17"/>
      <c r="J6413" s="18"/>
    </row>
    <row r="6414" spans="9:10" x14ac:dyDescent="0.25">
      <c r="I6414" s="17"/>
      <c r="J6414" s="18"/>
    </row>
    <row r="6415" spans="9:10" x14ac:dyDescent="0.25">
      <c r="I6415" s="17"/>
      <c r="J6415" s="18"/>
    </row>
    <row r="6416" spans="9:10" x14ac:dyDescent="0.25">
      <c r="I6416" s="17"/>
      <c r="J6416" s="18"/>
    </row>
    <row r="6417" spans="9:10" x14ac:dyDescent="0.25">
      <c r="I6417" s="17"/>
      <c r="J6417" s="18"/>
    </row>
    <row r="6418" spans="9:10" x14ac:dyDescent="0.25">
      <c r="I6418" s="17"/>
      <c r="J6418" s="18"/>
    </row>
    <row r="6419" spans="9:10" x14ac:dyDescent="0.25">
      <c r="I6419" s="17"/>
      <c r="J6419" s="18"/>
    </row>
    <row r="6420" spans="9:10" x14ac:dyDescent="0.25">
      <c r="I6420" s="17"/>
      <c r="J6420" s="18"/>
    </row>
    <row r="6421" spans="9:10" x14ac:dyDescent="0.25">
      <c r="I6421" s="17"/>
      <c r="J6421" s="18"/>
    </row>
    <row r="6422" spans="9:10" x14ac:dyDescent="0.25">
      <c r="I6422" s="17"/>
      <c r="J6422" s="18"/>
    </row>
    <row r="6423" spans="9:10" x14ac:dyDescent="0.25">
      <c r="I6423" s="17"/>
      <c r="J6423" s="18"/>
    </row>
    <row r="6424" spans="9:10" x14ac:dyDescent="0.25">
      <c r="I6424" s="17"/>
      <c r="J6424" s="18"/>
    </row>
    <row r="6425" spans="9:10" x14ac:dyDescent="0.25">
      <c r="I6425" s="17"/>
      <c r="J6425" s="18"/>
    </row>
    <row r="6426" spans="9:10" x14ac:dyDescent="0.25">
      <c r="I6426" s="17"/>
      <c r="J6426" s="18"/>
    </row>
    <row r="6427" spans="9:10" x14ac:dyDescent="0.25">
      <c r="I6427" s="17"/>
      <c r="J6427" s="18"/>
    </row>
    <row r="6428" spans="9:10" x14ac:dyDescent="0.25">
      <c r="I6428" s="17"/>
      <c r="J6428" s="18"/>
    </row>
    <row r="6429" spans="9:10" x14ac:dyDescent="0.25">
      <c r="I6429" s="17"/>
      <c r="J6429" s="18"/>
    </row>
    <row r="6430" spans="9:10" x14ac:dyDescent="0.25">
      <c r="I6430" s="17"/>
      <c r="J6430" s="18"/>
    </row>
    <row r="6431" spans="9:10" x14ac:dyDescent="0.25">
      <c r="I6431" s="17"/>
      <c r="J6431" s="18"/>
    </row>
    <row r="6432" spans="9:10" x14ac:dyDescent="0.25">
      <c r="I6432" s="17"/>
      <c r="J6432" s="18"/>
    </row>
    <row r="6433" spans="9:10" x14ac:dyDescent="0.25">
      <c r="I6433" s="17"/>
      <c r="J6433" s="18"/>
    </row>
    <row r="6434" spans="9:10" x14ac:dyDescent="0.25">
      <c r="I6434" s="17"/>
      <c r="J6434" s="18"/>
    </row>
    <row r="6435" spans="9:10" x14ac:dyDescent="0.25">
      <c r="I6435" s="17"/>
      <c r="J6435" s="18"/>
    </row>
    <row r="6436" spans="9:10" x14ac:dyDescent="0.25">
      <c r="I6436" s="17"/>
      <c r="J6436" s="18"/>
    </row>
    <row r="6437" spans="9:10" x14ac:dyDescent="0.25">
      <c r="I6437" s="17"/>
      <c r="J6437" s="18"/>
    </row>
    <row r="6438" spans="9:10" x14ac:dyDescent="0.25">
      <c r="I6438" s="17"/>
      <c r="J6438" s="18"/>
    </row>
    <row r="6439" spans="9:10" x14ac:dyDescent="0.25">
      <c r="I6439" s="17"/>
      <c r="J6439" s="18"/>
    </row>
    <row r="6440" spans="9:10" x14ac:dyDescent="0.25">
      <c r="I6440" s="17"/>
      <c r="J6440" s="18"/>
    </row>
    <row r="6441" spans="9:10" x14ac:dyDescent="0.25">
      <c r="I6441" s="17"/>
      <c r="J6441" s="18"/>
    </row>
    <row r="6442" spans="9:10" x14ac:dyDescent="0.25">
      <c r="I6442" s="17"/>
      <c r="J6442" s="18"/>
    </row>
    <row r="6443" spans="9:10" x14ac:dyDescent="0.25">
      <c r="I6443" s="17"/>
      <c r="J6443" s="18"/>
    </row>
    <row r="6444" spans="9:10" x14ac:dyDescent="0.25">
      <c r="I6444" s="17"/>
      <c r="J6444" s="18"/>
    </row>
    <row r="6445" spans="9:10" x14ac:dyDescent="0.25">
      <c r="I6445" s="17"/>
      <c r="J6445" s="18"/>
    </row>
    <row r="6446" spans="9:10" x14ac:dyDescent="0.25">
      <c r="I6446" s="17"/>
      <c r="J6446" s="18"/>
    </row>
    <row r="6447" spans="9:10" x14ac:dyDescent="0.25">
      <c r="I6447" s="17"/>
      <c r="J6447" s="18"/>
    </row>
    <row r="6448" spans="9:10" x14ac:dyDescent="0.25">
      <c r="I6448" s="17"/>
      <c r="J6448" s="18"/>
    </row>
    <row r="6449" spans="9:10" x14ac:dyDescent="0.25">
      <c r="I6449" s="17"/>
      <c r="J6449" s="18"/>
    </row>
    <row r="6450" spans="9:10" x14ac:dyDescent="0.25">
      <c r="I6450" s="17"/>
      <c r="J6450" s="18"/>
    </row>
    <row r="6451" spans="9:10" x14ac:dyDescent="0.25">
      <c r="I6451" s="17"/>
      <c r="J6451" s="18"/>
    </row>
    <row r="6452" spans="9:10" x14ac:dyDescent="0.25">
      <c r="I6452" s="17"/>
      <c r="J6452" s="18"/>
    </row>
    <row r="6453" spans="9:10" x14ac:dyDescent="0.25">
      <c r="I6453" s="17"/>
      <c r="J6453" s="18"/>
    </row>
    <row r="6454" spans="9:10" x14ac:dyDescent="0.25">
      <c r="I6454" s="17"/>
      <c r="J6454" s="18"/>
    </row>
    <row r="6455" spans="9:10" x14ac:dyDescent="0.25">
      <c r="I6455" s="17"/>
      <c r="J6455" s="18"/>
    </row>
    <row r="6456" spans="9:10" x14ac:dyDescent="0.25">
      <c r="I6456" s="17"/>
      <c r="J6456" s="18"/>
    </row>
    <row r="6457" spans="9:10" x14ac:dyDescent="0.25">
      <c r="I6457" s="17"/>
      <c r="J6457" s="18"/>
    </row>
    <row r="6458" spans="9:10" x14ac:dyDescent="0.25">
      <c r="I6458" s="17"/>
      <c r="J6458" s="18"/>
    </row>
    <row r="6459" spans="9:10" x14ac:dyDescent="0.25">
      <c r="I6459" s="17"/>
      <c r="J6459" s="18"/>
    </row>
    <row r="6460" spans="9:10" x14ac:dyDescent="0.25">
      <c r="I6460" s="17"/>
      <c r="J6460" s="18"/>
    </row>
    <row r="6461" spans="9:10" x14ac:dyDescent="0.25">
      <c r="I6461" s="17"/>
      <c r="J6461" s="18"/>
    </row>
    <row r="6462" spans="9:10" x14ac:dyDescent="0.25">
      <c r="I6462" s="17"/>
      <c r="J6462" s="18"/>
    </row>
    <row r="6463" spans="9:10" x14ac:dyDescent="0.25">
      <c r="I6463" s="17"/>
      <c r="J6463" s="18"/>
    </row>
    <row r="6464" spans="9:10" x14ac:dyDescent="0.25">
      <c r="I6464" s="17"/>
      <c r="J6464" s="18"/>
    </row>
    <row r="6465" spans="9:10" x14ac:dyDescent="0.25">
      <c r="I6465" s="17"/>
      <c r="J6465" s="18"/>
    </row>
    <row r="6466" spans="9:10" x14ac:dyDescent="0.25">
      <c r="I6466" s="17"/>
      <c r="J6466" s="18"/>
    </row>
    <row r="6467" spans="9:10" x14ac:dyDescent="0.25">
      <c r="I6467" s="17"/>
      <c r="J6467" s="18"/>
    </row>
    <row r="6468" spans="9:10" x14ac:dyDescent="0.25">
      <c r="I6468" s="17"/>
      <c r="J6468" s="18"/>
    </row>
    <row r="6469" spans="9:10" x14ac:dyDescent="0.25">
      <c r="I6469" s="17"/>
      <c r="J6469" s="18"/>
    </row>
    <row r="6470" spans="9:10" x14ac:dyDescent="0.25">
      <c r="I6470" s="17"/>
      <c r="J6470" s="18"/>
    </row>
    <row r="6471" spans="9:10" x14ac:dyDescent="0.25">
      <c r="I6471" s="17"/>
      <c r="J6471" s="18"/>
    </row>
    <row r="6472" spans="9:10" x14ac:dyDescent="0.25">
      <c r="I6472" s="17"/>
      <c r="J6472" s="18"/>
    </row>
    <row r="6473" spans="9:10" x14ac:dyDescent="0.25">
      <c r="I6473" s="17"/>
      <c r="J6473" s="18"/>
    </row>
    <row r="6474" spans="9:10" x14ac:dyDescent="0.25">
      <c r="I6474" s="17"/>
      <c r="J6474" s="18"/>
    </row>
    <row r="6475" spans="9:10" x14ac:dyDescent="0.25">
      <c r="I6475" s="17"/>
      <c r="J6475" s="18"/>
    </row>
    <row r="6476" spans="9:10" x14ac:dyDescent="0.25">
      <c r="I6476" s="17"/>
      <c r="J6476" s="18"/>
    </row>
    <row r="6477" spans="9:10" x14ac:dyDescent="0.25">
      <c r="I6477" s="17"/>
      <c r="J6477" s="18"/>
    </row>
    <row r="6478" spans="9:10" x14ac:dyDescent="0.25">
      <c r="I6478" s="17"/>
      <c r="J6478" s="18"/>
    </row>
    <row r="6479" spans="9:10" x14ac:dyDescent="0.25">
      <c r="I6479" s="17"/>
      <c r="J6479" s="18"/>
    </row>
    <row r="6480" spans="9:10" x14ac:dyDescent="0.25">
      <c r="I6480" s="17"/>
      <c r="J6480" s="18"/>
    </row>
    <row r="6481" spans="9:10" x14ac:dyDescent="0.25">
      <c r="I6481" s="17"/>
      <c r="J6481" s="18"/>
    </row>
    <row r="6482" spans="9:10" x14ac:dyDescent="0.25">
      <c r="I6482" s="17"/>
      <c r="J6482" s="18"/>
    </row>
    <row r="6483" spans="9:10" x14ac:dyDescent="0.25">
      <c r="I6483" s="17"/>
      <c r="J6483" s="18"/>
    </row>
    <row r="6484" spans="9:10" x14ac:dyDescent="0.25">
      <c r="I6484" s="17"/>
      <c r="J6484" s="18"/>
    </row>
    <row r="6485" spans="9:10" x14ac:dyDescent="0.25">
      <c r="I6485" s="17"/>
      <c r="J6485" s="18"/>
    </row>
    <row r="6486" spans="9:10" x14ac:dyDescent="0.25">
      <c r="I6486" s="17"/>
      <c r="J6486" s="18"/>
    </row>
    <row r="6487" spans="9:10" x14ac:dyDescent="0.25">
      <c r="I6487" s="17"/>
      <c r="J6487" s="18"/>
    </row>
    <row r="6488" spans="9:10" x14ac:dyDescent="0.25">
      <c r="I6488" s="17"/>
      <c r="J6488" s="18"/>
    </row>
    <row r="6489" spans="9:10" x14ac:dyDescent="0.25">
      <c r="I6489" s="17"/>
      <c r="J6489" s="18"/>
    </row>
    <row r="6490" spans="9:10" x14ac:dyDescent="0.25">
      <c r="I6490" s="17"/>
      <c r="J6490" s="18"/>
    </row>
    <row r="6491" spans="9:10" x14ac:dyDescent="0.25">
      <c r="I6491" s="17"/>
      <c r="J6491" s="18"/>
    </row>
    <row r="6492" spans="9:10" x14ac:dyDescent="0.25">
      <c r="I6492" s="17"/>
      <c r="J6492" s="18"/>
    </row>
    <row r="6493" spans="9:10" x14ac:dyDescent="0.25">
      <c r="I6493" s="17"/>
      <c r="J6493" s="18"/>
    </row>
    <row r="6494" spans="9:10" x14ac:dyDescent="0.25">
      <c r="I6494" s="17"/>
      <c r="J6494" s="18"/>
    </row>
    <row r="6495" spans="9:10" x14ac:dyDescent="0.25">
      <c r="I6495" s="17"/>
      <c r="J6495" s="18"/>
    </row>
    <row r="6496" spans="9:10" x14ac:dyDescent="0.25">
      <c r="I6496" s="17"/>
      <c r="J6496" s="18"/>
    </row>
    <row r="6497" spans="9:10" x14ac:dyDescent="0.25">
      <c r="I6497" s="17"/>
      <c r="J6497" s="18"/>
    </row>
    <row r="6498" spans="9:10" x14ac:dyDescent="0.25">
      <c r="I6498" s="17"/>
      <c r="J6498" s="18"/>
    </row>
    <row r="6499" spans="9:10" x14ac:dyDescent="0.25">
      <c r="I6499" s="17"/>
      <c r="J6499" s="18"/>
    </row>
    <row r="6500" spans="9:10" x14ac:dyDescent="0.25">
      <c r="I6500" s="17"/>
      <c r="J6500" s="18"/>
    </row>
    <row r="6501" spans="9:10" x14ac:dyDescent="0.25">
      <c r="I6501" s="17"/>
      <c r="J6501" s="18"/>
    </row>
    <row r="6502" spans="9:10" x14ac:dyDescent="0.25">
      <c r="I6502" s="17"/>
      <c r="J6502" s="18"/>
    </row>
    <row r="6503" spans="9:10" x14ac:dyDescent="0.25">
      <c r="I6503" s="17"/>
      <c r="J6503" s="18"/>
    </row>
    <row r="6504" spans="9:10" x14ac:dyDescent="0.25">
      <c r="I6504" s="17"/>
      <c r="J6504" s="18"/>
    </row>
    <row r="6505" spans="9:10" x14ac:dyDescent="0.25">
      <c r="I6505" s="17"/>
      <c r="J6505" s="18"/>
    </row>
    <row r="6506" spans="9:10" x14ac:dyDescent="0.25">
      <c r="I6506" s="17"/>
      <c r="J6506" s="18"/>
    </row>
    <row r="6507" spans="9:10" x14ac:dyDescent="0.25">
      <c r="I6507" s="17"/>
      <c r="J6507" s="18"/>
    </row>
    <row r="6508" spans="9:10" x14ac:dyDescent="0.25">
      <c r="I6508" s="17"/>
      <c r="J6508" s="18"/>
    </row>
    <row r="6509" spans="9:10" x14ac:dyDescent="0.25">
      <c r="I6509" s="17"/>
      <c r="J6509" s="18"/>
    </row>
    <row r="6510" spans="9:10" x14ac:dyDescent="0.25">
      <c r="I6510" s="17"/>
      <c r="J6510" s="18"/>
    </row>
    <row r="6511" spans="9:10" x14ac:dyDescent="0.25">
      <c r="I6511" s="17"/>
      <c r="J6511" s="18"/>
    </row>
    <row r="6512" spans="9:10" x14ac:dyDescent="0.25">
      <c r="I6512" s="17"/>
      <c r="J6512" s="18"/>
    </row>
    <row r="6513" spans="9:10" x14ac:dyDescent="0.25">
      <c r="I6513" s="17"/>
      <c r="J6513" s="18"/>
    </row>
    <row r="6514" spans="9:10" x14ac:dyDescent="0.25">
      <c r="I6514" s="17"/>
      <c r="J6514" s="18"/>
    </row>
    <row r="6515" spans="9:10" x14ac:dyDescent="0.25">
      <c r="I6515" s="17"/>
      <c r="J6515" s="18"/>
    </row>
    <row r="6516" spans="9:10" x14ac:dyDescent="0.25">
      <c r="I6516" s="17"/>
      <c r="J6516" s="18"/>
    </row>
    <row r="6517" spans="9:10" x14ac:dyDescent="0.25">
      <c r="I6517" s="17"/>
      <c r="J6517" s="18"/>
    </row>
    <row r="6518" spans="9:10" x14ac:dyDescent="0.25">
      <c r="I6518" s="17"/>
      <c r="J6518" s="18"/>
    </row>
    <row r="6519" spans="9:10" x14ac:dyDescent="0.25">
      <c r="I6519" s="17"/>
      <c r="J6519" s="18"/>
    </row>
    <row r="6520" spans="9:10" x14ac:dyDescent="0.25">
      <c r="I6520" s="17"/>
      <c r="J6520" s="18"/>
    </row>
    <row r="6521" spans="9:10" x14ac:dyDescent="0.25">
      <c r="I6521" s="17"/>
      <c r="J6521" s="18"/>
    </row>
    <row r="6522" spans="9:10" x14ac:dyDescent="0.25">
      <c r="I6522" s="17"/>
      <c r="J6522" s="18"/>
    </row>
    <row r="6523" spans="9:10" x14ac:dyDescent="0.25">
      <c r="I6523" s="17"/>
      <c r="J6523" s="18"/>
    </row>
    <row r="6524" spans="9:10" x14ac:dyDescent="0.25">
      <c r="I6524" s="17"/>
      <c r="J6524" s="18"/>
    </row>
    <row r="6525" spans="9:10" x14ac:dyDescent="0.25">
      <c r="I6525" s="17"/>
      <c r="J6525" s="18"/>
    </row>
    <row r="6526" spans="9:10" x14ac:dyDescent="0.25">
      <c r="I6526" s="17"/>
      <c r="J6526" s="18"/>
    </row>
    <row r="6527" spans="9:10" x14ac:dyDescent="0.25">
      <c r="I6527" s="17"/>
      <c r="J6527" s="18"/>
    </row>
    <row r="6528" spans="9:10" x14ac:dyDescent="0.25">
      <c r="I6528" s="17"/>
      <c r="J6528" s="18"/>
    </row>
    <row r="6529" spans="9:10" x14ac:dyDescent="0.25">
      <c r="I6529" s="17"/>
      <c r="J6529" s="18"/>
    </row>
    <row r="6530" spans="9:10" x14ac:dyDescent="0.25">
      <c r="I6530" s="17"/>
      <c r="J6530" s="18"/>
    </row>
    <row r="6531" spans="9:10" x14ac:dyDescent="0.25">
      <c r="I6531" s="17"/>
      <c r="J6531" s="18"/>
    </row>
    <row r="6532" spans="9:10" x14ac:dyDescent="0.25">
      <c r="I6532" s="17"/>
      <c r="J6532" s="18"/>
    </row>
    <row r="6533" spans="9:10" x14ac:dyDescent="0.25">
      <c r="I6533" s="17"/>
      <c r="J6533" s="18"/>
    </row>
    <row r="6534" spans="9:10" x14ac:dyDescent="0.25">
      <c r="I6534" s="17"/>
      <c r="J6534" s="18"/>
    </row>
    <row r="6535" spans="9:10" x14ac:dyDescent="0.25">
      <c r="I6535" s="17"/>
      <c r="J6535" s="18"/>
    </row>
    <row r="6536" spans="9:10" x14ac:dyDescent="0.25">
      <c r="I6536" s="17"/>
      <c r="J6536" s="18"/>
    </row>
    <row r="6537" spans="9:10" x14ac:dyDescent="0.25">
      <c r="I6537" s="17"/>
      <c r="J6537" s="18"/>
    </row>
    <row r="6538" spans="9:10" x14ac:dyDescent="0.25">
      <c r="I6538" s="17"/>
      <c r="J6538" s="18"/>
    </row>
    <row r="6539" spans="9:10" x14ac:dyDescent="0.25">
      <c r="I6539" s="17"/>
      <c r="J6539" s="18"/>
    </row>
    <row r="6540" spans="9:10" x14ac:dyDescent="0.25">
      <c r="I6540" s="17"/>
      <c r="J6540" s="18"/>
    </row>
    <row r="6541" spans="9:10" x14ac:dyDescent="0.25">
      <c r="I6541" s="17"/>
      <c r="J6541" s="18"/>
    </row>
    <row r="6542" spans="9:10" x14ac:dyDescent="0.25">
      <c r="I6542" s="17"/>
      <c r="J6542" s="18"/>
    </row>
    <row r="6543" spans="9:10" x14ac:dyDescent="0.25">
      <c r="I6543" s="17"/>
      <c r="J6543" s="18"/>
    </row>
    <row r="6544" spans="9:10" x14ac:dyDescent="0.25">
      <c r="I6544" s="17"/>
      <c r="J6544" s="18"/>
    </row>
    <row r="6545" spans="9:10" x14ac:dyDescent="0.25">
      <c r="I6545" s="17"/>
      <c r="J6545" s="18"/>
    </row>
    <row r="6546" spans="9:10" x14ac:dyDescent="0.25">
      <c r="I6546" s="17"/>
      <c r="J6546" s="18"/>
    </row>
    <row r="6547" spans="9:10" x14ac:dyDescent="0.25">
      <c r="I6547" s="17"/>
      <c r="J6547" s="18"/>
    </row>
    <row r="6548" spans="9:10" x14ac:dyDescent="0.25">
      <c r="I6548" s="17"/>
      <c r="J6548" s="18"/>
    </row>
    <row r="6549" spans="9:10" x14ac:dyDescent="0.25">
      <c r="I6549" s="17"/>
      <c r="J6549" s="18"/>
    </row>
    <row r="6550" spans="9:10" x14ac:dyDescent="0.25">
      <c r="I6550" s="17"/>
      <c r="J6550" s="18"/>
    </row>
    <row r="6551" spans="9:10" x14ac:dyDescent="0.25">
      <c r="I6551" s="17"/>
      <c r="J6551" s="18"/>
    </row>
    <row r="6552" spans="9:10" x14ac:dyDescent="0.25">
      <c r="I6552" s="17"/>
      <c r="J6552" s="18"/>
    </row>
    <row r="6553" spans="9:10" x14ac:dyDescent="0.25">
      <c r="I6553" s="17"/>
      <c r="J6553" s="18"/>
    </row>
    <row r="6554" spans="9:10" x14ac:dyDescent="0.25">
      <c r="I6554" s="17"/>
      <c r="J6554" s="18"/>
    </row>
    <row r="6555" spans="9:10" x14ac:dyDescent="0.25">
      <c r="I6555" s="17"/>
      <c r="J6555" s="18"/>
    </row>
    <row r="6556" spans="9:10" x14ac:dyDescent="0.25">
      <c r="I6556" s="17"/>
      <c r="J6556" s="18"/>
    </row>
    <row r="6557" spans="9:10" x14ac:dyDescent="0.25">
      <c r="I6557" s="17"/>
      <c r="J6557" s="18"/>
    </row>
    <row r="6558" spans="9:10" x14ac:dyDescent="0.25">
      <c r="I6558" s="17"/>
      <c r="J6558" s="18"/>
    </row>
    <row r="6559" spans="9:10" x14ac:dyDescent="0.25">
      <c r="I6559" s="17"/>
      <c r="J6559" s="18"/>
    </row>
    <row r="6560" spans="9:10" x14ac:dyDescent="0.25">
      <c r="I6560" s="17"/>
      <c r="J6560" s="18"/>
    </row>
    <row r="6561" spans="9:10" x14ac:dyDescent="0.25">
      <c r="I6561" s="17"/>
      <c r="J6561" s="18"/>
    </row>
    <row r="6562" spans="9:10" x14ac:dyDescent="0.25">
      <c r="I6562" s="17"/>
      <c r="J6562" s="18"/>
    </row>
    <row r="6563" spans="9:10" x14ac:dyDescent="0.25">
      <c r="I6563" s="17"/>
      <c r="J6563" s="18"/>
    </row>
    <row r="6564" spans="9:10" x14ac:dyDescent="0.25">
      <c r="I6564" s="17"/>
      <c r="J6564" s="18"/>
    </row>
    <row r="6565" spans="9:10" x14ac:dyDescent="0.25">
      <c r="I6565" s="17"/>
      <c r="J6565" s="18"/>
    </row>
    <row r="6566" spans="9:10" x14ac:dyDescent="0.25">
      <c r="I6566" s="17"/>
      <c r="J6566" s="18"/>
    </row>
    <row r="6567" spans="9:10" x14ac:dyDescent="0.25">
      <c r="I6567" s="17"/>
      <c r="J6567" s="18"/>
    </row>
    <row r="6568" spans="9:10" x14ac:dyDescent="0.25">
      <c r="I6568" s="17"/>
      <c r="J6568" s="18"/>
    </row>
    <row r="6569" spans="9:10" x14ac:dyDescent="0.25">
      <c r="I6569" s="17"/>
      <c r="J6569" s="18"/>
    </row>
    <row r="6570" spans="9:10" x14ac:dyDescent="0.25">
      <c r="I6570" s="17"/>
      <c r="J6570" s="18"/>
    </row>
    <row r="6571" spans="9:10" x14ac:dyDescent="0.25">
      <c r="I6571" s="17"/>
      <c r="J6571" s="18"/>
    </row>
    <row r="6572" spans="9:10" x14ac:dyDescent="0.25">
      <c r="I6572" s="17"/>
      <c r="J6572" s="18"/>
    </row>
    <row r="6573" spans="9:10" x14ac:dyDescent="0.25">
      <c r="I6573" s="17"/>
      <c r="J6573" s="18"/>
    </row>
    <row r="6574" spans="9:10" x14ac:dyDescent="0.25">
      <c r="I6574" s="17"/>
      <c r="J6574" s="18"/>
    </row>
    <row r="6575" spans="9:10" x14ac:dyDescent="0.25">
      <c r="I6575" s="17"/>
      <c r="J6575" s="18"/>
    </row>
    <row r="6576" spans="9:10" x14ac:dyDescent="0.25">
      <c r="I6576" s="17"/>
      <c r="J6576" s="18"/>
    </row>
    <row r="6577" spans="9:10" x14ac:dyDescent="0.25">
      <c r="I6577" s="17"/>
      <c r="J6577" s="18"/>
    </row>
    <row r="6578" spans="9:10" x14ac:dyDescent="0.25">
      <c r="I6578" s="17"/>
      <c r="J6578" s="18"/>
    </row>
    <row r="6579" spans="9:10" x14ac:dyDescent="0.25">
      <c r="I6579" s="17"/>
      <c r="J6579" s="18"/>
    </row>
    <row r="6580" spans="9:10" x14ac:dyDescent="0.25">
      <c r="I6580" s="17"/>
      <c r="J6580" s="18"/>
    </row>
    <row r="6581" spans="9:10" x14ac:dyDescent="0.25">
      <c r="I6581" s="17"/>
      <c r="J6581" s="18"/>
    </row>
    <row r="6582" spans="9:10" x14ac:dyDescent="0.25">
      <c r="I6582" s="17"/>
      <c r="J6582" s="18"/>
    </row>
    <row r="6583" spans="9:10" x14ac:dyDescent="0.25">
      <c r="I6583" s="17"/>
      <c r="J6583" s="18"/>
    </row>
    <row r="6584" spans="9:10" x14ac:dyDescent="0.25">
      <c r="I6584" s="17"/>
      <c r="J6584" s="18"/>
    </row>
    <row r="6585" spans="9:10" x14ac:dyDescent="0.25">
      <c r="I6585" s="17"/>
      <c r="J6585" s="18"/>
    </row>
    <row r="6586" spans="9:10" x14ac:dyDescent="0.25">
      <c r="I6586" s="17"/>
      <c r="J6586" s="18"/>
    </row>
    <row r="6587" spans="9:10" x14ac:dyDescent="0.25">
      <c r="I6587" s="17"/>
      <c r="J6587" s="18"/>
    </row>
    <row r="6588" spans="9:10" x14ac:dyDescent="0.25">
      <c r="I6588" s="17"/>
      <c r="J6588" s="18"/>
    </row>
    <row r="6589" spans="9:10" x14ac:dyDescent="0.25">
      <c r="I6589" s="17"/>
      <c r="J6589" s="18"/>
    </row>
    <row r="6590" spans="9:10" x14ac:dyDescent="0.25">
      <c r="I6590" s="17"/>
      <c r="J6590" s="18"/>
    </row>
    <row r="6591" spans="9:10" x14ac:dyDescent="0.25">
      <c r="I6591" s="17"/>
      <c r="J6591" s="18"/>
    </row>
    <row r="6592" spans="9:10" x14ac:dyDescent="0.25">
      <c r="I6592" s="17"/>
      <c r="J6592" s="18"/>
    </row>
    <row r="6593" spans="9:10" x14ac:dyDescent="0.25">
      <c r="I6593" s="17"/>
      <c r="J6593" s="18"/>
    </row>
    <row r="6594" spans="9:10" x14ac:dyDescent="0.25">
      <c r="I6594" s="17"/>
      <c r="J6594" s="18"/>
    </row>
    <row r="6595" spans="9:10" x14ac:dyDescent="0.25">
      <c r="I6595" s="17"/>
      <c r="J6595" s="18"/>
    </row>
    <row r="6596" spans="9:10" x14ac:dyDescent="0.25">
      <c r="I6596" s="17"/>
      <c r="J6596" s="18"/>
    </row>
    <row r="6597" spans="9:10" x14ac:dyDescent="0.25">
      <c r="I6597" s="17"/>
      <c r="J6597" s="18"/>
    </row>
    <row r="6598" spans="9:10" x14ac:dyDescent="0.25">
      <c r="I6598" s="17"/>
      <c r="J6598" s="18"/>
    </row>
    <row r="6599" spans="9:10" x14ac:dyDescent="0.25">
      <c r="I6599" s="17"/>
      <c r="J6599" s="18"/>
    </row>
    <row r="6600" spans="9:10" x14ac:dyDescent="0.25">
      <c r="I6600" s="17"/>
      <c r="J6600" s="18"/>
    </row>
    <row r="6601" spans="9:10" x14ac:dyDescent="0.25">
      <c r="I6601" s="17"/>
      <c r="J6601" s="18"/>
    </row>
    <row r="6602" spans="9:10" x14ac:dyDescent="0.25">
      <c r="I6602" s="17"/>
      <c r="J6602" s="18"/>
    </row>
    <row r="6603" spans="9:10" x14ac:dyDescent="0.25">
      <c r="I6603" s="17"/>
      <c r="J6603" s="18"/>
    </row>
    <row r="6604" spans="9:10" x14ac:dyDescent="0.25">
      <c r="I6604" s="17"/>
      <c r="J6604" s="18"/>
    </row>
    <row r="6605" spans="9:10" x14ac:dyDescent="0.25">
      <c r="I6605" s="17"/>
      <c r="J6605" s="18"/>
    </row>
    <row r="6606" spans="9:10" x14ac:dyDescent="0.25">
      <c r="I6606" s="17"/>
      <c r="J6606" s="18"/>
    </row>
    <row r="6607" spans="9:10" x14ac:dyDescent="0.25">
      <c r="I6607" s="17"/>
      <c r="J6607" s="18"/>
    </row>
    <row r="6608" spans="9:10" x14ac:dyDescent="0.25">
      <c r="I6608" s="17"/>
      <c r="J6608" s="18"/>
    </row>
    <row r="6609" spans="9:10" x14ac:dyDescent="0.25">
      <c r="I6609" s="17"/>
      <c r="J6609" s="18"/>
    </row>
    <row r="6610" spans="9:10" x14ac:dyDescent="0.25">
      <c r="I6610" s="17"/>
      <c r="J6610" s="18"/>
    </row>
    <row r="6611" spans="9:10" x14ac:dyDescent="0.25">
      <c r="I6611" s="17"/>
      <c r="J6611" s="18"/>
    </row>
    <row r="6612" spans="9:10" x14ac:dyDescent="0.25">
      <c r="I6612" s="17"/>
      <c r="J6612" s="18"/>
    </row>
    <row r="6613" spans="9:10" x14ac:dyDescent="0.25">
      <c r="I6613" s="17"/>
      <c r="J6613" s="18"/>
    </row>
    <row r="6614" spans="9:10" x14ac:dyDescent="0.25">
      <c r="I6614" s="17"/>
      <c r="J6614" s="18"/>
    </row>
    <row r="6615" spans="9:10" x14ac:dyDescent="0.25">
      <c r="I6615" s="17"/>
      <c r="J6615" s="18"/>
    </row>
    <row r="6616" spans="9:10" x14ac:dyDescent="0.25">
      <c r="I6616" s="17"/>
      <c r="J6616" s="18"/>
    </row>
    <row r="6617" spans="9:10" x14ac:dyDescent="0.25">
      <c r="I6617" s="17"/>
      <c r="J6617" s="18"/>
    </row>
    <row r="6618" spans="9:10" x14ac:dyDescent="0.25">
      <c r="I6618" s="17"/>
      <c r="J6618" s="18"/>
    </row>
    <row r="6619" spans="9:10" x14ac:dyDescent="0.25">
      <c r="I6619" s="17"/>
      <c r="J6619" s="18"/>
    </row>
    <row r="6620" spans="9:10" x14ac:dyDescent="0.25">
      <c r="I6620" s="17"/>
      <c r="J6620" s="18"/>
    </row>
    <row r="6621" spans="9:10" x14ac:dyDescent="0.25">
      <c r="I6621" s="17"/>
      <c r="J6621" s="18"/>
    </row>
    <row r="6622" spans="9:10" x14ac:dyDescent="0.25">
      <c r="I6622" s="17"/>
      <c r="J6622" s="18"/>
    </row>
    <row r="6623" spans="9:10" x14ac:dyDescent="0.25">
      <c r="I6623" s="17"/>
      <c r="J6623" s="18"/>
    </row>
    <row r="6624" spans="9:10" x14ac:dyDescent="0.25">
      <c r="I6624" s="17"/>
      <c r="J6624" s="18"/>
    </row>
    <row r="6625" spans="9:10" x14ac:dyDescent="0.25">
      <c r="I6625" s="17"/>
      <c r="J6625" s="18"/>
    </row>
    <row r="6626" spans="9:10" x14ac:dyDescent="0.25">
      <c r="I6626" s="17"/>
      <c r="J6626" s="18"/>
    </row>
    <row r="6627" spans="9:10" x14ac:dyDescent="0.25">
      <c r="I6627" s="17"/>
      <c r="J6627" s="18"/>
    </row>
    <row r="6628" spans="9:10" x14ac:dyDescent="0.25">
      <c r="I6628" s="17"/>
      <c r="J6628" s="18"/>
    </row>
    <row r="6629" spans="9:10" x14ac:dyDescent="0.25">
      <c r="I6629" s="17"/>
      <c r="J6629" s="18"/>
    </row>
    <row r="6630" spans="9:10" x14ac:dyDescent="0.25">
      <c r="I6630" s="17"/>
      <c r="J6630" s="18"/>
    </row>
    <row r="6631" spans="9:10" x14ac:dyDescent="0.25">
      <c r="I6631" s="17"/>
      <c r="J6631" s="18"/>
    </row>
    <row r="6632" spans="9:10" x14ac:dyDescent="0.25">
      <c r="I6632" s="17"/>
      <c r="J6632" s="18"/>
    </row>
    <row r="6633" spans="9:10" x14ac:dyDescent="0.25">
      <c r="I6633" s="17"/>
      <c r="J6633" s="18"/>
    </row>
    <row r="6634" spans="9:10" x14ac:dyDescent="0.25">
      <c r="I6634" s="17"/>
      <c r="J6634" s="18"/>
    </row>
    <row r="6635" spans="9:10" x14ac:dyDescent="0.25">
      <c r="I6635" s="17"/>
      <c r="J6635" s="18"/>
    </row>
    <row r="6636" spans="9:10" x14ac:dyDescent="0.25">
      <c r="I6636" s="17"/>
      <c r="J6636" s="18"/>
    </row>
    <row r="6637" spans="9:10" x14ac:dyDescent="0.25">
      <c r="I6637" s="17"/>
      <c r="J6637" s="18"/>
    </row>
    <row r="6638" spans="9:10" x14ac:dyDescent="0.25">
      <c r="I6638" s="17"/>
      <c r="J6638" s="18"/>
    </row>
    <row r="6639" spans="9:10" x14ac:dyDescent="0.25">
      <c r="I6639" s="17"/>
      <c r="J6639" s="18"/>
    </row>
    <row r="6640" spans="9:10" x14ac:dyDescent="0.25">
      <c r="I6640" s="17"/>
      <c r="J6640" s="18"/>
    </row>
    <row r="6641" spans="9:10" x14ac:dyDescent="0.25">
      <c r="I6641" s="17"/>
      <c r="J6641" s="18"/>
    </row>
    <row r="6642" spans="9:10" x14ac:dyDescent="0.25">
      <c r="I6642" s="17"/>
      <c r="J6642" s="18"/>
    </row>
    <row r="6643" spans="9:10" x14ac:dyDescent="0.25">
      <c r="I6643" s="17"/>
      <c r="J6643" s="18"/>
    </row>
    <row r="6644" spans="9:10" x14ac:dyDescent="0.25">
      <c r="I6644" s="17"/>
      <c r="J6644" s="18"/>
    </row>
    <row r="6645" spans="9:10" x14ac:dyDescent="0.25">
      <c r="I6645" s="17"/>
      <c r="J6645" s="18"/>
    </row>
    <row r="6646" spans="9:10" x14ac:dyDescent="0.25">
      <c r="I6646" s="17"/>
      <c r="J6646" s="18"/>
    </row>
    <row r="6647" spans="9:10" x14ac:dyDescent="0.25">
      <c r="I6647" s="17"/>
      <c r="J6647" s="18"/>
    </row>
    <row r="6648" spans="9:10" x14ac:dyDescent="0.25">
      <c r="I6648" s="17"/>
      <c r="J6648" s="18"/>
    </row>
    <row r="6649" spans="9:10" x14ac:dyDescent="0.25">
      <c r="I6649" s="17"/>
      <c r="J6649" s="18"/>
    </row>
    <row r="6650" spans="9:10" x14ac:dyDescent="0.25">
      <c r="I6650" s="17"/>
      <c r="J6650" s="18"/>
    </row>
    <row r="6651" spans="9:10" x14ac:dyDescent="0.25">
      <c r="I6651" s="17"/>
      <c r="J6651" s="18"/>
    </row>
    <row r="6652" spans="9:10" x14ac:dyDescent="0.25">
      <c r="I6652" s="17"/>
      <c r="J6652" s="18"/>
    </row>
    <row r="6653" spans="9:10" x14ac:dyDescent="0.25">
      <c r="I6653" s="17"/>
      <c r="J6653" s="18"/>
    </row>
    <row r="6654" spans="9:10" x14ac:dyDescent="0.25">
      <c r="I6654" s="17"/>
      <c r="J6654" s="18"/>
    </row>
    <row r="6655" spans="9:10" x14ac:dyDescent="0.25">
      <c r="I6655" s="17"/>
      <c r="J6655" s="18"/>
    </row>
    <row r="6656" spans="9:10" x14ac:dyDescent="0.25">
      <c r="I6656" s="17"/>
      <c r="J6656" s="18"/>
    </row>
    <row r="6657" spans="9:10" x14ac:dyDescent="0.25">
      <c r="I6657" s="17"/>
      <c r="J6657" s="18"/>
    </row>
    <row r="6658" spans="9:10" x14ac:dyDescent="0.25">
      <c r="I6658" s="17"/>
      <c r="J6658" s="18"/>
    </row>
    <row r="6659" spans="9:10" x14ac:dyDescent="0.25">
      <c r="I6659" s="17"/>
      <c r="J6659" s="18"/>
    </row>
    <row r="6660" spans="9:10" x14ac:dyDescent="0.25">
      <c r="I6660" s="17"/>
      <c r="J6660" s="18"/>
    </row>
    <row r="6661" spans="9:10" x14ac:dyDescent="0.25">
      <c r="I6661" s="17"/>
      <c r="J6661" s="18"/>
    </row>
    <row r="6662" spans="9:10" x14ac:dyDescent="0.25">
      <c r="I6662" s="17"/>
      <c r="J6662" s="18"/>
    </row>
    <row r="6663" spans="9:10" x14ac:dyDescent="0.25">
      <c r="I6663" s="17"/>
      <c r="J6663" s="18"/>
    </row>
    <row r="6664" spans="9:10" x14ac:dyDescent="0.25">
      <c r="I6664" s="17"/>
      <c r="J6664" s="18"/>
    </row>
    <row r="6665" spans="9:10" x14ac:dyDescent="0.25">
      <c r="I6665" s="17"/>
      <c r="J6665" s="18"/>
    </row>
    <row r="6666" spans="9:10" x14ac:dyDescent="0.25">
      <c r="I6666" s="17"/>
      <c r="J6666" s="18"/>
    </row>
    <row r="6667" spans="9:10" x14ac:dyDescent="0.25">
      <c r="I6667" s="17"/>
      <c r="J6667" s="18"/>
    </row>
    <row r="6668" spans="9:10" x14ac:dyDescent="0.25">
      <c r="I6668" s="17"/>
      <c r="J6668" s="18"/>
    </row>
    <row r="6669" spans="9:10" x14ac:dyDescent="0.25">
      <c r="I6669" s="17"/>
      <c r="J6669" s="18"/>
    </row>
    <row r="6670" spans="9:10" x14ac:dyDescent="0.25">
      <c r="I6670" s="17"/>
      <c r="J6670" s="18"/>
    </row>
    <row r="6671" spans="9:10" x14ac:dyDescent="0.25">
      <c r="I6671" s="17"/>
      <c r="J6671" s="18"/>
    </row>
    <row r="6672" spans="9:10" x14ac:dyDescent="0.25">
      <c r="I6672" s="17"/>
      <c r="J6672" s="18"/>
    </row>
    <row r="6673" spans="9:10" x14ac:dyDescent="0.25">
      <c r="I6673" s="17"/>
      <c r="J6673" s="18"/>
    </row>
    <row r="6674" spans="9:10" x14ac:dyDescent="0.25">
      <c r="I6674" s="17"/>
      <c r="J6674" s="18"/>
    </row>
    <row r="6675" spans="9:10" x14ac:dyDescent="0.25">
      <c r="I6675" s="17"/>
      <c r="J6675" s="18"/>
    </row>
    <row r="6676" spans="9:10" x14ac:dyDescent="0.25">
      <c r="I6676" s="17"/>
      <c r="J6676" s="18"/>
    </row>
    <row r="6677" spans="9:10" x14ac:dyDescent="0.25">
      <c r="I6677" s="17"/>
      <c r="J6677" s="18"/>
    </row>
    <row r="6678" spans="9:10" x14ac:dyDescent="0.25">
      <c r="I6678" s="17"/>
      <c r="J6678" s="18"/>
    </row>
    <row r="6679" spans="9:10" x14ac:dyDescent="0.25">
      <c r="I6679" s="17"/>
      <c r="J6679" s="18"/>
    </row>
    <row r="6680" spans="9:10" x14ac:dyDescent="0.25">
      <c r="I6680" s="17"/>
      <c r="J6680" s="18"/>
    </row>
    <row r="6681" spans="9:10" x14ac:dyDescent="0.25">
      <c r="I6681" s="17"/>
      <c r="J6681" s="18"/>
    </row>
    <row r="6682" spans="9:10" x14ac:dyDescent="0.25">
      <c r="I6682" s="17"/>
      <c r="J6682" s="18"/>
    </row>
    <row r="6683" spans="9:10" x14ac:dyDescent="0.25">
      <c r="I6683" s="17"/>
      <c r="J6683" s="18"/>
    </row>
    <row r="6684" spans="9:10" x14ac:dyDescent="0.25">
      <c r="I6684" s="17"/>
      <c r="J6684" s="18"/>
    </row>
    <row r="6685" spans="9:10" x14ac:dyDescent="0.25">
      <c r="I6685" s="17"/>
      <c r="J6685" s="18"/>
    </row>
    <row r="6686" spans="9:10" x14ac:dyDescent="0.25">
      <c r="I6686" s="17"/>
      <c r="J6686" s="18"/>
    </row>
    <row r="6687" spans="9:10" x14ac:dyDescent="0.25">
      <c r="I6687" s="17"/>
      <c r="J6687" s="18"/>
    </row>
    <row r="6688" spans="9:10" x14ac:dyDescent="0.25">
      <c r="I6688" s="17"/>
      <c r="J6688" s="18"/>
    </row>
    <row r="6689" spans="9:10" x14ac:dyDescent="0.25">
      <c r="I6689" s="17"/>
      <c r="J6689" s="18"/>
    </row>
    <row r="6690" spans="9:10" x14ac:dyDescent="0.25">
      <c r="I6690" s="17"/>
      <c r="J6690" s="18"/>
    </row>
    <row r="6691" spans="9:10" x14ac:dyDescent="0.25">
      <c r="I6691" s="17"/>
      <c r="J6691" s="18"/>
    </row>
    <row r="6692" spans="9:10" x14ac:dyDescent="0.25">
      <c r="I6692" s="17"/>
      <c r="J6692" s="18"/>
    </row>
    <row r="6693" spans="9:10" x14ac:dyDescent="0.25">
      <c r="I6693" s="17"/>
      <c r="J6693" s="18"/>
    </row>
    <row r="6694" spans="9:10" x14ac:dyDescent="0.25">
      <c r="I6694" s="17"/>
      <c r="J6694" s="18"/>
    </row>
    <row r="6695" spans="9:10" x14ac:dyDescent="0.25">
      <c r="I6695" s="17"/>
      <c r="J6695" s="18"/>
    </row>
    <row r="6696" spans="9:10" x14ac:dyDescent="0.25">
      <c r="I6696" s="17"/>
      <c r="J6696" s="18"/>
    </row>
    <row r="6697" spans="9:10" x14ac:dyDescent="0.25">
      <c r="I6697" s="17"/>
      <c r="J6697" s="18"/>
    </row>
    <row r="6698" spans="9:10" x14ac:dyDescent="0.25">
      <c r="I6698" s="17"/>
      <c r="J6698" s="18"/>
    </row>
    <row r="6699" spans="9:10" x14ac:dyDescent="0.25">
      <c r="I6699" s="17"/>
      <c r="J6699" s="18"/>
    </row>
    <row r="6700" spans="9:10" x14ac:dyDescent="0.25">
      <c r="I6700" s="17"/>
      <c r="J6700" s="18"/>
    </row>
    <row r="6701" spans="9:10" x14ac:dyDescent="0.25">
      <c r="I6701" s="17"/>
      <c r="J6701" s="18"/>
    </row>
    <row r="6702" spans="9:10" x14ac:dyDescent="0.25">
      <c r="I6702" s="17"/>
      <c r="J6702" s="18"/>
    </row>
    <row r="6703" spans="9:10" x14ac:dyDescent="0.25">
      <c r="I6703" s="17"/>
      <c r="J6703" s="18"/>
    </row>
    <row r="6704" spans="9:10" x14ac:dyDescent="0.25">
      <c r="I6704" s="17"/>
      <c r="J6704" s="18"/>
    </row>
    <row r="6705" spans="9:10" x14ac:dyDescent="0.25">
      <c r="I6705" s="17"/>
      <c r="J6705" s="18"/>
    </row>
    <row r="6706" spans="9:10" x14ac:dyDescent="0.25">
      <c r="I6706" s="17"/>
      <c r="J6706" s="18"/>
    </row>
    <row r="6707" spans="9:10" x14ac:dyDescent="0.25">
      <c r="I6707" s="17"/>
      <c r="J6707" s="18"/>
    </row>
    <row r="6708" spans="9:10" x14ac:dyDescent="0.25">
      <c r="I6708" s="17"/>
      <c r="J6708" s="18"/>
    </row>
    <row r="6709" spans="9:10" x14ac:dyDescent="0.25">
      <c r="I6709" s="17"/>
      <c r="J6709" s="18"/>
    </row>
    <row r="6710" spans="9:10" x14ac:dyDescent="0.25">
      <c r="I6710" s="17"/>
      <c r="J6710" s="18"/>
    </row>
    <row r="6711" spans="9:10" x14ac:dyDescent="0.25">
      <c r="I6711" s="17"/>
      <c r="J6711" s="18"/>
    </row>
    <row r="6712" spans="9:10" x14ac:dyDescent="0.25">
      <c r="I6712" s="17"/>
      <c r="J6712" s="18"/>
    </row>
    <row r="6713" spans="9:10" x14ac:dyDescent="0.25">
      <c r="I6713" s="17"/>
      <c r="J6713" s="18"/>
    </row>
    <row r="6714" spans="9:10" x14ac:dyDescent="0.25">
      <c r="I6714" s="17"/>
      <c r="J6714" s="18"/>
    </row>
    <row r="6715" spans="9:10" x14ac:dyDescent="0.25">
      <c r="I6715" s="17"/>
      <c r="J6715" s="18"/>
    </row>
    <row r="6716" spans="9:10" x14ac:dyDescent="0.25">
      <c r="I6716" s="17"/>
      <c r="J6716" s="18"/>
    </row>
    <row r="6717" spans="9:10" x14ac:dyDescent="0.25">
      <c r="I6717" s="17"/>
      <c r="J6717" s="18"/>
    </row>
    <row r="6718" spans="9:10" x14ac:dyDescent="0.25">
      <c r="I6718" s="17"/>
      <c r="J6718" s="18"/>
    </row>
    <row r="6719" spans="9:10" x14ac:dyDescent="0.25">
      <c r="I6719" s="17"/>
      <c r="J6719" s="18"/>
    </row>
    <row r="6720" spans="9:10" x14ac:dyDescent="0.25">
      <c r="I6720" s="17"/>
      <c r="J6720" s="18"/>
    </row>
    <row r="6721" spans="9:10" x14ac:dyDescent="0.25">
      <c r="I6721" s="17"/>
      <c r="J6721" s="18"/>
    </row>
    <row r="6722" spans="9:10" x14ac:dyDescent="0.25">
      <c r="I6722" s="17"/>
      <c r="J6722" s="18"/>
    </row>
    <row r="6723" spans="9:10" x14ac:dyDescent="0.25">
      <c r="I6723" s="17"/>
      <c r="J6723" s="18"/>
    </row>
    <row r="6724" spans="9:10" x14ac:dyDescent="0.25">
      <c r="I6724" s="17"/>
      <c r="J6724" s="18"/>
    </row>
    <row r="6725" spans="9:10" x14ac:dyDescent="0.25">
      <c r="I6725" s="17"/>
      <c r="J6725" s="18"/>
    </row>
    <row r="6726" spans="9:10" x14ac:dyDescent="0.25">
      <c r="I6726" s="17"/>
      <c r="J6726" s="18"/>
    </row>
    <row r="6727" spans="9:10" x14ac:dyDescent="0.25">
      <c r="I6727" s="17"/>
      <c r="J6727" s="18"/>
    </row>
    <row r="6728" spans="9:10" x14ac:dyDescent="0.25">
      <c r="I6728" s="17"/>
      <c r="J6728" s="18"/>
    </row>
    <row r="6729" spans="9:10" x14ac:dyDescent="0.25">
      <c r="I6729" s="17"/>
      <c r="J6729" s="18"/>
    </row>
    <row r="6730" spans="9:10" x14ac:dyDescent="0.25">
      <c r="I6730" s="17"/>
      <c r="J6730" s="18"/>
    </row>
    <row r="6731" spans="9:10" x14ac:dyDescent="0.25">
      <c r="I6731" s="17"/>
      <c r="J6731" s="18"/>
    </row>
    <row r="6732" spans="9:10" x14ac:dyDescent="0.25">
      <c r="I6732" s="17"/>
      <c r="J6732" s="18"/>
    </row>
    <row r="6733" spans="9:10" x14ac:dyDescent="0.25">
      <c r="I6733" s="17"/>
      <c r="J6733" s="18"/>
    </row>
    <row r="6734" spans="9:10" x14ac:dyDescent="0.25">
      <c r="I6734" s="17"/>
      <c r="J6734" s="18"/>
    </row>
    <row r="6735" spans="9:10" x14ac:dyDescent="0.25">
      <c r="I6735" s="17"/>
      <c r="J6735" s="18"/>
    </row>
    <row r="6736" spans="9:10" x14ac:dyDescent="0.25">
      <c r="I6736" s="17"/>
      <c r="J6736" s="18"/>
    </row>
    <row r="6737" spans="9:10" x14ac:dyDescent="0.25">
      <c r="I6737" s="17"/>
      <c r="J6737" s="18"/>
    </row>
    <row r="6738" spans="9:10" x14ac:dyDescent="0.25">
      <c r="I6738" s="17"/>
      <c r="J6738" s="18"/>
    </row>
    <row r="6739" spans="9:10" x14ac:dyDescent="0.25">
      <c r="I6739" s="17"/>
      <c r="J6739" s="18"/>
    </row>
    <row r="6740" spans="9:10" x14ac:dyDescent="0.25">
      <c r="I6740" s="17"/>
      <c r="J6740" s="18"/>
    </row>
    <row r="6741" spans="9:10" x14ac:dyDescent="0.25">
      <c r="I6741" s="17"/>
      <c r="J6741" s="18"/>
    </row>
    <row r="6742" spans="9:10" x14ac:dyDescent="0.25">
      <c r="I6742" s="17"/>
      <c r="J6742" s="18"/>
    </row>
    <row r="6743" spans="9:10" x14ac:dyDescent="0.25">
      <c r="I6743" s="17"/>
      <c r="J6743" s="18"/>
    </row>
    <row r="6744" spans="9:10" x14ac:dyDescent="0.25">
      <c r="I6744" s="17"/>
      <c r="J6744" s="18"/>
    </row>
    <row r="6745" spans="9:10" x14ac:dyDescent="0.25">
      <c r="I6745" s="17"/>
      <c r="J6745" s="18"/>
    </row>
    <row r="6746" spans="9:10" x14ac:dyDescent="0.25">
      <c r="I6746" s="17"/>
      <c r="J6746" s="18"/>
    </row>
    <row r="6747" spans="9:10" x14ac:dyDescent="0.25">
      <c r="I6747" s="17"/>
      <c r="J6747" s="18"/>
    </row>
    <row r="6748" spans="9:10" x14ac:dyDescent="0.25">
      <c r="I6748" s="17"/>
      <c r="J6748" s="18"/>
    </row>
    <row r="6749" spans="9:10" x14ac:dyDescent="0.25">
      <c r="I6749" s="17"/>
      <c r="J6749" s="18"/>
    </row>
    <row r="6750" spans="9:10" x14ac:dyDescent="0.25">
      <c r="I6750" s="17"/>
      <c r="J6750" s="18"/>
    </row>
    <row r="6751" spans="9:10" x14ac:dyDescent="0.25">
      <c r="I6751" s="17"/>
      <c r="J6751" s="18"/>
    </row>
    <row r="6752" spans="9:10" x14ac:dyDescent="0.25">
      <c r="I6752" s="17"/>
      <c r="J6752" s="18"/>
    </row>
    <row r="6753" spans="9:10" x14ac:dyDescent="0.25">
      <c r="I6753" s="17"/>
      <c r="J6753" s="18"/>
    </row>
    <row r="6754" spans="9:10" x14ac:dyDescent="0.25">
      <c r="I6754" s="17"/>
      <c r="J6754" s="18"/>
    </row>
    <row r="6755" spans="9:10" x14ac:dyDescent="0.25">
      <c r="I6755" s="17"/>
      <c r="J6755" s="18"/>
    </row>
    <row r="6756" spans="9:10" x14ac:dyDescent="0.25">
      <c r="I6756" s="17"/>
      <c r="J6756" s="18"/>
    </row>
    <row r="6757" spans="9:10" x14ac:dyDescent="0.25">
      <c r="I6757" s="17"/>
      <c r="J6757" s="18"/>
    </row>
    <row r="6758" spans="9:10" x14ac:dyDescent="0.25">
      <c r="I6758" s="17"/>
      <c r="J6758" s="18"/>
    </row>
    <row r="6759" spans="9:10" x14ac:dyDescent="0.25">
      <c r="I6759" s="17"/>
      <c r="J6759" s="18"/>
    </row>
    <row r="6760" spans="9:10" x14ac:dyDescent="0.25">
      <c r="I6760" s="17"/>
      <c r="J6760" s="18"/>
    </row>
    <row r="6761" spans="9:10" x14ac:dyDescent="0.25">
      <c r="I6761" s="17"/>
      <c r="J6761" s="18"/>
    </row>
    <row r="6762" spans="9:10" x14ac:dyDescent="0.25">
      <c r="I6762" s="17"/>
      <c r="J6762" s="18"/>
    </row>
    <row r="6763" spans="9:10" x14ac:dyDescent="0.25">
      <c r="I6763" s="17"/>
      <c r="J6763" s="18"/>
    </row>
    <row r="6764" spans="9:10" x14ac:dyDescent="0.25">
      <c r="I6764" s="17"/>
      <c r="J6764" s="18"/>
    </row>
    <row r="6765" spans="9:10" x14ac:dyDescent="0.25">
      <c r="I6765" s="17"/>
      <c r="J6765" s="18"/>
    </row>
    <row r="6766" spans="9:10" x14ac:dyDescent="0.25">
      <c r="I6766" s="17"/>
      <c r="J6766" s="18"/>
    </row>
    <row r="6767" spans="9:10" x14ac:dyDescent="0.25">
      <c r="I6767" s="17"/>
      <c r="J6767" s="18"/>
    </row>
    <row r="6768" spans="9:10" x14ac:dyDescent="0.25">
      <c r="I6768" s="17"/>
      <c r="J6768" s="18"/>
    </row>
    <row r="6769" spans="9:10" x14ac:dyDescent="0.25">
      <c r="I6769" s="17"/>
      <c r="J6769" s="18"/>
    </row>
    <row r="6770" spans="9:10" x14ac:dyDescent="0.25">
      <c r="I6770" s="17"/>
      <c r="J6770" s="18"/>
    </row>
    <row r="6771" spans="9:10" x14ac:dyDescent="0.25">
      <c r="I6771" s="17"/>
      <c r="J6771" s="18"/>
    </row>
    <row r="6772" spans="9:10" x14ac:dyDescent="0.25">
      <c r="I6772" s="17"/>
      <c r="J6772" s="18"/>
    </row>
    <row r="6773" spans="9:10" x14ac:dyDescent="0.25">
      <c r="I6773" s="17"/>
      <c r="J6773" s="18"/>
    </row>
    <row r="6774" spans="9:10" x14ac:dyDescent="0.25">
      <c r="I6774" s="17"/>
      <c r="J6774" s="18"/>
    </row>
    <row r="6775" spans="9:10" x14ac:dyDescent="0.25">
      <c r="I6775" s="17"/>
      <c r="J6775" s="18"/>
    </row>
    <row r="6776" spans="9:10" x14ac:dyDescent="0.25">
      <c r="I6776" s="17"/>
      <c r="J6776" s="18"/>
    </row>
    <row r="6777" spans="9:10" x14ac:dyDescent="0.25">
      <c r="I6777" s="17"/>
      <c r="J6777" s="18"/>
    </row>
    <row r="6778" spans="9:10" x14ac:dyDescent="0.25">
      <c r="I6778" s="17"/>
      <c r="J6778" s="18"/>
    </row>
    <row r="6779" spans="9:10" x14ac:dyDescent="0.25">
      <c r="I6779" s="17"/>
      <c r="J6779" s="18"/>
    </row>
    <row r="6780" spans="9:10" x14ac:dyDescent="0.25">
      <c r="I6780" s="17"/>
      <c r="J6780" s="18"/>
    </row>
    <row r="6781" spans="9:10" x14ac:dyDescent="0.25">
      <c r="I6781" s="17"/>
      <c r="J6781" s="18"/>
    </row>
    <row r="6782" spans="9:10" x14ac:dyDescent="0.25">
      <c r="I6782" s="17"/>
      <c r="J6782" s="18"/>
    </row>
    <row r="6783" spans="9:10" x14ac:dyDescent="0.25">
      <c r="I6783" s="17"/>
      <c r="J6783" s="18"/>
    </row>
    <row r="6784" spans="9:10" x14ac:dyDescent="0.25">
      <c r="I6784" s="17"/>
      <c r="J6784" s="18"/>
    </row>
    <row r="6785" spans="9:10" x14ac:dyDescent="0.25">
      <c r="I6785" s="17"/>
      <c r="J6785" s="18"/>
    </row>
    <row r="6786" spans="9:10" x14ac:dyDescent="0.25">
      <c r="I6786" s="17"/>
      <c r="J6786" s="18"/>
    </row>
    <row r="6787" spans="9:10" x14ac:dyDescent="0.25">
      <c r="I6787" s="17"/>
      <c r="J6787" s="18"/>
    </row>
    <row r="6788" spans="9:10" x14ac:dyDescent="0.25">
      <c r="I6788" s="17"/>
      <c r="J6788" s="18"/>
    </row>
    <row r="6789" spans="9:10" x14ac:dyDescent="0.25">
      <c r="I6789" s="17"/>
      <c r="J6789" s="18"/>
    </row>
    <row r="6790" spans="9:10" x14ac:dyDescent="0.25">
      <c r="I6790" s="17"/>
      <c r="J6790" s="18"/>
    </row>
    <row r="6791" spans="9:10" x14ac:dyDescent="0.25">
      <c r="I6791" s="17"/>
      <c r="J6791" s="18"/>
    </row>
    <row r="6792" spans="9:10" x14ac:dyDescent="0.25">
      <c r="I6792" s="17"/>
      <c r="J6792" s="18"/>
    </row>
    <row r="6793" spans="9:10" x14ac:dyDescent="0.25">
      <c r="I6793" s="17"/>
      <c r="J6793" s="18"/>
    </row>
    <row r="6794" spans="9:10" x14ac:dyDescent="0.25">
      <c r="I6794" s="17"/>
      <c r="J6794" s="18"/>
    </row>
    <row r="6795" spans="9:10" x14ac:dyDescent="0.25">
      <c r="I6795" s="17"/>
      <c r="J6795" s="18"/>
    </row>
    <row r="6796" spans="9:10" x14ac:dyDescent="0.25">
      <c r="I6796" s="17"/>
      <c r="J6796" s="18"/>
    </row>
    <row r="6797" spans="9:10" x14ac:dyDescent="0.25">
      <c r="I6797" s="17"/>
      <c r="J6797" s="18"/>
    </row>
    <row r="6798" spans="9:10" x14ac:dyDescent="0.25">
      <c r="I6798" s="17"/>
      <c r="J6798" s="18"/>
    </row>
    <row r="6799" spans="9:10" x14ac:dyDescent="0.25">
      <c r="I6799" s="17"/>
      <c r="J6799" s="18"/>
    </row>
    <row r="6800" spans="9:10" x14ac:dyDescent="0.25">
      <c r="I6800" s="17"/>
      <c r="J6800" s="18"/>
    </row>
    <row r="6801" spans="9:10" x14ac:dyDescent="0.25">
      <c r="I6801" s="17"/>
      <c r="J6801" s="18"/>
    </row>
    <row r="6802" spans="9:10" x14ac:dyDescent="0.25">
      <c r="I6802" s="17"/>
      <c r="J6802" s="18"/>
    </row>
    <row r="6803" spans="9:10" x14ac:dyDescent="0.25">
      <c r="I6803" s="17"/>
      <c r="J6803" s="18"/>
    </row>
    <row r="6804" spans="9:10" x14ac:dyDescent="0.25">
      <c r="I6804" s="17"/>
      <c r="J6804" s="18"/>
    </row>
    <row r="6805" spans="9:10" x14ac:dyDescent="0.25">
      <c r="I6805" s="17"/>
      <c r="J6805" s="18"/>
    </row>
    <row r="6806" spans="9:10" x14ac:dyDescent="0.25">
      <c r="I6806" s="17"/>
      <c r="J6806" s="18"/>
    </row>
    <row r="6807" spans="9:10" x14ac:dyDescent="0.25">
      <c r="I6807" s="17"/>
      <c r="J6807" s="18"/>
    </row>
    <row r="6808" spans="9:10" x14ac:dyDescent="0.25">
      <c r="I6808" s="17"/>
      <c r="J6808" s="18"/>
    </row>
    <row r="6809" spans="9:10" x14ac:dyDescent="0.25">
      <c r="I6809" s="17"/>
      <c r="J6809" s="18"/>
    </row>
    <row r="6810" spans="9:10" x14ac:dyDescent="0.25">
      <c r="I6810" s="17"/>
      <c r="J6810" s="18"/>
    </row>
    <row r="6811" spans="9:10" x14ac:dyDescent="0.25">
      <c r="I6811" s="17"/>
      <c r="J6811" s="18"/>
    </row>
    <row r="6812" spans="9:10" x14ac:dyDescent="0.25">
      <c r="I6812" s="17"/>
      <c r="J6812" s="18"/>
    </row>
    <row r="6813" spans="9:10" x14ac:dyDescent="0.25">
      <c r="I6813" s="17"/>
      <c r="J6813" s="18"/>
    </row>
    <row r="6814" spans="9:10" x14ac:dyDescent="0.25">
      <c r="I6814" s="17"/>
      <c r="J6814" s="18"/>
    </row>
    <row r="6815" spans="9:10" x14ac:dyDescent="0.25">
      <c r="I6815" s="17"/>
      <c r="J6815" s="18"/>
    </row>
    <row r="6816" spans="9:10" x14ac:dyDescent="0.25">
      <c r="I6816" s="17"/>
      <c r="J6816" s="18"/>
    </row>
    <row r="6817" spans="9:10" x14ac:dyDescent="0.25">
      <c r="I6817" s="17"/>
      <c r="J6817" s="18"/>
    </row>
    <row r="6818" spans="9:10" x14ac:dyDescent="0.25">
      <c r="I6818" s="17"/>
      <c r="J6818" s="18"/>
    </row>
    <row r="6819" spans="9:10" x14ac:dyDescent="0.25">
      <c r="I6819" s="17"/>
      <c r="J6819" s="18"/>
    </row>
    <row r="6820" spans="9:10" x14ac:dyDescent="0.25">
      <c r="I6820" s="17"/>
      <c r="J6820" s="18"/>
    </row>
    <row r="6821" spans="9:10" x14ac:dyDescent="0.25">
      <c r="I6821" s="17"/>
      <c r="J6821" s="18"/>
    </row>
    <row r="6822" spans="9:10" x14ac:dyDescent="0.25">
      <c r="I6822" s="17"/>
      <c r="J6822" s="18"/>
    </row>
    <row r="6823" spans="9:10" x14ac:dyDescent="0.25">
      <c r="I6823" s="17"/>
      <c r="J6823" s="18"/>
    </row>
    <row r="6824" spans="9:10" x14ac:dyDescent="0.25">
      <c r="I6824" s="17"/>
      <c r="J6824" s="18"/>
    </row>
    <row r="6825" spans="9:10" x14ac:dyDescent="0.25">
      <c r="I6825" s="17"/>
      <c r="J6825" s="18"/>
    </row>
    <row r="6826" spans="9:10" x14ac:dyDescent="0.25">
      <c r="I6826" s="17"/>
      <c r="J6826" s="18"/>
    </row>
    <row r="6827" spans="9:10" x14ac:dyDescent="0.25">
      <c r="I6827" s="17"/>
      <c r="J6827" s="18"/>
    </row>
    <row r="6828" spans="9:10" x14ac:dyDescent="0.25">
      <c r="I6828" s="17"/>
      <c r="J6828" s="18"/>
    </row>
    <row r="6829" spans="9:10" x14ac:dyDescent="0.25">
      <c r="I6829" s="17"/>
      <c r="J6829" s="18"/>
    </row>
    <row r="6830" spans="9:10" x14ac:dyDescent="0.25">
      <c r="I6830" s="17"/>
      <c r="J6830" s="18"/>
    </row>
    <row r="6831" spans="9:10" x14ac:dyDescent="0.25">
      <c r="I6831" s="17"/>
      <c r="J6831" s="18"/>
    </row>
    <row r="6832" spans="9:10" x14ac:dyDescent="0.25">
      <c r="I6832" s="17"/>
      <c r="J6832" s="18"/>
    </row>
    <row r="6833" spans="9:10" x14ac:dyDescent="0.25">
      <c r="I6833" s="17"/>
      <c r="J6833" s="18"/>
    </row>
    <row r="6834" spans="9:10" x14ac:dyDescent="0.25">
      <c r="I6834" s="17"/>
      <c r="J6834" s="18"/>
    </row>
    <row r="6835" spans="9:10" x14ac:dyDescent="0.25">
      <c r="I6835" s="17"/>
      <c r="J6835" s="18"/>
    </row>
    <row r="6836" spans="9:10" x14ac:dyDescent="0.25">
      <c r="I6836" s="17"/>
      <c r="J6836" s="18"/>
    </row>
    <row r="6837" spans="9:10" x14ac:dyDescent="0.25">
      <c r="I6837" s="17"/>
      <c r="J6837" s="18"/>
    </row>
    <row r="6838" spans="9:10" x14ac:dyDescent="0.25">
      <c r="I6838" s="17"/>
      <c r="J6838" s="18"/>
    </row>
    <row r="6839" spans="9:10" x14ac:dyDescent="0.25">
      <c r="I6839" s="17"/>
      <c r="J6839" s="18"/>
    </row>
    <row r="6840" spans="9:10" x14ac:dyDescent="0.25">
      <c r="I6840" s="17"/>
      <c r="J6840" s="18"/>
    </row>
    <row r="6841" spans="9:10" x14ac:dyDescent="0.25">
      <c r="I6841" s="17"/>
      <c r="J6841" s="18"/>
    </row>
    <row r="6842" spans="9:10" x14ac:dyDescent="0.25">
      <c r="I6842" s="17"/>
      <c r="J6842" s="18"/>
    </row>
    <row r="6843" spans="9:10" x14ac:dyDescent="0.25">
      <c r="I6843" s="17"/>
      <c r="J6843" s="18"/>
    </row>
    <row r="6844" spans="9:10" x14ac:dyDescent="0.25">
      <c r="I6844" s="17"/>
      <c r="J6844" s="18"/>
    </row>
    <row r="6845" spans="9:10" x14ac:dyDescent="0.25">
      <c r="I6845" s="17"/>
      <c r="J6845" s="18"/>
    </row>
    <row r="6846" spans="9:10" x14ac:dyDescent="0.25">
      <c r="I6846" s="17"/>
      <c r="J6846" s="18"/>
    </row>
    <row r="6847" spans="9:10" x14ac:dyDescent="0.25">
      <c r="I6847" s="17"/>
      <c r="J6847" s="18"/>
    </row>
    <row r="6848" spans="9:10" x14ac:dyDescent="0.25">
      <c r="I6848" s="17"/>
      <c r="J6848" s="18"/>
    </row>
    <row r="6849" spans="9:10" x14ac:dyDescent="0.25">
      <c r="I6849" s="17"/>
      <c r="J6849" s="18"/>
    </row>
    <row r="6850" spans="9:10" x14ac:dyDescent="0.25">
      <c r="I6850" s="17"/>
      <c r="J6850" s="18"/>
    </row>
    <row r="6851" spans="9:10" x14ac:dyDescent="0.25">
      <c r="I6851" s="17"/>
      <c r="J6851" s="18"/>
    </row>
    <row r="6852" spans="9:10" x14ac:dyDescent="0.25">
      <c r="I6852" s="17"/>
      <c r="J6852" s="18"/>
    </row>
    <row r="6853" spans="9:10" x14ac:dyDescent="0.25">
      <c r="I6853" s="17"/>
      <c r="J6853" s="18"/>
    </row>
    <row r="6854" spans="9:10" x14ac:dyDescent="0.25">
      <c r="I6854" s="17"/>
      <c r="J6854" s="18"/>
    </row>
    <row r="6855" spans="9:10" x14ac:dyDescent="0.25">
      <c r="I6855" s="17"/>
      <c r="J6855" s="18"/>
    </row>
    <row r="6856" spans="9:10" x14ac:dyDescent="0.25">
      <c r="I6856" s="17"/>
      <c r="J6856" s="18"/>
    </row>
    <row r="6857" spans="9:10" x14ac:dyDescent="0.25">
      <c r="I6857" s="17"/>
      <c r="J6857" s="18"/>
    </row>
    <row r="6858" spans="9:10" x14ac:dyDescent="0.25">
      <c r="I6858" s="17"/>
      <c r="J6858" s="18"/>
    </row>
    <row r="6859" spans="9:10" x14ac:dyDescent="0.25">
      <c r="I6859" s="17"/>
      <c r="J6859" s="18"/>
    </row>
    <row r="6860" spans="9:10" x14ac:dyDescent="0.25">
      <c r="I6860" s="17"/>
      <c r="J6860" s="18"/>
    </row>
    <row r="6861" spans="9:10" x14ac:dyDescent="0.25">
      <c r="I6861" s="17"/>
      <c r="J6861" s="18"/>
    </row>
    <row r="6862" spans="9:10" x14ac:dyDescent="0.25">
      <c r="I6862" s="17"/>
      <c r="J6862" s="18"/>
    </row>
    <row r="6863" spans="9:10" x14ac:dyDescent="0.25">
      <c r="I6863" s="17"/>
      <c r="J6863" s="18"/>
    </row>
    <row r="6864" spans="9:10" x14ac:dyDescent="0.25">
      <c r="I6864" s="17"/>
      <c r="J6864" s="18"/>
    </row>
    <row r="6865" spans="9:10" x14ac:dyDescent="0.25">
      <c r="I6865" s="17"/>
      <c r="J6865" s="18"/>
    </row>
    <row r="6866" spans="9:10" x14ac:dyDescent="0.25">
      <c r="I6866" s="17"/>
      <c r="J6866" s="18"/>
    </row>
    <row r="6867" spans="9:10" x14ac:dyDescent="0.25">
      <c r="I6867" s="17"/>
      <c r="J6867" s="18"/>
    </row>
    <row r="6868" spans="9:10" x14ac:dyDescent="0.25">
      <c r="I6868" s="17"/>
      <c r="J6868" s="18"/>
    </row>
    <row r="6869" spans="9:10" x14ac:dyDescent="0.25">
      <c r="I6869" s="17"/>
      <c r="J6869" s="18"/>
    </row>
    <row r="6870" spans="9:10" x14ac:dyDescent="0.25">
      <c r="I6870" s="17"/>
      <c r="J6870" s="18"/>
    </row>
    <row r="6871" spans="9:10" x14ac:dyDescent="0.25">
      <c r="I6871" s="17"/>
      <c r="J6871" s="18"/>
    </row>
    <row r="6872" spans="9:10" x14ac:dyDescent="0.25">
      <c r="I6872" s="17"/>
      <c r="J6872" s="18"/>
    </row>
    <row r="6873" spans="9:10" x14ac:dyDescent="0.25">
      <c r="I6873" s="17"/>
      <c r="J6873" s="18"/>
    </row>
    <row r="6874" spans="9:10" x14ac:dyDescent="0.25">
      <c r="I6874" s="17"/>
      <c r="J6874" s="18"/>
    </row>
    <row r="6875" spans="9:10" x14ac:dyDescent="0.25">
      <c r="I6875" s="17"/>
      <c r="J6875" s="18"/>
    </row>
    <row r="6876" spans="9:10" x14ac:dyDescent="0.25">
      <c r="I6876" s="17"/>
      <c r="J6876" s="18"/>
    </row>
    <row r="6877" spans="9:10" x14ac:dyDescent="0.25">
      <c r="I6877" s="17"/>
      <c r="J6877" s="18"/>
    </row>
    <row r="6878" spans="9:10" x14ac:dyDescent="0.25">
      <c r="I6878" s="17"/>
      <c r="J6878" s="18"/>
    </row>
    <row r="6879" spans="9:10" x14ac:dyDescent="0.25">
      <c r="I6879" s="17"/>
      <c r="J6879" s="18"/>
    </row>
    <row r="6880" spans="9:10" x14ac:dyDescent="0.25">
      <c r="I6880" s="17"/>
      <c r="J6880" s="18"/>
    </row>
    <row r="6881" spans="9:10" x14ac:dyDescent="0.25">
      <c r="I6881" s="17"/>
      <c r="J6881" s="18"/>
    </row>
    <row r="6882" spans="9:10" x14ac:dyDescent="0.25">
      <c r="I6882" s="17"/>
      <c r="J6882" s="18"/>
    </row>
    <row r="6883" spans="9:10" x14ac:dyDescent="0.25">
      <c r="I6883" s="17"/>
      <c r="J6883" s="18"/>
    </row>
    <row r="6884" spans="9:10" x14ac:dyDescent="0.25">
      <c r="I6884" s="17"/>
      <c r="J6884" s="18"/>
    </row>
    <row r="6885" spans="9:10" x14ac:dyDescent="0.25">
      <c r="I6885" s="17"/>
      <c r="J6885" s="18"/>
    </row>
    <row r="6886" spans="9:10" x14ac:dyDescent="0.25">
      <c r="I6886" s="17"/>
      <c r="J6886" s="18"/>
    </row>
    <row r="6887" spans="9:10" x14ac:dyDescent="0.25">
      <c r="I6887" s="17"/>
      <c r="J6887" s="18"/>
    </row>
    <row r="6888" spans="9:10" x14ac:dyDescent="0.25">
      <c r="I6888" s="17"/>
      <c r="J6888" s="18"/>
    </row>
    <row r="6889" spans="9:10" x14ac:dyDescent="0.25">
      <c r="I6889" s="17"/>
      <c r="J6889" s="18"/>
    </row>
    <row r="6890" spans="9:10" x14ac:dyDescent="0.25">
      <c r="I6890" s="17"/>
      <c r="J6890" s="18"/>
    </row>
    <row r="6891" spans="9:10" x14ac:dyDescent="0.25">
      <c r="I6891" s="17"/>
      <c r="J6891" s="18"/>
    </row>
    <row r="6892" spans="9:10" x14ac:dyDescent="0.25">
      <c r="I6892" s="17"/>
      <c r="J6892" s="18"/>
    </row>
    <row r="6893" spans="9:10" x14ac:dyDescent="0.25">
      <c r="I6893" s="17"/>
      <c r="J6893" s="18"/>
    </row>
    <row r="6894" spans="9:10" x14ac:dyDescent="0.25">
      <c r="I6894" s="17"/>
      <c r="J6894" s="18"/>
    </row>
    <row r="6895" spans="9:10" x14ac:dyDescent="0.25">
      <c r="I6895" s="17"/>
      <c r="J6895" s="18"/>
    </row>
    <row r="6896" spans="9:10" x14ac:dyDescent="0.25">
      <c r="I6896" s="17"/>
      <c r="J6896" s="18"/>
    </row>
    <row r="6897" spans="9:10" x14ac:dyDescent="0.25">
      <c r="I6897" s="17"/>
      <c r="J6897" s="18"/>
    </row>
    <row r="6898" spans="9:10" x14ac:dyDescent="0.25">
      <c r="I6898" s="17"/>
      <c r="J6898" s="18"/>
    </row>
    <row r="6899" spans="9:10" x14ac:dyDescent="0.25">
      <c r="I6899" s="17"/>
      <c r="J6899" s="18"/>
    </row>
    <row r="6900" spans="9:10" x14ac:dyDescent="0.25">
      <c r="I6900" s="17"/>
      <c r="J6900" s="18"/>
    </row>
    <row r="6901" spans="9:10" x14ac:dyDescent="0.25">
      <c r="I6901" s="17"/>
      <c r="J6901" s="18"/>
    </row>
    <row r="6902" spans="9:10" x14ac:dyDescent="0.25">
      <c r="I6902" s="17"/>
      <c r="J6902" s="18"/>
    </row>
    <row r="6903" spans="9:10" x14ac:dyDescent="0.25">
      <c r="I6903" s="17"/>
      <c r="J6903" s="18"/>
    </row>
    <row r="6904" spans="9:10" x14ac:dyDescent="0.25">
      <c r="I6904" s="17"/>
      <c r="J6904" s="18"/>
    </row>
    <row r="6905" spans="9:10" x14ac:dyDescent="0.25">
      <c r="I6905" s="17"/>
      <c r="J6905" s="18"/>
    </row>
    <row r="6906" spans="9:10" x14ac:dyDescent="0.25">
      <c r="I6906" s="17"/>
      <c r="J6906" s="18"/>
    </row>
    <row r="6907" spans="9:10" x14ac:dyDescent="0.25">
      <c r="I6907" s="17"/>
      <c r="J6907" s="18"/>
    </row>
    <row r="6908" spans="9:10" x14ac:dyDescent="0.25">
      <c r="I6908" s="17"/>
      <c r="J6908" s="18"/>
    </row>
    <row r="6909" spans="9:10" x14ac:dyDescent="0.25">
      <c r="I6909" s="17"/>
      <c r="J6909" s="18"/>
    </row>
    <row r="6910" spans="9:10" x14ac:dyDescent="0.25">
      <c r="I6910" s="17"/>
      <c r="J6910" s="18"/>
    </row>
    <row r="6911" spans="9:10" x14ac:dyDescent="0.25">
      <c r="I6911" s="17"/>
      <c r="J6911" s="18"/>
    </row>
    <row r="6912" spans="9:10" x14ac:dyDescent="0.25">
      <c r="I6912" s="17"/>
      <c r="J6912" s="18"/>
    </row>
    <row r="6913" spans="9:10" x14ac:dyDescent="0.25">
      <c r="I6913" s="17"/>
      <c r="J6913" s="18"/>
    </row>
    <row r="6914" spans="9:10" x14ac:dyDescent="0.25">
      <c r="I6914" s="17"/>
      <c r="J6914" s="18"/>
    </row>
    <row r="6915" spans="9:10" x14ac:dyDescent="0.25">
      <c r="I6915" s="17"/>
      <c r="J6915" s="18"/>
    </row>
    <row r="6916" spans="9:10" x14ac:dyDescent="0.25">
      <c r="I6916" s="17"/>
      <c r="J6916" s="18"/>
    </row>
    <row r="6917" spans="9:10" x14ac:dyDescent="0.25">
      <c r="I6917" s="17"/>
      <c r="J6917" s="18"/>
    </row>
    <row r="6918" spans="9:10" x14ac:dyDescent="0.25">
      <c r="I6918" s="17"/>
      <c r="J6918" s="18"/>
    </row>
    <row r="6919" spans="9:10" x14ac:dyDescent="0.25">
      <c r="I6919" s="17"/>
      <c r="J6919" s="18"/>
    </row>
    <row r="6920" spans="9:10" x14ac:dyDescent="0.25">
      <c r="I6920" s="17"/>
      <c r="J6920" s="18"/>
    </row>
    <row r="6921" spans="9:10" x14ac:dyDescent="0.25">
      <c r="I6921" s="17"/>
      <c r="J6921" s="18"/>
    </row>
    <row r="6922" spans="9:10" x14ac:dyDescent="0.25">
      <c r="I6922" s="17"/>
      <c r="J6922" s="18"/>
    </row>
    <row r="6923" spans="9:10" x14ac:dyDescent="0.25">
      <c r="I6923" s="17"/>
      <c r="J6923" s="18"/>
    </row>
    <row r="6924" spans="9:10" x14ac:dyDescent="0.25">
      <c r="I6924" s="17"/>
      <c r="J6924" s="18"/>
    </row>
    <row r="6925" spans="9:10" x14ac:dyDescent="0.25">
      <c r="I6925" s="17"/>
      <c r="J6925" s="18"/>
    </row>
    <row r="6926" spans="9:10" x14ac:dyDescent="0.25">
      <c r="I6926" s="17"/>
      <c r="J6926" s="18"/>
    </row>
    <row r="6927" spans="9:10" x14ac:dyDescent="0.25">
      <c r="I6927" s="17"/>
      <c r="J6927" s="18"/>
    </row>
    <row r="6928" spans="9:10" x14ac:dyDescent="0.25">
      <c r="I6928" s="17"/>
      <c r="J6928" s="18"/>
    </row>
    <row r="6929" spans="9:10" x14ac:dyDescent="0.25">
      <c r="I6929" s="17"/>
      <c r="J6929" s="18"/>
    </row>
    <row r="6930" spans="9:10" x14ac:dyDescent="0.25">
      <c r="I6930" s="17"/>
      <c r="J6930" s="18"/>
    </row>
    <row r="6931" spans="9:10" x14ac:dyDescent="0.25">
      <c r="I6931" s="17"/>
      <c r="J6931" s="18"/>
    </row>
    <row r="6932" spans="9:10" x14ac:dyDescent="0.25">
      <c r="I6932" s="17"/>
      <c r="J6932" s="18"/>
    </row>
    <row r="6933" spans="9:10" x14ac:dyDescent="0.25">
      <c r="I6933" s="17"/>
      <c r="J6933" s="18"/>
    </row>
    <row r="6934" spans="9:10" x14ac:dyDescent="0.25">
      <c r="I6934" s="17"/>
      <c r="J6934" s="18"/>
    </row>
    <row r="6935" spans="9:10" x14ac:dyDescent="0.25">
      <c r="I6935" s="17"/>
      <c r="J6935" s="18"/>
    </row>
    <row r="6936" spans="9:10" x14ac:dyDescent="0.25">
      <c r="I6936" s="17"/>
      <c r="J6936" s="18"/>
    </row>
    <row r="6937" spans="9:10" x14ac:dyDescent="0.25">
      <c r="I6937" s="17"/>
      <c r="J6937" s="18"/>
    </row>
    <row r="6938" spans="9:10" x14ac:dyDescent="0.25">
      <c r="I6938" s="17"/>
      <c r="J6938" s="18"/>
    </row>
    <row r="6939" spans="9:10" x14ac:dyDescent="0.25">
      <c r="I6939" s="17"/>
      <c r="J6939" s="18"/>
    </row>
    <row r="6940" spans="9:10" x14ac:dyDescent="0.25">
      <c r="I6940" s="17"/>
      <c r="J6940" s="18"/>
    </row>
    <row r="6941" spans="9:10" x14ac:dyDescent="0.25">
      <c r="I6941" s="17"/>
      <c r="J6941" s="18"/>
    </row>
    <row r="6942" spans="9:10" x14ac:dyDescent="0.25">
      <c r="I6942" s="17"/>
      <c r="J6942" s="18"/>
    </row>
    <row r="6943" spans="9:10" x14ac:dyDescent="0.25">
      <c r="I6943" s="17"/>
      <c r="J6943" s="18"/>
    </row>
    <row r="6944" spans="9:10" x14ac:dyDescent="0.25">
      <c r="I6944" s="17"/>
      <c r="J6944" s="18"/>
    </row>
    <row r="6945" spans="9:10" x14ac:dyDescent="0.25">
      <c r="I6945" s="17"/>
      <c r="J6945" s="18"/>
    </row>
    <row r="6946" spans="9:10" x14ac:dyDescent="0.25">
      <c r="I6946" s="17"/>
      <c r="J6946" s="18"/>
    </row>
    <row r="6947" spans="9:10" x14ac:dyDescent="0.25">
      <c r="I6947" s="17"/>
      <c r="J6947" s="18"/>
    </row>
    <row r="6948" spans="9:10" x14ac:dyDescent="0.25">
      <c r="I6948" s="17"/>
      <c r="J6948" s="18"/>
    </row>
    <row r="6949" spans="9:10" x14ac:dyDescent="0.25">
      <c r="I6949" s="17"/>
      <c r="J6949" s="18"/>
    </row>
    <row r="6950" spans="9:10" x14ac:dyDescent="0.25">
      <c r="I6950" s="17"/>
      <c r="J6950" s="18"/>
    </row>
    <row r="6951" spans="9:10" x14ac:dyDescent="0.25">
      <c r="I6951" s="17"/>
      <c r="J6951" s="18"/>
    </row>
    <row r="6952" spans="9:10" x14ac:dyDescent="0.25">
      <c r="I6952" s="17"/>
      <c r="J6952" s="18"/>
    </row>
    <row r="6953" spans="9:10" x14ac:dyDescent="0.25">
      <c r="I6953" s="17"/>
      <c r="J6953" s="18"/>
    </row>
    <row r="6954" spans="9:10" x14ac:dyDescent="0.25">
      <c r="I6954" s="17"/>
      <c r="J6954" s="18"/>
    </row>
    <row r="6955" spans="9:10" x14ac:dyDescent="0.25">
      <c r="I6955" s="17"/>
      <c r="J6955" s="18"/>
    </row>
    <row r="6956" spans="9:10" x14ac:dyDescent="0.25">
      <c r="I6956" s="17"/>
      <c r="J6956" s="18"/>
    </row>
    <row r="6957" spans="9:10" x14ac:dyDescent="0.25">
      <c r="I6957" s="17"/>
      <c r="J6957" s="18"/>
    </row>
    <row r="6958" spans="9:10" x14ac:dyDescent="0.25">
      <c r="I6958" s="17"/>
      <c r="J6958" s="18"/>
    </row>
    <row r="6959" spans="9:10" x14ac:dyDescent="0.25">
      <c r="I6959" s="17"/>
      <c r="J6959" s="18"/>
    </row>
    <row r="6960" spans="9:10" x14ac:dyDescent="0.25">
      <c r="I6960" s="17"/>
      <c r="J6960" s="18"/>
    </row>
    <row r="6961" spans="9:10" x14ac:dyDescent="0.25">
      <c r="I6961" s="17"/>
      <c r="J6961" s="18"/>
    </row>
    <row r="6962" spans="9:10" x14ac:dyDescent="0.25">
      <c r="I6962" s="17"/>
      <c r="J6962" s="18"/>
    </row>
    <row r="6963" spans="9:10" x14ac:dyDescent="0.25">
      <c r="I6963" s="17"/>
      <c r="J6963" s="18"/>
    </row>
    <row r="6964" spans="9:10" x14ac:dyDescent="0.25">
      <c r="I6964" s="17"/>
      <c r="J6964" s="18"/>
    </row>
    <row r="6965" spans="9:10" x14ac:dyDescent="0.25">
      <c r="I6965" s="17"/>
      <c r="J6965" s="18"/>
    </row>
    <row r="6966" spans="9:10" x14ac:dyDescent="0.25">
      <c r="I6966" s="17"/>
      <c r="J6966" s="18"/>
    </row>
    <row r="6967" spans="9:10" x14ac:dyDescent="0.25">
      <c r="I6967" s="17"/>
      <c r="J6967" s="18"/>
    </row>
    <row r="6968" spans="9:10" x14ac:dyDescent="0.25">
      <c r="I6968" s="17"/>
      <c r="J6968" s="18"/>
    </row>
    <row r="6969" spans="9:10" x14ac:dyDescent="0.25">
      <c r="I6969" s="17"/>
      <c r="J6969" s="18"/>
    </row>
    <row r="6970" spans="9:10" x14ac:dyDescent="0.25">
      <c r="I6970" s="17"/>
      <c r="J6970" s="18"/>
    </row>
    <row r="6971" spans="9:10" x14ac:dyDescent="0.25">
      <c r="I6971" s="17"/>
      <c r="J6971" s="18"/>
    </row>
    <row r="6972" spans="9:10" x14ac:dyDescent="0.25">
      <c r="I6972" s="17"/>
      <c r="J6972" s="18"/>
    </row>
    <row r="6973" spans="9:10" x14ac:dyDescent="0.25">
      <c r="I6973" s="17"/>
      <c r="J6973" s="18"/>
    </row>
    <row r="6974" spans="9:10" x14ac:dyDescent="0.25">
      <c r="I6974" s="17"/>
      <c r="J6974" s="18"/>
    </row>
    <row r="6975" spans="9:10" x14ac:dyDescent="0.25">
      <c r="I6975" s="17"/>
      <c r="J6975" s="18"/>
    </row>
    <row r="6976" spans="9:10" x14ac:dyDescent="0.25">
      <c r="I6976" s="17"/>
      <c r="J6976" s="18"/>
    </row>
    <row r="6977" spans="9:10" x14ac:dyDescent="0.25">
      <c r="I6977" s="17"/>
      <c r="J6977" s="18"/>
    </row>
    <row r="6978" spans="9:10" x14ac:dyDescent="0.25">
      <c r="I6978" s="17"/>
      <c r="J6978" s="18"/>
    </row>
    <row r="6979" spans="9:10" x14ac:dyDescent="0.25">
      <c r="I6979" s="17"/>
      <c r="J6979" s="18"/>
    </row>
    <row r="6980" spans="9:10" x14ac:dyDescent="0.25">
      <c r="I6980" s="17"/>
      <c r="J6980" s="18"/>
    </row>
    <row r="6981" spans="9:10" x14ac:dyDescent="0.25">
      <c r="I6981" s="17"/>
      <c r="J6981" s="18"/>
    </row>
    <row r="6982" spans="9:10" x14ac:dyDescent="0.25">
      <c r="I6982" s="17"/>
      <c r="J6982" s="18"/>
    </row>
    <row r="6983" spans="9:10" x14ac:dyDescent="0.25">
      <c r="I6983" s="17"/>
      <c r="J6983" s="18"/>
    </row>
    <row r="6984" spans="9:10" x14ac:dyDescent="0.25">
      <c r="I6984" s="17"/>
      <c r="J6984" s="18"/>
    </row>
    <row r="6985" spans="9:10" x14ac:dyDescent="0.25">
      <c r="I6985" s="17"/>
      <c r="J6985" s="18"/>
    </row>
    <row r="6986" spans="9:10" x14ac:dyDescent="0.25">
      <c r="I6986" s="17"/>
      <c r="J6986" s="18"/>
    </row>
    <row r="6987" spans="9:10" x14ac:dyDescent="0.25">
      <c r="I6987" s="17"/>
      <c r="J6987" s="18"/>
    </row>
    <row r="6988" spans="9:10" x14ac:dyDescent="0.25">
      <c r="I6988" s="17"/>
      <c r="J6988" s="18"/>
    </row>
    <row r="6989" spans="9:10" x14ac:dyDescent="0.25">
      <c r="I6989" s="17"/>
      <c r="J6989" s="18"/>
    </row>
    <row r="6990" spans="9:10" x14ac:dyDescent="0.25">
      <c r="I6990" s="17"/>
      <c r="J6990" s="18"/>
    </row>
    <row r="6991" spans="9:10" x14ac:dyDescent="0.25">
      <c r="I6991" s="17"/>
      <c r="J6991" s="18"/>
    </row>
    <row r="6992" spans="9:10" x14ac:dyDescent="0.25">
      <c r="I6992" s="17"/>
      <c r="J6992" s="18"/>
    </row>
    <row r="6993" spans="9:10" x14ac:dyDescent="0.25">
      <c r="I6993" s="17"/>
      <c r="J6993" s="18"/>
    </row>
    <row r="6994" spans="9:10" x14ac:dyDescent="0.25">
      <c r="I6994" s="17"/>
      <c r="J6994" s="18"/>
    </row>
    <row r="6995" spans="9:10" x14ac:dyDescent="0.25">
      <c r="I6995" s="17"/>
      <c r="J6995" s="18"/>
    </row>
    <row r="6996" spans="9:10" x14ac:dyDescent="0.25">
      <c r="I6996" s="17"/>
      <c r="J6996" s="18"/>
    </row>
    <row r="6997" spans="9:10" x14ac:dyDescent="0.25">
      <c r="I6997" s="17"/>
      <c r="J6997" s="18"/>
    </row>
    <row r="6998" spans="9:10" x14ac:dyDescent="0.25">
      <c r="I6998" s="17"/>
      <c r="J6998" s="18"/>
    </row>
    <row r="6999" spans="9:10" x14ac:dyDescent="0.25">
      <c r="I6999" s="17"/>
      <c r="J6999" s="18"/>
    </row>
    <row r="7000" spans="9:10" x14ac:dyDescent="0.25">
      <c r="I7000" s="17"/>
      <c r="J7000" s="18"/>
    </row>
    <row r="7001" spans="9:10" x14ac:dyDescent="0.25">
      <c r="I7001" s="17"/>
      <c r="J7001" s="18"/>
    </row>
    <row r="7002" spans="9:10" x14ac:dyDescent="0.25">
      <c r="I7002" s="17"/>
      <c r="J7002" s="18"/>
    </row>
    <row r="7003" spans="9:10" x14ac:dyDescent="0.25">
      <c r="I7003" s="17"/>
      <c r="J7003" s="18"/>
    </row>
    <row r="7004" spans="9:10" x14ac:dyDescent="0.25">
      <c r="I7004" s="17"/>
      <c r="J7004" s="18"/>
    </row>
    <row r="7005" spans="9:10" x14ac:dyDescent="0.25">
      <c r="I7005" s="17"/>
      <c r="J7005" s="18"/>
    </row>
    <row r="7006" spans="9:10" x14ac:dyDescent="0.25">
      <c r="I7006" s="17"/>
      <c r="J7006" s="18"/>
    </row>
    <row r="7007" spans="9:10" x14ac:dyDescent="0.25">
      <c r="I7007" s="17"/>
      <c r="J7007" s="18"/>
    </row>
    <row r="7008" spans="9:10" x14ac:dyDescent="0.25">
      <c r="I7008" s="17"/>
      <c r="J7008" s="18"/>
    </row>
    <row r="7009" spans="9:10" x14ac:dyDescent="0.25">
      <c r="I7009" s="17"/>
      <c r="J7009" s="18"/>
    </row>
    <row r="7010" spans="9:10" x14ac:dyDescent="0.25">
      <c r="I7010" s="17"/>
      <c r="J7010" s="18"/>
    </row>
    <row r="7011" spans="9:10" x14ac:dyDescent="0.25">
      <c r="I7011" s="17"/>
      <c r="J7011" s="18"/>
    </row>
    <row r="7012" spans="9:10" x14ac:dyDescent="0.25">
      <c r="I7012" s="17"/>
      <c r="J7012" s="18"/>
    </row>
    <row r="7013" spans="9:10" x14ac:dyDescent="0.25">
      <c r="I7013" s="17"/>
      <c r="J7013" s="18"/>
    </row>
    <row r="7014" spans="9:10" x14ac:dyDescent="0.25">
      <c r="I7014" s="17"/>
      <c r="J7014" s="18"/>
    </row>
    <row r="7015" spans="9:10" x14ac:dyDescent="0.25">
      <c r="I7015" s="17"/>
      <c r="J7015" s="18"/>
    </row>
    <row r="7016" spans="9:10" x14ac:dyDescent="0.25">
      <c r="I7016" s="17"/>
      <c r="J7016" s="18"/>
    </row>
    <row r="7017" spans="9:10" x14ac:dyDescent="0.25">
      <c r="I7017" s="17"/>
      <c r="J7017" s="18"/>
    </row>
    <row r="7018" spans="9:10" x14ac:dyDescent="0.25">
      <c r="I7018" s="17"/>
      <c r="J7018" s="18"/>
    </row>
    <row r="7019" spans="9:10" x14ac:dyDescent="0.25">
      <c r="I7019" s="17"/>
      <c r="J7019" s="18"/>
    </row>
    <row r="7020" spans="9:10" x14ac:dyDescent="0.25">
      <c r="I7020" s="17"/>
      <c r="J7020" s="18"/>
    </row>
    <row r="7021" spans="9:10" x14ac:dyDescent="0.25">
      <c r="I7021" s="17"/>
      <c r="J7021" s="18"/>
    </row>
    <row r="7022" spans="9:10" x14ac:dyDescent="0.25">
      <c r="I7022" s="17"/>
      <c r="J7022" s="18"/>
    </row>
    <row r="7023" spans="9:10" x14ac:dyDescent="0.25">
      <c r="I7023" s="17"/>
      <c r="J7023" s="18"/>
    </row>
    <row r="7024" spans="9:10" x14ac:dyDescent="0.25">
      <c r="I7024" s="17"/>
      <c r="J7024" s="18"/>
    </row>
    <row r="7025" spans="9:10" x14ac:dyDescent="0.25">
      <c r="I7025" s="17"/>
      <c r="J7025" s="18"/>
    </row>
    <row r="7026" spans="9:10" x14ac:dyDescent="0.25">
      <c r="I7026" s="17"/>
      <c r="J7026" s="18"/>
    </row>
    <row r="7027" spans="9:10" x14ac:dyDescent="0.25">
      <c r="I7027" s="17"/>
      <c r="J7027" s="18"/>
    </row>
    <row r="7028" spans="9:10" x14ac:dyDescent="0.25">
      <c r="I7028" s="17"/>
      <c r="J7028" s="18"/>
    </row>
    <row r="7029" spans="9:10" x14ac:dyDescent="0.25">
      <c r="I7029" s="17"/>
      <c r="J7029" s="18"/>
    </row>
    <row r="7030" spans="9:10" x14ac:dyDescent="0.25">
      <c r="I7030" s="17"/>
      <c r="J7030" s="18"/>
    </row>
    <row r="7031" spans="9:10" x14ac:dyDescent="0.25">
      <c r="I7031" s="17"/>
      <c r="J7031" s="18"/>
    </row>
    <row r="7032" spans="9:10" x14ac:dyDescent="0.25">
      <c r="I7032" s="17"/>
      <c r="J7032" s="18"/>
    </row>
    <row r="7033" spans="9:10" x14ac:dyDescent="0.25">
      <c r="I7033" s="17"/>
      <c r="J7033" s="18"/>
    </row>
    <row r="7034" spans="9:10" x14ac:dyDescent="0.25">
      <c r="I7034" s="17"/>
      <c r="J7034" s="18"/>
    </row>
    <row r="7035" spans="9:10" x14ac:dyDescent="0.25">
      <c r="I7035" s="17"/>
      <c r="J7035" s="18"/>
    </row>
    <row r="7036" spans="9:10" x14ac:dyDescent="0.25">
      <c r="I7036" s="17"/>
      <c r="J7036" s="18"/>
    </row>
    <row r="7037" spans="9:10" x14ac:dyDescent="0.25">
      <c r="I7037" s="17"/>
      <c r="J7037" s="18"/>
    </row>
    <row r="7038" spans="9:10" x14ac:dyDescent="0.25">
      <c r="I7038" s="17"/>
      <c r="J7038" s="18"/>
    </row>
    <row r="7039" spans="9:10" x14ac:dyDescent="0.25">
      <c r="I7039" s="17"/>
      <c r="J7039" s="18"/>
    </row>
    <row r="7040" spans="9:10" x14ac:dyDescent="0.25">
      <c r="I7040" s="17"/>
      <c r="J7040" s="18"/>
    </row>
    <row r="7041" spans="9:10" x14ac:dyDescent="0.25">
      <c r="I7041" s="17"/>
      <c r="J7041" s="18"/>
    </row>
    <row r="7042" spans="9:10" x14ac:dyDescent="0.25">
      <c r="I7042" s="17"/>
      <c r="J7042" s="18"/>
    </row>
    <row r="7043" spans="9:10" x14ac:dyDescent="0.25">
      <c r="I7043" s="17"/>
      <c r="J7043" s="18"/>
    </row>
    <row r="7044" spans="9:10" x14ac:dyDescent="0.25">
      <c r="I7044" s="17"/>
      <c r="J7044" s="18"/>
    </row>
    <row r="7045" spans="9:10" x14ac:dyDescent="0.25">
      <c r="I7045" s="17"/>
      <c r="J7045" s="18"/>
    </row>
    <row r="7046" spans="9:10" x14ac:dyDescent="0.25">
      <c r="I7046" s="17"/>
      <c r="J7046" s="18"/>
    </row>
    <row r="7047" spans="9:10" x14ac:dyDescent="0.25">
      <c r="I7047" s="17"/>
      <c r="J7047" s="18"/>
    </row>
    <row r="7048" spans="9:10" x14ac:dyDescent="0.25">
      <c r="I7048" s="17"/>
      <c r="J7048" s="18"/>
    </row>
    <row r="7049" spans="9:10" x14ac:dyDescent="0.25">
      <c r="I7049" s="17"/>
      <c r="J7049" s="18"/>
    </row>
    <row r="7050" spans="9:10" x14ac:dyDescent="0.25">
      <c r="I7050" s="17"/>
      <c r="J7050" s="18"/>
    </row>
    <row r="7051" spans="9:10" x14ac:dyDescent="0.25">
      <c r="I7051" s="17"/>
      <c r="J7051" s="18"/>
    </row>
    <row r="7052" spans="9:10" x14ac:dyDescent="0.25">
      <c r="I7052" s="17"/>
      <c r="J7052" s="18"/>
    </row>
    <row r="7053" spans="9:10" x14ac:dyDescent="0.25">
      <c r="I7053" s="17"/>
      <c r="J7053" s="18"/>
    </row>
    <row r="7054" spans="9:10" x14ac:dyDescent="0.25">
      <c r="I7054" s="17"/>
      <c r="J7054" s="18"/>
    </row>
    <row r="7055" spans="9:10" x14ac:dyDescent="0.25">
      <c r="I7055" s="17"/>
      <c r="J7055" s="18"/>
    </row>
    <row r="7056" spans="9:10" x14ac:dyDescent="0.25">
      <c r="I7056" s="17"/>
      <c r="J7056" s="18"/>
    </row>
    <row r="7057" spans="9:10" x14ac:dyDescent="0.25">
      <c r="I7057" s="17"/>
      <c r="J7057" s="18"/>
    </row>
    <row r="7058" spans="9:10" x14ac:dyDescent="0.25">
      <c r="I7058" s="17"/>
      <c r="J7058" s="18"/>
    </row>
    <row r="7059" spans="9:10" x14ac:dyDescent="0.25">
      <c r="I7059" s="17"/>
      <c r="J7059" s="18"/>
    </row>
    <row r="7060" spans="9:10" x14ac:dyDescent="0.25">
      <c r="I7060" s="17"/>
      <c r="J7060" s="18"/>
    </row>
    <row r="7061" spans="9:10" x14ac:dyDescent="0.25">
      <c r="I7061" s="17"/>
      <c r="J7061" s="18"/>
    </row>
    <row r="7062" spans="9:10" x14ac:dyDescent="0.25">
      <c r="I7062" s="17"/>
      <c r="J7062" s="18"/>
    </row>
    <row r="7063" spans="9:10" x14ac:dyDescent="0.25">
      <c r="I7063" s="17"/>
      <c r="J7063" s="18"/>
    </row>
    <row r="7064" spans="9:10" x14ac:dyDescent="0.25">
      <c r="I7064" s="17"/>
      <c r="J7064" s="18"/>
    </row>
    <row r="7065" spans="9:10" x14ac:dyDescent="0.25">
      <c r="I7065" s="17"/>
      <c r="J7065" s="18"/>
    </row>
    <row r="7066" spans="9:10" x14ac:dyDescent="0.25">
      <c r="I7066" s="17"/>
      <c r="J7066" s="18"/>
    </row>
    <row r="7067" spans="9:10" x14ac:dyDescent="0.25">
      <c r="I7067" s="17"/>
      <c r="J7067" s="18"/>
    </row>
    <row r="7068" spans="9:10" x14ac:dyDescent="0.25">
      <c r="I7068" s="17"/>
      <c r="J7068" s="18"/>
    </row>
    <row r="7069" spans="9:10" x14ac:dyDescent="0.25">
      <c r="I7069" s="17"/>
      <c r="J7069" s="18"/>
    </row>
    <row r="7070" spans="9:10" x14ac:dyDescent="0.25">
      <c r="I7070" s="17"/>
      <c r="J7070" s="18"/>
    </row>
    <row r="7071" spans="9:10" x14ac:dyDescent="0.25">
      <c r="I7071" s="17"/>
      <c r="J7071" s="18"/>
    </row>
    <row r="7072" spans="9:10" x14ac:dyDescent="0.25">
      <c r="I7072" s="17"/>
      <c r="J7072" s="18"/>
    </row>
    <row r="7073" spans="9:10" x14ac:dyDescent="0.25">
      <c r="I7073" s="17"/>
      <c r="J7073" s="18"/>
    </row>
    <row r="7074" spans="9:10" x14ac:dyDescent="0.25">
      <c r="I7074" s="17"/>
      <c r="J7074" s="18"/>
    </row>
    <row r="7075" spans="9:10" x14ac:dyDescent="0.25">
      <c r="I7075" s="17"/>
      <c r="J7075" s="18"/>
    </row>
    <row r="7076" spans="9:10" x14ac:dyDescent="0.25">
      <c r="I7076" s="17"/>
      <c r="J7076" s="18"/>
    </row>
    <row r="7077" spans="9:10" x14ac:dyDescent="0.25">
      <c r="I7077" s="17"/>
      <c r="J7077" s="18"/>
    </row>
    <row r="7078" spans="9:10" x14ac:dyDescent="0.25">
      <c r="I7078" s="17"/>
      <c r="J7078" s="18"/>
    </row>
    <row r="7079" spans="9:10" x14ac:dyDescent="0.25">
      <c r="I7079" s="17"/>
      <c r="J7079" s="18"/>
    </row>
    <row r="7080" spans="9:10" x14ac:dyDescent="0.25">
      <c r="I7080" s="17"/>
      <c r="J7080" s="18"/>
    </row>
    <row r="7081" spans="9:10" x14ac:dyDescent="0.25">
      <c r="I7081" s="17"/>
      <c r="J7081" s="18"/>
    </row>
    <row r="7082" spans="9:10" x14ac:dyDescent="0.25">
      <c r="I7082" s="17"/>
      <c r="J7082" s="18"/>
    </row>
    <row r="7083" spans="9:10" x14ac:dyDescent="0.25">
      <c r="I7083" s="17"/>
      <c r="J7083" s="18"/>
    </row>
    <row r="7084" spans="9:10" x14ac:dyDescent="0.25">
      <c r="I7084" s="17"/>
      <c r="J7084" s="18"/>
    </row>
    <row r="7085" spans="9:10" x14ac:dyDescent="0.25">
      <c r="I7085" s="17"/>
      <c r="J7085" s="18"/>
    </row>
    <row r="7086" spans="9:10" x14ac:dyDescent="0.25">
      <c r="I7086" s="17"/>
      <c r="J7086" s="18"/>
    </row>
    <row r="7087" spans="9:10" x14ac:dyDescent="0.25">
      <c r="I7087" s="17"/>
      <c r="J7087" s="18"/>
    </row>
    <row r="7088" spans="9:10" x14ac:dyDescent="0.25">
      <c r="I7088" s="17"/>
      <c r="J7088" s="18"/>
    </row>
    <row r="7089" spans="9:10" x14ac:dyDescent="0.25">
      <c r="I7089" s="17"/>
      <c r="J7089" s="18"/>
    </row>
    <row r="7090" spans="9:10" x14ac:dyDescent="0.25">
      <c r="I7090" s="17"/>
      <c r="J7090" s="18"/>
    </row>
    <row r="7091" spans="9:10" x14ac:dyDescent="0.25">
      <c r="I7091" s="17"/>
      <c r="J7091" s="18"/>
    </row>
    <row r="7092" spans="9:10" x14ac:dyDescent="0.25">
      <c r="I7092" s="17"/>
      <c r="J7092" s="18"/>
    </row>
    <row r="7093" spans="9:10" x14ac:dyDescent="0.25">
      <c r="I7093" s="17"/>
      <c r="J7093" s="18"/>
    </row>
    <row r="7094" spans="9:10" x14ac:dyDescent="0.25">
      <c r="I7094" s="17"/>
      <c r="J7094" s="18"/>
    </row>
    <row r="7095" spans="9:10" x14ac:dyDescent="0.25">
      <c r="I7095" s="17"/>
      <c r="J7095" s="18"/>
    </row>
    <row r="7096" spans="9:10" x14ac:dyDescent="0.25">
      <c r="I7096" s="17"/>
      <c r="J7096" s="18"/>
    </row>
    <row r="7097" spans="9:10" x14ac:dyDescent="0.25">
      <c r="I7097" s="17"/>
      <c r="J7097" s="18"/>
    </row>
    <row r="7098" spans="9:10" x14ac:dyDescent="0.25">
      <c r="I7098" s="17"/>
      <c r="J7098" s="18"/>
    </row>
    <row r="7099" spans="9:10" x14ac:dyDescent="0.25">
      <c r="I7099" s="17"/>
      <c r="J7099" s="18"/>
    </row>
    <row r="7100" spans="9:10" x14ac:dyDescent="0.25">
      <c r="I7100" s="17"/>
      <c r="J7100" s="18"/>
    </row>
    <row r="7101" spans="9:10" x14ac:dyDescent="0.25">
      <c r="I7101" s="17"/>
      <c r="J7101" s="18"/>
    </row>
    <row r="7102" spans="9:10" x14ac:dyDescent="0.25">
      <c r="I7102" s="17"/>
      <c r="J7102" s="18"/>
    </row>
    <row r="7103" spans="9:10" x14ac:dyDescent="0.25">
      <c r="I7103" s="17"/>
      <c r="J7103" s="18"/>
    </row>
    <row r="7104" spans="9:10" x14ac:dyDescent="0.25">
      <c r="I7104" s="17"/>
      <c r="J7104" s="18"/>
    </row>
    <row r="7105" spans="9:10" x14ac:dyDescent="0.25">
      <c r="I7105" s="17"/>
      <c r="J7105" s="18"/>
    </row>
    <row r="7106" spans="9:10" x14ac:dyDescent="0.25">
      <c r="I7106" s="17"/>
      <c r="J7106" s="18"/>
    </row>
    <row r="7107" spans="9:10" x14ac:dyDescent="0.25">
      <c r="I7107" s="17"/>
      <c r="J7107" s="18"/>
    </row>
    <row r="7108" spans="9:10" x14ac:dyDescent="0.25">
      <c r="I7108" s="17"/>
      <c r="J7108" s="18"/>
    </row>
    <row r="7109" spans="9:10" x14ac:dyDescent="0.25">
      <c r="I7109" s="17"/>
      <c r="J7109" s="18"/>
    </row>
    <row r="7110" spans="9:10" x14ac:dyDescent="0.25">
      <c r="I7110" s="17"/>
      <c r="J7110" s="18"/>
    </row>
    <row r="7111" spans="9:10" x14ac:dyDescent="0.25">
      <c r="I7111" s="17"/>
      <c r="J7111" s="18"/>
    </row>
    <row r="7112" spans="9:10" x14ac:dyDescent="0.25">
      <c r="I7112" s="17"/>
      <c r="J7112" s="18"/>
    </row>
    <row r="7113" spans="9:10" x14ac:dyDescent="0.25">
      <c r="I7113" s="17"/>
      <c r="J7113" s="18"/>
    </row>
    <row r="7114" spans="9:10" x14ac:dyDescent="0.25">
      <c r="I7114" s="17"/>
      <c r="J7114" s="18"/>
    </row>
    <row r="7115" spans="9:10" x14ac:dyDescent="0.25">
      <c r="I7115" s="17"/>
      <c r="J7115" s="18"/>
    </row>
    <row r="7116" spans="9:10" x14ac:dyDescent="0.25">
      <c r="I7116" s="17"/>
      <c r="J7116" s="18"/>
    </row>
    <row r="7117" spans="9:10" x14ac:dyDescent="0.25">
      <c r="I7117" s="17"/>
      <c r="J7117" s="18"/>
    </row>
    <row r="7118" spans="9:10" x14ac:dyDescent="0.25">
      <c r="I7118" s="17"/>
      <c r="J7118" s="18"/>
    </row>
    <row r="7119" spans="9:10" x14ac:dyDescent="0.25">
      <c r="I7119" s="17"/>
      <c r="J7119" s="18"/>
    </row>
    <row r="7120" spans="9:10" x14ac:dyDescent="0.25">
      <c r="I7120" s="17"/>
      <c r="J7120" s="18"/>
    </row>
    <row r="7121" spans="9:10" x14ac:dyDescent="0.25">
      <c r="I7121" s="17"/>
      <c r="J7121" s="18"/>
    </row>
    <row r="7122" spans="9:10" x14ac:dyDescent="0.25">
      <c r="I7122" s="17"/>
      <c r="J7122" s="18"/>
    </row>
    <row r="7123" spans="9:10" x14ac:dyDescent="0.25">
      <c r="I7123" s="17"/>
      <c r="J7123" s="18"/>
    </row>
    <row r="7124" spans="9:10" x14ac:dyDescent="0.25">
      <c r="I7124" s="17"/>
      <c r="J7124" s="18"/>
    </row>
    <row r="7125" spans="9:10" x14ac:dyDescent="0.25">
      <c r="I7125" s="17"/>
      <c r="J7125" s="18"/>
    </row>
    <row r="7126" spans="9:10" x14ac:dyDescent="0.25">
      <c r="I7126" s="17"/>
      <c r="J7126" s="18"/>
    </row>
    <row r="7127" spans="9:10" x14ac:dyDescent="0.25">
      <c r="I7127" s="17"/>
      <c r="J7127" s="18"/>
    </row>
    <row r="7128" spans="9:10" x14ac:dyDescent="0.25">
      <c r="I7128" s="17"/>
      <c r="J7128" s="18"/>
    </row>
    <row r="7129" spans="9:10" x14ac:dyDescent="0.25">
      <c r="I7129" s="17"/>
      <c r="J7129" s="18"/>
    </row>
    <row r="7130" spans="9:10" x14ac:dyDescent="0.25">
      <c r="I7130" s="17"/>
      <c r="J7130" s="18"/>
    </row>
    <row r="7131" spans="9:10" x14ac:dyDescent="0.25">
      <c r="I7131" s="17"/>
      <c r="J7131" s="18"/>
    </row>
    <row r="7132" spans="9:10" x14ac:dyDescent="0.25">
      <c r="I7132" s="17"/>
      <c r="J7132" s="18"/>
    </row>
    <row r="7133" spans="9:10" x14ac:dyDescent="0.25">
      <c r="I7133" s="17"/>
      <c r="J7133" s="18"/>
    </row>
    <row r="7134" spans="9:10" x14ac:dyDescent="0.25">
      <c r="I7134" s="17"/>
      <c r="J7134" s="18"/>
    </row>
    <row r="7135" spans="9:10" x14ac:dyDescent="0.25">
      <c r="I7135" s="17"/>
      <c r="J7135" s="18"/>
    </row>
    <row r="7136" spans="9:10" x14ac:dyDescent="0.25">
      <c r="I7136" s="17"/>
      <c r="J7136" s="18"/>
    </row>
    <row r="7137" spans="9:10" x14ac:dyDescent="0.25">
      <c r="I7137" s="17"/>
      <c r="J7137" s="18"/>
    </row>
    <row r="7138" spans="9:10" x14ac:dyDescent="0.25">
      <c r="I7138" s="17"/>
      <c r="J7138" s="18"/>
    </row>
    <row r="7139" spans="9:10" x14ac:dyDescent="0.25">
      <c r="I7139" s="17"/>
      <c r="J7139" s="18"/>
    </row>
    <row r="7140" spans="9:10" x14ac:dyDescent="0.25">
      <c r="I7140" s="17"/>
      <c r="J7140" s="18"/>
    </row>
    <row r="7141" spans="9:10" x14ac:dyDescent="0.25">
      <c r="I7141" s="17"/>
      <c r="J7141" s="18"/>
    </row>
    <row r="7142" spans="9:10" x14ac:dyDescent="0.25">
      <c r="I7142" s="17"/>
      <c r="J7142" s="18"/>
    </row>
    <row r="7143" spans="9:10" x14ac:dyDescent="0.25">
      <c r="I7143" s="17"/>
      <c r="J7143" s="18"/>
    </row>
    <row r="7144" spans="9:10" x14ac:dyDescent="0.25">
      <c r="I7144" s="17"/>
      <c r="J7144" s="18"/>
    </row>
    <row r="7145" spans="9:10" x14ac:dyDescent="0.25">
      <c r="I7145" s="17"/>
      <c r="J7145" s="18"/>
    </row>
    <row r="7146" spans="9:10" x14ac:dyDescent="0.25">
      <c r="I7146" s="17"/>
      <c r="J7146" s="18"/>
    </row>
    <row r="7147" spans="9:10" x14ac:dyDescent="0.25">
      <c r="I7147" s="17"/>
      <c r="J7147" s="18"/>
    </row>
    <row r="7148" spans="9:10" x14ac:dyDescent="0.25">
      <c r="I7148" s="17"/>
      <c r="J7148" s="18"/>
    </row>
    <row r="7149" spans="9:10" x14ac:dyDescent="0.25">
      <c r="I7149" s="17"/>
      <c r="J7149" s="18"/>
    </row>
    <row r="7150" spans="9:10" x14ac:dyDescent="0.25">
      <c r="I7150" s="17"/>
      <c r="J7150" s="18"/>
    </row>
    <row r="7151" spans="9:10" x14ac:dyDescent="0.25">
      <c r="I7151" s="17"/>
      <c r="J7151" s="18"/>
    </row>
    <row r="7152" spans="9:10" x14ac:dyDescent="0.25">
      <c r="I7152" s="17"/>
      <c r="J7152" s="18"/>
    </row>
    <row r="7153" spans="9:10" x14ac:dyDescent="0.25">
      <c r="I7153" s="17"/>
      <c r="J7153" s="18"/>
    </row>
    <row r="7154" spans="9:10" x14ac:dyDescent="0.25">
      <c r="I7154" s="17"/>
      <c r="J7154" s="18"/>
    </row>
    <row r="7155" spans="9:10" x14ac:dyDescent="0.25">
      <c r="I7155" s="17"/>
      <c r="J7155" s="18"/>
    </row>
    <row r="7156" spans="9:10" x14ac:dyDescent="0.25">
      <c r="I7156" s="17"/>
      <c r="J7156" s="18"/>
    </row>
    <row r="7157" spans="9:10" x14ac:dyDescent="0.25">
      <c r="I7157" s="17"/>
      <c r="J7157" s="18"/>
    </row>
    <row r="7158" spans="9:10" x14ac:dyDescent="0.25">
      <c r="I7158" s="17"/>
      <c r="J7158" s="18"/>
    </row>
    <row r="7159" spans="9:10" x14ac:dyDescent="0.25">
      <c r="I7159" s="17"/>
      <c r="J7159" s="18"/>
    </row>
    <row r="7160" spans="9:10" x14ac:dyDescent="0.25">
      <c r="I7160" s="17"/>
      <c r="J7160" s="18"/>
    </row>
    <row r="7161" spans="9:10" x14ac:dyDescent="0.25">
      <c r="I7161" s="17"/>
      <c r="J7161" s="18"/>
    </row>
    <row r="7162" spans="9:10" x14ac:dyDescent="0.25">
      <c r="I7162" s="17"/>
      <c r="J7162" s="18"/>
    </row>
    <row r="7163" spans="9:10" x14ac:dyDescent="0.25">
      <c r="I7163" s="17"/>
      <c r="J7163" s="18"/>
    </row>
    <row r="7164" spans="9:10" x14ac:dyDescent="0.25">
      <c r="I7164" s="17"/>
      <c r="J7164" s="18"/>
    </row>
    <row r="7165" spans="9:10" x14ac:dyDescent="0.25">
      <c r="I7165" s="17"/>
      <c r="J7165" s="18"/>
    </row>
    <row r="7166" spans="9:10" x14ac:dyDescent="0.25">
      <c r="I7166" s="17"/>
      <c r="J7166" s="18"/>
    </row>
    <row r="7167" spans="9:10" x14ac:dyDescent="0.25">
      <c r="I7167" s="17"/>
      <c r="J7167" s="18"/>
    </row>
    <row r="7168" spans="9:10" x14ac:dyDescent="0.25">
      <c r="I7168" s="17"/>
      <c r="J7168" s="18"/>
    </row>
    <row r="7169" spans="9:10" x14ac:dyDescent="0.25">
      <c r="I7169" s="17"/>
      <c r="J7169" s="18"/>
    </row>
    <row r="7170" spans="9:10" x14ac:dyDescent="0.25">
      <c r="I7170" s="17"/>
      <c r="J7170" s="18"/>
    </row>
    <row r="7171" spans="9:10" x14ac:dyDescent="0.25">
      <c r="I7171" s="17"/>
      <c r="J7171" s="18"/>
    </row>
    <row r="7172" spans="9:10" x14ac:dyDescent="0.25">
      <c r="I7172" s="17"/>
      <c r="J7172" s="18"/>
    </row>
    <row r="7173" spans="9:10" x14ac:dyDescent="0.25">
      <c r="I7173" s="17"/>
      <c r="J7173" s="18"/>
    </row>
    <row r="7174" spans="9:10" x14ac:dyDescent="0.25">
      <c r="I7174" s="17"/>
      <c r="J7174" s="18"/>
    </row>
    <row r="7175" spans="9:10" x14ac:dyDescent="0.25">
      <c r="I7175" s="17"/>
      <c r="J7175" s="18"/>
    </row>
    <row r="7176" spans="9:10" x14ac:dyDescent="0.25">
      <c r="I7176" s="17"/>
      <c r="J7176" s="18"/>
    </row>
    <row r="7177" spans="9:10" x14ac:dyDescent="0.25">
      <c r="I7177" s="17"/>
      <c r="J7177" s="18"/>
    </row>
    <row r="7178" spans="9:10" x14ac:dyDescent="0.25">
      <c r="I7178" s="17"/>
      <c r="J7178" s="18"/>
    </row>
    <row r="7179" spans="9:10" x14ac:dyDescent="0.25">
      <c r="I7179" s="17"/>
      <c r="J7179" s="18"/>
    </row>
    <row r="7180" spans="9:10" x14ac:dyDescent="0.25">
      <c r="I7180" s="17"/>
      <c r="J7180" s="18"/>
    </row>
    <row r="7181" spans="9:10" x14ac:dyDescent="0.25">
      <c r="I7181" s="17"/>
      <c r="J7181" s="18"/>
    </row>
    <row r="7182" spans="9:10" x14ac:dyDescent="0.25">
      <c r="I7182" s="17"/>
      <c r="J7182" s="18"/>
    </row>
    <row r="7183" spans="9:10" x14ac:dyDescent="0.25">
      <c r="I7183" s="17"/>
      <c r="J7183" s="18"/>
    </row>
    <row r="7184" spans="9:10" x14ac:dyDescent="0.25">
      <c r="I7184" s="17"/>
      <c r="J7184" s="18"/>
    </row>
    <row r="7185" spans="9:10" x14ac:dyDescent="0.25">
      <c r="I7185" s="17"/>
      <c r="J7185" s="18"/>
    </row>
    <row r="7186" spans="9:10" x14ac:dyDescent="0.25">
      <c r="I7186" s="17"/>
      <c r="J7186" s="18"/>
    </row>
    <row r="7187" spans="9:10" x14ac:dyDescent="0.25">
      <c r="I7187" s="17"/>
      <c r="J7187" s="18"/>
    </row>
    <row r="7188" spans="9:10" x14ac:dyDescent="0.25">
      <c r="I7188" s="17"/>
      <c r="J7188" s="18"/>
    </row>
    <row r="7189" spans="9:10" x14ac:dyDescent="0.25">
      <c r="I7189" s="17"/>
      <c r="J7189" s="18"/>
    </row>
    <row r="7190" spans="9:10" x14ac:dyDescent="0.25">
      <c r="I7190" s="17"/>
      <c r="J7190" s="18"/>
    </row>
    <row r="7191" spans="9:10" x14ac:dyDescent="0.25">
      <c r="I7191" s="17"/>
      <c r="J7191" s="18"/>
    </row>
    <row r="7192" spans="9:10" x14ac:dyDescent="0.25">
      <c r="I7192" s="17"/>
      <c r="J7192" s="18"/>
    </row>
    <row r="7193" spans="9:10" x14ac:dyDescent="0.25">
      <c r="I7193" s="17"/>
      <c r="J7193" s="18"/>
    </row>
    <row r="7194" spans="9:10" x14ac:dyDescent="0.25">
      <c r="I7194" s="17"/>
      <c r="J7194" s="18"/>
    </row>
    <row r="7195" spans="9:10" x14ac:dyDescent="0.25">
      <c r="I7195" s="17"/>
      <c r="J7195" s="18"/>
    </row>
    <row r="7196" spans="9:10" x14ac:dyDescent="0.25">
      <c r="I7196" s="17"/>
      <c r="J7196" s="18"/>
    </row>
    <row r="7197" spans="9:10" x14ac:dyDescent="0.25">
      <c r="I7197" s="17"/>
      <c r="J7197" s="18"/>
    </row>
    <row r="7198" spans="9:10" x14ac:dyDescent="0.25">
      <c r="I7198" s="17"/>
      <c r="J7198" s="18"/>
    </row>
    <row r="7199" spans="9:10" x14ac:dyDescent="0.25">
      <c r="I7199" s="17"/>
      <c r="J7199" s="18"/>
    </row>
    <row r="7200" spans="9:10" x14ac:dyDescent="0.25">
      <c r="I7200" s="17"/>
      <c r="J7200" s="18"/>
    </row>
    <row r="7201" spans="9:10" x14ac:dyDescent="0.25">
      <c r="I7201" s="17"/>
      <c r="J7201" s="18"/>
    </row>
    <row r="7202" spans="9:10" x14ac:dyDescent="0.25">
      <c r="I7202" s="17"/>
      <c r="J7202" s="18"/>
    </row>
    <row r="7203" spans="9:10" x14ac:dyDescent="0.25">
      <c r="I7203" s="17"/>
      <c r="J7203" s="18"/>
    </row>
    <row r="7204" spans="9:10" x14ac:dyDescent="0.25">
      <c r="I7204" s="17"/>
      <c r="J7204" s="18"/>
    </row>
    <row r="7205" spans="9:10" x14ac:dyDescent="0.25">
      <c r="I7205" s="17"/>
      <c r="J7205" s="18"/>
    </row>
    <row r="7206" spans="9:10" x14ac:dyDescent="0.25">
      <c r="I7206" s="17"/>
      <c r="J7206" s="18"/>
    </row>
    <row r="7207" spans="9:10" x14ac:dyDescent="0.25">
      <c r="I7207" s="17"/>
      <c r="J7207" s="18"/>
    </row>
    <row r="7208" spans="9:10" x14ac:dyDescent="0.25">
      <c r="I7208" s="17"/>
      <c r="J7208" s="18"/>
    </row>
    <row r="7209" spans="9:10" x14ac:dyDescent="0.25">
      <c r="I7209" s="17"/>
      <c r="J7209" s="18"/>
    </row>
    <row r="7210" spans="9:10" x14ac:dyDescent="0.25">
      <c r="I7210" s="17"/>
      <c r="J7210" s="18"/>
    </row>
    <row r="7211" spans="9:10" x14ac:dyDescent="0.25">
      <c r="I7211" s="17"/>
      <c r="J7211" s="18"/>
    </row>
    <row r="7212" spans="9:10" x14ac:dyDescent="0.25">
      <c r="I7212" s="17"/>
      <c r="J7212" s="18"/>
    </row>
    <row r="7213" spans="9:10" x14ac:dyDescent="0.25">
      <c r="I7213" s="17"/>
      <c r="J7213" s="18"/>
    </row>
    <row r="7214" spans="9:10" x14ac:dyDescent="0.25">
      <c r="I7214" s="17"/>
      <c r="J7214" s="18"/>
    </row>
    <row r="7215" spans="9:10" x14ac:dyDescent="0.25">
      <c r="I7215" s="17"/>
      <c r="J7215" s="18"/>
    </row>
    <row r="7216" spans="9:10" x14ac:dyDescent="0.25">
      <c r="I7216" s="17"/>
      <c r="J7216" s="18"/>
    </row>
    <row r="7217" spans="9:10" x14ac:dyDescent="0.25">
      <c r="I7217" s="17"/>
      <c r="J7217" s="18"/>
    </row>
    <row r="7218" spans="9:10" x14ac:dyDescent="0.25">
      <c r="I7218" s="17"/>
      <c r="J7218" s="18"/>
    </row>
    <row r="7219" spans="9:10" x14ac:dyDescent="0.25">
      <c r="I7219" s="17"/>
      <c r="J7219" s="18"/>
    </row>
    <row r="7220" spans="9:10" x14ac:dyDescent="0.25">
      <c r="I7220" s="17"/>
      <c r="J7220" s="18"/>
    </row>
    <row r="7221" spans="9:10" x14ac:dyDescent="0.25">
      <c r="I7221" s="17"/>
      <c r="J7221" s="18"/>
    </row>
    <row r="7222" spans="9:10" x14ac:dyDescent="0.25">
      <c r="I7222" s="17"/>
      <c r="J7222" s="18"/>
    </row>
    <row r="7223" spans="9:10" x14ac:dyDescent="0.25">
      <c r="I7223" s="17"/>
      <c r="J7223" s="18"/>
    </row>
    <row r="7224" spans="9:10" x14ac:dyDescent="0.25">
      <c r="I7224" s="17"/>
      <c r="J7224" s="18"/>
    </row>
    <row r="7225" spans="9:10" x14ac:dyDescent="0.25">
      <c r="I7225" s="17"/>
      <c r="J7225" s="18"/>
    </row>
    <row r="7226" spans="9:10" x14ac:dyDescent="0.25">
      <c r="I7226" s="17"/>
      <c r="J7226" s="18"/>
    </row>
    <row r="7227" spans="9:10" x14ac:dyDescent="0.25">
      <c r="I7227" s="17"/>
      <c r="J7227" s="18"/>
    </row>
    <row r="7228" spans="9:10" x14ac:dyDescent="0.25">
      <c r="I7228" s="17"/>
      <c r="J7228" s="18"/>
    </row>
    <row r="7229" spans="9:10" x14ac:dyDescent="0.25">
      <c r="I7229" s="17"/>
      <c r="J7229" s="18"/>
    </row>
    <row r="7230" spans="9:10" x14ac:dyDescent="0.25">
      <c r="I7230" s="17"/>
      <c r="J7230" s="18"/>
    </row>
    <row r="7231" spans="9:10" x14ac:dyDescent="0.25">
      <c r="I7231" s="17"/>
      <c r="J7231" s="18"/>
    </row>
    <row r="7232" spans="9:10" x14ac:dyDescent="0.25">
      <c r="I7232" s="17"/>
      <c r="J7232" s="18"/>
    </row>
    <row r="7233" spans="9:10" x14ac:dyDescent="0.25">
      <c r="I7233" s="17"/>
      <c r="J7233" s="18"/>
    </row>
    <row r="7234" spans="9:10" x14ac:dyDescent="0.25">
      <c r="I7234" s="17"/>
      <c r="J7234" s="18"/>
    </row>
    <row r="7235" spans="9:10" x14ac:dyDescent="0.25">
      <c r="I7235" s="17"/>
      <c r="J7235" s="18"/>
    </row>
    <row r="7236" spans="9:10" x14ac:dyDescent="0.25">
      <c r="I7236" s="17"/>
      <c r="J7236" s="18"/>
    </row>
    <row r="7237" spans="9:10" x14ac:dyDescent="0.25">
      <c r="I7237" s="17"/>
      <c r="J7237" s="18"/>
    </row>
    <row r="7238" spans="9:10" x14ac:dyDescent="0.25">
      <c r="I7238" s="17"/>
      <c r="J7238" s="18"/>
    </row>
    <row r="7239" spans="9:10" x14ac:dyDescent="0.25">
      <c r="I7239" s="17"/>
      <c r="J7239" s="18"/>
    </row>
    <row r="7240" spans="9:10" x14ac:dyDescent="0.25">
      <c r="I7240" s="17"/>
      <c r="J7240" s="18"/>
    </row>
    <row r="7241" spans="9:10" x14ac:dyDescent="0.25">
      <c r="I7241" s="17"/>
      <c r="J7241" s="18"/>
    </row>
    <row r="7242" spans="9:10" x14ac:dyDescent="0.25">
      <c r="I7242" s="17"/>
      <c r="J7242" s="18"/>
    </row>
    <row r="7243" spans="9:10" x14ac:dyDescent="0.25">
      <c r="I7243" s="17"/>
      <c r="J7243" s="18"/>
    </row>
    <row r="7244" spans="9:10" x14ac:dyDescent="0.25">
      <c r="I7244" s="17"/>
      <c r="J7244" s="18"/>
    </row>
    <row r="7245" spans="9:10" x14ac:dyDescent="0.25">
      <c r="I7245" s="17"/>
      <c r="J7245" s="18"/>
    </row>
    <row r="7246" spans="9:10" x14ac:dyDescent="0.25">
      <c r="I7246" s="17"/>
      <c r="J7246" s="18"/>
    </row>
    <row r="7247" spans="9:10" x14ac:dyDescent="0.25">
      <c r="I7247" s="17"/>
      <c r="J7247" s="18"/>
    </row>
    <row r="7248" spans="9:10" x14ac:dyDescent="0.25">
      <c r="I7248" s="17"/>
      <c r="J7248" s="18"/>
    </row>
    <row r="7249" spans="9:10" x14ac:dyDescent="0.25">
      <c r="I7249" s="17"/>
      <c r="J7249" s="18"/>
    </row>
    <row r="7250" spans="9:10" x14ac:dyDescent="0.25">
      <c r="I7250" s="17"/>
      <c r="J7250" s="18"/>
    </row>
    <row r="7251" spans="9:10" x14ac:dyDescent="0.25">
      <c r="I7251" s="17"/>
      <c r="J7251" s="18"/>
    </row>
    <row r="7252" spans="9:10" x14ac:dyDescent="0.25">
      <c r="I7252" s="17"/>
      <c r="J7252" s="18"/>
    </row>
    <row r="7253" spans="9:10" x14ac:dyDescent="0.25">
      <c r="I7253" s="17"/>
      <c r="J7253" s="18"/>
    </row>
    <row r="7254" spans="9:10" x14ac:dyDescent="0.25">
      <c r="I7254" s="17"/>
      <c r="J7254" s="18"/>
    </row>
    <row r="7255" spans="9:10" x14ac:dyDescent="0.25">
      <c r="I7255" s="17"/>
      <c r="J7255" s="18"/>
    </row>
    <row r="7256" spans="9:10" x14ac:dyDescent="0.25">
      <c r="I7256" s="17"/>
      <c r="J7256" s="18"/>
    </row>
    <row r="7257" spans="9:10" x14ac:dyDescent="0.25">
      <c r="I7257" s="17"/>
      <c r="J7257" s="18"/>
    </row>
    <row r="7258" spans="9:10" x14ac:dyDescent="0.25">
      <c r="I7258" s="17"/>
      <c r="J7258" s="18"/>
    </row>
    <row r="7259" spans="9:10" x14ac:dyDescent="0.25">
      <c r="I7259" s="17"/>
      <c r="J7259" s="18"/>
    </row>
    <row r="7260" spans="9:10" x14ac:dyDescent="0.25">
      <c r="I7260" s="17"/>
      <c r="J7260" s="18"/>
    </row>
    <row r="7261" spans="9:10" x14ac:dyDescent="0.25">
      <c r="I7261" s="17"/>
      <c r="J7261" s="18"/>
    </row>
    <row r="7262" spans="9:10" x14ac:dyDescent="0.25">
      <c r="I7262" s="17"/>
      <c r="J7262" s="18"/>
    </row>
    <row r="7263" spans="9:10" x14ac:dyDescent="0.25">
      <c r="I7263" s="17"/>
      <c r="J7263" s="18"/>
    </row>
    <row r="7264" spans="9:10" x14ac:dyDescent="0.25">
      <c r="I7264" s="17"/>
      <c r="J7264" s="18"/>
    </row>
    <row r="7265" spans="9:10" x14ac:dyDescent="0.25">
      <c r="I7265" s="17"/>
      <c r="J7265" s="18"/>
    </row>
    <row r="7266" spans="9:10" x14ac:dyDescent="0.25">
      <c r="I7266" s="17"/>
      <c r="J7266" s="18"/>
    </row>
    <row r="7267" spans="9:10" x14ac:dyDescent="0.25">
      <c r="I7267" s="17"/>
      <c r="J7267" s="18"/>
    </row>
    <row r="7268" spans="9:10" x14ac:dyDescent="0.25">
      <c r="I7268" s="17"/>
      <c r="J7268" s="18"/>
    </row>
    <row r="7269" spans="9:10" x14ac:dyDescent="0.25">
      <c r="I7269" s="17"/>
      <c r="J7269" s="18"/>
    </row>
    <row r="7270" spans="9:10" x14ac:dyDescent="0.25">
      <c r="I7270" s="17"/>
      <c r="J7270" s="18"/>
    </row>
    <row r="7271" spans="9:10" x14ac:dyDescent="0.25">
      <c r="I7271" s="17"/>
      <c r="J7271" s="18"/>
    </row>
    <row r="7272" spans="9:10" x14ac:dyDescent="0.25">
      <c r="I7272" s="17"/>
      <c r="J7272" s="18"/>
    </row>
    <row r="7273" spans="9:10" x14ac:dyDescent="0.25">
      <c r="I7273" s="17"/>
      <c r="J7273" s="18"/>
    </row>
    <row r="7274" spans="9:10" x14ac:dyDescent="0.25">
      <c r="I7274" s="17"/>
      <c r="J7274" s="18"/>
    </row>
    <row r="7275" spans="9:10" x14ac:dyDescent="0.25">
      <c r="I7275" s="17"/>
      <c r="J7275" s="18"/>
    </row>
    <row r="7276" spans="9:10" x14ac:dyDescent="0.25">
      <c r="I7276" s="17"/>
      <c r="J7276" s="18"/>
    </row>
    <row r="7277" spans="9:10" x14ac:dyDescent="0.25">
      <c r="I7277" s="17"/>
      <c r="J7277" s="18"/>
    </row>
    <row r="7278" spans="9:10" x14ac:dyDescent="0.25">
      <c r="I7278" s="17"/>
      <c r="J7278" s="18"/>
    </row>
    <row r="7279" spans="9:10" x14ac:dyDescent="0.25">
      <c r="I7279" s="17"/>
      <c r="J7279" s="18"/>
    </row>
    <row r="7280" spans="9:10" x14ac:dyDescent="0.25">
      <c r="I7280" s="17"/>
      <c r="J7280" s="18"/>
    </row>
    <row r="7281" spans="9:10" x14ac:dyDescent="0.25">
      <c r="I7281" s="17"/>
      <c r="J7281" s="18"/>
    </row>
    <row r="7282" spans="9:10" x14ac:dyDescent="0.25">
      <c r="I7282" s="17"/>
      <c r="J7282" s="18"/>
    </row>
    <row r="7283" spans="9:10" x14ac:dyDescent="0.25">
      <c r="I7283" s="17"/>
      <c r="J7283" s="18"/>
    </row>
    <row r="7284" spans="9:10" x14ac:dyDescent="0.25">
      <c r="I7284" s="17"/>
      <c r="J7284" s="18"/>
    </row>
    <row r="7285" spans="9:10" x14ac:dyDescent="0.25">
      <c r="I7285" s="17"/>
      <c r="J7285" s="18"/>
    </row>
    <row r="7286" spans="9:10" x14ac:dyDescent="0.25">
      <c r="I7286" s="17"/>
      <c r="J7286" s="18"/>
    </row>
    <row r="7287" spans="9:10" x14ac:dyDescent="0.25">
      <c r="I7287" s="17"/>
      <c r="J7287" s="18"/>
    </row>
    <row r="7288" spans="9:10" x14ac:dyDescent="0.25">
      <c r="I7288" s="17"/>
      <c r="J7288" s="18"/>
    </row>
    <row r="7289" spans="9:10" x14ac:dyDescent="0.25">
      <c r="I7289" s="17"/>
      <c r="J7289" s="18"/>
    </row>
    <row r="7290" spans="9:10" x14ac:dyDescent="0.25">
      <c r="I7290" s="17"/>
      <c r="J7290" s="18"/>
    </row>
    <row r="7291" spans="9:10" x14ac:dyDescent="0.25">
      <c r="I7291" s="17"/>
      <c r="J7291" s="18"/>
    </row>
    <row r="7292" spans="9:10" x14ac:dyDescent="0.25">
      <c r="I7292" s="17"/>
      <c r="J7292" s="18"/>
    </row>
    <row r="7293" spans="9:10" x14ac:dyDescent="0.25">
      <c r="I7293" s="17"/>
      <c r="J7293" s="18"/>
    </row>
    <row r="7294" spans="9:10" x14ac:dyDescent="0.25">
      <c r="I7294" s="17"/>
      <c r="J7294" s="18"/>
    </row>
    <row r="7295" spans="9:10" x14ac:dyDescent="0.25">
      <c r="I7295" s="17"/>
      <c r="J7295" s="18"/>
    </row>
    <row r="7296" spans="9:10" x14ac:dyDescent="0.25">
      <c r="I7296" s="17"/>
      <c r="J7296" s="18"/>
    </row>
    <row r="7297" spans="9:10" x14ac:dyDescent="0.25">
      <c r="I7297" s="17"/>
      <c r="J7297" s="18"/>
    </row>
    <row r="7298" spans="9:10" x14ac:dyDescent="0.25">
      <c r="I7298" s="17"/>
      <c r="J7298" s="18"/>
    </row>
    <row r="7299" spans="9:10" x14ac:dyDescent="0.25">
      <c r="I7299" s="17"/>
      <c r="J7299" s="18"/>
    </row>
    <row r="7300" spans="9:10" x14ac:dyDescent="0.25">
      <c r="I7300" s="17"/>
      <c r="J7300" s="18"/>
    </row>
    <row r="7301" spans="9:10" x14ac:dyDescent="0.25">
      <c r="I7301" s="17"/>
      <c r="J7301" s="18"/>
    </row>
    <row r="7302" spans="9:10" x14ac:dyDescent="0.25">
      <c r="I7302" s="17"/>
      <c r="J7302" s="18"/>
    </row>
    <row r="7303" spans="9:10" x14ac:dyDescent="0.25">
      <c r="I7303" s="17"/>
      <c r="J7303" s="18"/>
    </row>
    <row r="7304" spans="9:10" x14ac:dyDescent="0.25">
      <c r="I7304" s="17"/>
      <c r="J7304" s="18"/>
    </row>
    <row r="7305" spans="9:10" x14ac:dyDescent="0.25">
      <c r="I7305" s="17"/>
      <c r="J7305" s="18"/>
    </row>
    <row r="7306" spans="9:10" x14ac:dyDescent="0.25">
      <c r="I7306" s="17"/>
      <c r="J7306" s="18"/>
    </row>
    <row r="7307" spans="9:10" x14ac:dyDescent="0.25">
      <c r="I7307" s="17"/>
      <c r="J7307" s="18"/>
    </row>
    <row r="7308" spans="9:10" x14ac:dyDescent="0.25">
      <c r="I7308" s="17"/>
      <c r="J7308" s="18"/>
    </row>
    <row r="7309" spans="9:10" x14ac:dyDescent="0.25">
      <c r="I7309" s="17"/>
      <c r="J7309" s="18"/>
    </row>
    <row r="7310" spans="9:10" x14ac:dyDescent="0.25">
      <c r="I7310" s="17"/>
      <c r="J7310" s="18"/>
    </row>
    <row r="7311" spans="9:10" x14ac:dyDescent="0.25">
      <c r="I7311" s="17"/>
      <c r="J7311" s="18"/>
    </row>
    <row r="7312" spans="9:10" x14ac:dyDescent="0.25">
      <c r="I7312" s="17"/>
      <c r="J7312" s="18"/>
    </row>
    <row r="7313" spans="9:10" x14ac:dyDescent="0.25">
      <c r="I7313" s="17"/>
      <c r="J7313" s="18"/>
    </row>
    <row r="7314" spans="9:10" x14ac:dyDescent="0.25">
      <c r="I7314" s="17"/>
      <c r="J7314" s="18"/>
    </row>
    <row r="7315" spans="9:10" x14ac:dyDescent="0.25">
      <c r="I7315" s="17"/>
      <c r="J7315" s="18"/>
    </row>
    <row r="7316" spans="9:10" x14ac:dyDescent="0.25">
      <c r="I7316" s="17"/>
      <c r="J7316" s="18"/>
    </row>
    <row r="7317" spans="9:10" x14ac:dyDescent="0.25">
      <c r="I7317" s="17"/>
      <c r="J7317" s="18"/>
    </row>
    <row r="7318" spans="9:10" x14ac:dyDescent="0.25">
      <c r="I7318" s="17"/>
      <c r="J7318" s="18"/>
    </row>
    <row r="7319" spans="9:10" x14ac:dyDescent="0.25">
      <c r="I7319" s="17"/>
      <c r="J7319" s="18"/>
    </row>
    <row r="7320" spans="9:10" x14ac:dyDescent="0.25">
      <c r="I7320" s="17"/>
      <c r="J7320" s="18"/>
    </row>
    <row r="7321" spans="9:10" x14ac:dyDescent="0.25">
      <c r="I7321" s="17"/>
      <c r="J7321" s="18"/>
    </row>
    <row r="7322" spans="9:10" x14ac:dyDescent="0.25">
      <c r="I7322" s="17"/>
      <c r="J7322" s="18"/>
    </row>
    <row r="7323" spans="9:10" x14ac:dyDescent="0.25">
      <c r="I7323" s="17"/>
      <c r="J7323" s="18"/>
    </row>
    <row r="7324" spans="9:10" x14ac:dyDescent="0.25">
      <c r="I7324" s="17"/>
      <c r="J7324" s="18"/>
    </row>
    <row r="7325" spans="9:10" x14ac:dyDescent="0.25">
      <c r="I7325" s="17"/>
      <c r="J7325" s="18"/>
    </row>
    <row r="7326" spans="9:10" x14ac:dyDescent="0.25">
      <c r="I7326" s="17"/>
      <c r="J7326" s="18"/>
    </row>
    <row r="7327" spans="9:10" x14ac:dyDescent="0.25">
      <c r="I7327" s="17"/>
      <c r="J7327" s="18"/>
    </row>
    <row r="7328" spans="9:10" x14ac:dyDescent="0.25">
      <c r="I7328" s="17"/>
      <c r="J7328" s="18"/>
    </row>
    <row r="7329" spans="9:10" x14ac:dyDescent="0.25">
      <c r="I7329" s="17"/>
      <c r="J7329" s="18"/>
    </row>
    <row r="7330" spans="9:10" x14ac:dyDescent="0.25">
      <c r="I7330" s="17"/>
      <c r="J7330" s="18"/>
    </row>
    <row r="7331" spans="9:10" x14ac:dyDescent="0.25">
      <c r="I7331" s="17"/>
      <c r="J7331" s="18"/>
    </row>
    <row r="7332" spans="9:10" x14ac:dyDescent="0.25">
      <c r="I7332" s="17"/>
      <c r="J7332" s="18"/>
    </row>
    <row r="7333" spans="9:10" x14ac:dyDescent="0.25">
      <c r="I7333" s="17"/>
      <c r="J7333" s="18"/>
    </row>
    <row r="7334" spans="9:10" x14ac:dyDescent="0.25">
      <c r="I7334" s="17"/>
      <c r="J7334" s="18"/>
    </row>
    <row r="7335" spans="9:10" x14ac:dyDescent="0.25">
      <c r="I7335" s="17"/>
      <c r="J7335" s="18"/>
    </row>
    <row r="7336" spans="9:10" x14ac:dyDescent="0.25">
      <c r="I7336" s="17"/>
      <c r="J7336" s="18"/>
    </row>
    <row r="7337" spans="9:10" x14ac:dyDescent="0.25">
      <c r="I7337" s="17"/>
      <c r="J7337" s="18"/>
    </row>
    <row r="7338" spans="9:10" x14ac:dyDescent="0.25">
      <c r="I7338" s="17"/>
      <c r="J7338" s="18"/>
    </row>
    <row r="7339" spans="9:10" x14ac:dyDescent="0.25">
      <c r="I7339" s="17"/>
      <c r="J7339" s="18"/>
    </row>
    <row r="7340" spans="9:10" x14ac:dyDescent="0.25">
      <c r="I7340" s="17"/>
      <c r="J7340" s="18"/>
    </row>
    <row r="7341" spans="9:10" x14ac:dyDescent="0.25">
      <c r="I7341" s="17"/>
      <c r="J7341" s="18"/>
    </row>
    <row r="7342" spans="9:10" x14ac:dyDescent="0.25">
      <c r="I7342" s="17"/>
      <c r="J7342" s="18"/>
    </row>
    <row r="7343" spans="9:10" x14ac:dyDescent="0.25">
      <c r="I7343" s="17"/>
      <c r="J7343" s="18"/>
    </row>
    <row r="7344" spans="9:10" x14ac:dyDescent="0.25">
      <c r="I7344" s="17"/>
      <c r="J7344" s="18"/>
    </row>
    <row r="7345" spans="9:10" x14ac:dyDescent="0.25">
      <c r="I7345" s="17"/>
      <c r="J7345" s="18"/>
    </row>
    <row r="7346" spans="9:10" x14ac:dyDescent="0.25">
      <c r="I7346" s="17"/>
      <c r="J7346" s="18"/>
    </row>
    <row r="7347" spans="9:10" x14ac:dyDescent="0.25">
      <c r="I7347" s="17"/>
      <c r="J7347" s="18"/>
    </row>
    <row r="7348" spans="9:10" x14ac:dyDescent="0.25">
      <c r="I7348" s="17"/>
      <c r="J7348" s="18"/>
    </row>
    <row r="7349" spans="9:10" x14ac:dyDescent="0.25">
      <c r="I7349" s="17"/>
      <c r="J7349" s="18"/>
    </row>
    <row r="7350" spans="9:10" x14ac:dyDescent="0.25">
      <c r="I7350" s="17"/>
      <c r="J7350" s="18"/>
    </row>
    <row r="7351" spans="9:10" x14ac:dyDescent="0.25">
      <c r="I7351" s="17"/>
      <c r="J7351" s="18"/>
    </row>
    <row r="7352" spans="9:10" x14ac:dyDescent="0.25">
      <c r="I7352" s="17"/>
      <c r="J7352" s="18"/>
    </row>
    <row r="7353" spans="9:10" x14ac:dyDescent="0.25">
      <c r="I7353" s="17"/>
      <c r="J7353" s="18"/>
    </row>
    <row r="7354" spans="9:10" x14ac:dyDescent="0.25">
      <c r="I7354" s="17"/>
      <c r="J7354" s="18"/>
    </row>
    <row r="7355" spans="9:10" x14ac:dyDescent="0.25">
      <c r="I7355" s="17"/>
      <c r="J7355" s="18"/>
    </row>
    <row r="7356" spans="9:10" x14ac:dyDescent="0.25">
      <c r="I7356" s="17"/>
      <c r="J7356" s="18"/>
    </row>
    <row r="7357" spans="9:10" x14ac:dyDescent="0.25">
      <c r="I7357" s="17"/>
      <c r="J7357" s="18"/>
    </row>
    <row r="7358" spans="9:10" x14ac:dyDescent="0.25">
      <c r="I7358" s="17"/>
      <c r="J7358" s="18"/>
    </row>
    <row r="7359" spans="9:10" x14ac:dyDescent="0.25">
      <c r="I7359" s="17"/>
      <c r="J7359" s="18"/>
    </row>
    <row r="7360" spans="9:10" x14ac:dyDescent="0.25">
      <c r="I7360" s="17"/>
      <c r="J7360" s="18"/>
    </row>
    <row r="7361" spans="9:10" x14ac:dyDescent="0.25">
      <c r="I7361" s="17"/>
      <c r="J7361" s="18"/>
    </row>
    <row r="7362" spans="9:10" x14ac:dyDescent="0.25">
      <c r="I7362" s="17"/>
      <c r="J7362" s="18"/>
    </row>
    <row r="7363" spans="9:10" x14ac:dyDescent="0.25">
      <c r="I7363" s="17"/>
      <c r="J7363" s="18"/>
    </row>
    <row r="7364" spans="9:10" x14ac:dyDescent="0.25">
      <c r="I7364" s="17"/>
      <c r="J7364" s="18"/>
    </row>
    <row r="7365" spans="9:10" x14ac:dyDescent="0.25">
      <c r="I7365" s="17"/>
      <c r="J7365" s="18"/>
    </row>
    <row r="7366" spans="9:10" x14ac:dyDescent="0.25">
      <c r="I7366" s="17"/>
      <c r="J7366" s="18"/>
    </row>
    <row r="7367" spans="9:10" x14ac:dyDescent="0.25">
      <c r="I7367" s="17"/>
      <c r="J7367" s="18"/>
    </row>
    <row r="7368" spans="9:10" x14ac:dyDescent="0.25">
      <c r="I7368" s="17"/>
      <c r="J7368" s="18"/>
    </row>
    <row r="7369" spans="9:10" x14ac:dyDescent="0.25">
      <c r="I7369" s="17"/>
      <c r="J7369" s="18"/>
    </row>
    <row r="7370" spans="9:10" x14ac:dyDescent="0.25">
      <c r="I7370" s="17"/>
      <c r="J7370" s="18"/>
    </row>
    <row r="7371" spans="9:10" x14ac:dyDescent="0.25">
      <c r="I7371" s="17"/>
      <c r="J7371" s="18"/>
    </row>
    <row r="7372" spans="9:10" x14ac:dyDescent="0.25">
      <c r="I7372" s="17"/>
      <c r="J7372" s="18"/>
    </row>
    <row r="7373" spans="9:10" x14ac:dyDescent="0.25">
      <c r="I7373" s="17"/>
      <c r="J7373" s="18"/>
    </row>
    <row r="7374" spans="9:10" x14ac:dyDescent="0.25">
      <c r="I7374" s="17"/>
      <c r="J7374" s="18"/>
    </row>
    <row r="7375" spans="9:10" x14ac:dyDescent="0.25">
      <c r="I7375" s="17"/>
      <c r="J7375" s="18"/>
    </row>
    <row r="7376" spans="9:10" x14ac:dyDescent="0.25">
      <c r="I7376" s="17"/>
      <c r="J7376" s="18"/>
    </row>
    <row r="7377" spans="9:10" x14ac:dyDescent="0.25">
      <c r="I7377" s="17"/>
      <c r="J7377" s="18"/>
    </row>
    <row r="7378" spans="9:10" x14ac:dyDescent="0.25">
      <c r="I7378" s="17"/>
      <c r="J7378" s="18"/>
    </row>
    <row r="7379" spans="9:10" x14ac:dyDescent="0.25">
      <c r="I7379" s="17"/>
      <c r="J7379" s="18"/>
    </row>
    <row r="7380" spans="9:10" x14ac:dyDescent="0.25">
      <c r="I7380" s="17"/>
      <c r="J7380" s="18"/>
    </row>
    <row r="7381" spans="9:10" x14ac:dyDescent="0.25">
      <c r="I7381" s="17"/>
      <c r="J7381" s="18"/>
    </row>
    <row r="7382" spans="9:10" x14ac:dyDescent="0.25">
      <c r="I7382" s="17"/>
      <c r="J7382" s="18"/>
    </row>
    <row r="7383" spans="9:10" x14ac:dyDescent="0.25">
      <c r="I7383" s="17"/>
      <c r="J7383" s="18"/>
    </row>
    <row r="7384" spans="9:10" x14ac:dyDescent="0.25">
      <c r="I7384" s="17"/>
      <c r="J7384" s="18"/>
    </row>
    <row r="7385" spans="9:10" x14ac:dyDescent="0.25">
      <c r="I7385" s="17"/>
      <c r="J7385" s="18"/>
    </row>
    <row r="7386" spans="9:10" x14ac:dyDescent="0.25">
      <c r="I7386" s="17"/>
      <c r="J7386" s="18"/>
    </row>
    <row r="7387" spans="9:10" x14ac:dyDescent="0.25">
      <c r="I7387" s="17"/>
      <c r="J7387" s="18"/>
    </row>
    <row r="7388" spans="9:10" x14ac:dyDescent="0.25">
      <c r="I7388" s="17"/>
      <c r="J7388" s="18"/>
    </row>
    <row r="7389" spans="9:10" x14ac:dyDescent="0.25">
      <c r="I7389" s="17"/>
      <c r="J7389" s="18"/>
    </row>
    <row r="7390" spans="9:10" x14ac:dyDescent="0.25">
      <c r="I7390" s="17"/>
      <c r="J7390" s="18"/>
    </row>
    <row r="7391" spans="9:10" x14ac:dyDescent="0.25">
      <c r="I7391" s="17"/>
      <c r="J7391" s="18"/>
    </row>
    <row r="7392" spans="9:10" x14ac:dyDescent="0.25">
      <c r="I7392" s="17"/>
      <c r="J7392" s="18"/>
    </row>
    <row r="7393" spans="9:10" x14ac:dyDescent="0.25">
      <c r="I7393" s="17"/>
      <c r="J7393" s="18"/>
    </row>
    <row r="7394" spans="9:10" x14ac:dyDescent="0.25">
      <c r="I7394" s="17"/>
      <c r="J7394" s="18"/>
    </row>
    <row r="7395" spans="9:10" x14ac:dyDescent="0.25">
      <c r="I7395" s="17"/>
      <c r="J7395" s="18"/>
    </row>
    <row r="7396" spans="9:10" x14ac:dyDescent="0.25">
      <c r="I7396" s="17"/>
      <c r="J7396" s="18"/>
    </row>
    <row r="7397" spans="9:10" x14ac:dyDescent="0.25">
      <c r="I7397" s="17"/>
      <c r="J7397" s="18"/>
    </row>
    <row r="7398" spans="9:10" x14ac:dyDescent="0.25">
      <c r="I7398" s="17"/>
      <c r="J7398" s="18"/>
    </row>
    <row r="7399" spans="9:10" x14ac:dyDescent="0.25">
      <c r="I7399" s="17"/>
      <c r="J7399" s="18"/>
    </row>
    <row r="7400" spans="9:10" x14ac:dyDescent="0.25">
      <c r="I7400" s="17"/>
      <c r="J7400" s="18"/>
    </row>
    <row r="7401" spans="9:10" x14ac:dyDescent="0.25">
      <c r="I7401" s="17"/>
      <c r="J7401" s="18"/>
    </row>
    <row r="7402" spans="9:10" x14ac:dyDescent="0.25">
      <c r="I7402" s="17"/>
      <c r="J7402" s="18"/>
    </row>
    <row r="7403" spans="9:10" x14ac:dyDescent="0.25">
      <c r="I7403" s="17"/>
      <c r="J7403" s="18"/>
    </row>
    <row r="7404" spans="9:10" x14ac:dyDescent="0.25">
      <c r="I7404" s="17"/>
      <c r="J7404" s="18"/>
    </row>
    <row r="7405" spans="9:10" x14ac:dyDescent="0.25">
      <c r="I7405" s="17"/>
      <c r="J7405" s="18"/>
    </row>
    <row r="7406" spans="9:10" x14ac:dyDescent="0.25">
      <c r="I7406" s="17"/>
      <c r="J7406" s="18"/>
    </row>
    <row r="7407" spans="9:10" x14ac:dyDescent="0.25">
      <c r="I7407" s="17"/>
      <c r="J7407" s="18"/>
    </row>
    <row r="7408" spans="9:10" x14ac:dyDescent="0.25">
      <c r="I7408" s="17"/>
      <c r="J7408" s="18"/>
    </row>
    <row r="7409" spans="9:10" x14ac:dyDescent="0.25">
      <c r="I7409" s="17"/>
      <c r="J7409" s="18"/>
    </row>
    <row r="7410" spans="9:10" x14ac:dyDescent="0.25">
      <c r="I7410" s="17"/>
      <c r="J7410" s="18"/>
    </row>
    <row r="7411" spans="9:10" x14ac:dyDescent="0.25">
      <c r="I7411" s="17"/>
      <c r="J7411" s="18"/>
    </row>
    <row r="7412" spans="9:10" x14ac:dyDescent="0.25">
      <c r="I7412" s="17"/>
      <c r="J7412" s="18"/>
    </row>
    <row r="7413" spans="9:10" x14ac:dyDescent="0.25">
      <c r="I7413" s="17"/>
      <c r="J7413" s="18"/>
    </row>
    <row r="7414" spans="9:10" x14ac:dyDescent="0.25">
      <c r="I7414" s="17"/>
      <c r="J7414" s="18"/>
    </row>
    <row r="7415" spans="9:10" x14ac:dyDescent="0.25">
      <c r="I7415" s="17"/>
      <c r="J7415" s="18"/>
    </row>
    <row r="7416" spans="9:10" x14ac:dyDescent="0.25">
      <c r="I7416" s="17"/>
      <c r="J7416" s="18"/>
    </row>
    <row r="7417" spans="9:10" x14ac:dyDescent="0.25">
      <c r="I7417" s="17"/>
      <c r="J7417" s="18"/>
    </row>
    <row r="7418" spans="9:10" x14ac:dyDescent="0.25">
      <c r="I7418" s="17"/>
      <c r="J7418" s="18"/>
    </row>
    <row r="7419" spans="9:10" x14ac:dyDescent="0.25">
      <c r="I7419" s="17"/>
      <c r="J7419" s="18"/>
    </row>
    <row r="7420" spans="9:10" x14ac:dyDescent="0.25">
      <c r="I7420" s="17"/>
      <c r="J7420" s="18"/>
    </row>
    <row r="7421" spans="9:10" x14ac:dyDescent="0.25">
      <c r="I7421" s="17"/>
      <c r="J7421" s="18"/>
    </row>
    <row r="7422" spans="9:10" x14ac:dyDescent="0.25">
      <c r="I7422" s="17"/>
      <c r="J7422" s="18"/>
    </row>
    <row r="7423" spans="9:10" x14ac:dyDescent="0.25">
      <c r="I7423" s="17"/>
      <c r="J7423" s="18"/>
    </row>
    <row r="7424" spans="9:10" x14ac:dyDescent="0.25">
      <c r="I7424" s="17"/>
      <c r="J7424" s="18"/>
    </row>
    <row r="7425" spans="9:10" x14ac:dyDescent="0.25">
      <c r="I7425" s="17"/>
      <c r="J7425" s="18"/>
    </row>
    <row r="7426" spans="9:10" x14ac:dyDescent="0.25">
      <c r="I7426" s="17"/>
      <c r="J7426" s="18"/>
    </row>
    <row r="7427" spans="9:10" x14ac:dyDescent="0.25">
      <c r="I7427" s="17"/>
      <c r="J7427" s="18"/>
    </row>
    <row r="7428" spans="9:10" x14ac:dyDescent="0.25">
      <c r="I7428" s="17"/>
      <c r="J7428" s="18"/>
    </row>
    <row r="7429" spans="9:10" x14ac:dyDescent="0.25">
      <c r="I7429" s="17"/>
      <c r="J7429" s="18"/>
    </row>
    <row r="7430" spans="9:10" x14ac:dyDescent="0.25">
      <c r="I7430" s="17"/>
      <c r="J7430" s="18"/>
    </row>
    <row r="7431" spans="9:10" x14ac:dyDescent="0.25">
      <c r="I7431" s="17"/>
      <c r="J7431" s="18"/>
    </row>
    <row r="7432" spans="9:10" x14ac:dyDescent="0.25">
      <c r="I7432" s="17"/>
      <c r="J7432" s="18"/>
    </row>
    <row r="7433" spans="9:10" x14ac:dyDescent="0.25">
      <c r="I7433" s="17"/>
      <c r="J7433" s="18"/>
    </row>
    <row r="7434" spans="9:10" x14ac:dyDescent="0.25">
      <c r="I7434" s="17"/>
      <c r="J7434" s="18"/>
    </row>
    <row r="7435" spans="9:10" x14ac:dyDescent="0.25">
      <c r="I7435" s="17"/>
      <c r="J7435" s="18"/>
    </row>
    <row r="7436" spans="9:10" x14ac:dyDescent="0.25">
      <c r="I7436" s="17"/>
      <c r="J7436" s="18"/>
    </row>
    <row r="7437" spans="9:10" x14ac:dyDescent="0.25">
      <c r="I7437" s="17"/>
      <c r="J7437" s="18"/>
    </row>
    <row r="7438" spans="9:10" x14ac:dyDescent="0.25">
      <c r="I7438" s="17"/>
      <c r="J7438" s="18"/>
    </row>
    <row r="7439" spans="9:10" x14ac:dyDescent="0.25">
      <c r="I7439" s="17"/>
      <c r="J7439" s="18"/>
    </row>
    <row r="7440" spans="9:10" x14ac:dyDescent="0.25">
      <c r="I7440" s="17"/>
      <c r="J7440" s="18"/>
    </row>
    <row r="7441" spans="9:10" x14ac:dyDescent="0.25">
      <c r="I7441" s="17"/>
      <c r="J7441" s="18"/>
    </row>
    <row r="7442" spans="9:10" x14ac:dyDescent="0.25">
      <c r="I7442" s="17"/>
      <c r="J7442" s="18"/>
    </row>
    <row r="7443" spans="9:10" x14ac:dyDescent="0.25">
      <c r="I7443" s="17"/>
      <c r="J7443" s="18"/>
    </row>
    <row r="7444" spans="9:10" x14ac:dyDescent="0.25">
      <c r="I7444" s="17"/>
      <c r="J7444" s="18"/>
    </row>
    <row r="7445" spans="9:10" x14ac:dyDescent="0.25">
      <c r="I7445" s="17"/>
      <c r="J7445" s="18"/>
    </row>
    <row r="7446" spans="9:10" x14ac:dyDescent="0.25">
      <c r="I7446" s="17"/>
      <c r="J7446" s="18"/>
    </row>
    <row r="7447" spans="9:10" x14ac:dyDescent="0.25">
      <c r="I7447" s="17"/>
      <c r="J7447" s="18"/>
    </row>
    <row r="7448" spans="9:10" x14ac:dyDescent="0.25">
      <c r="I7448" s="17"/>
      <c r="J7448" s="18"/>
    </row>
    <row r="7449" spans="9:10" x14ac:dyDescent="0.25">
      <c r="I7449" s="17"/>
      <c r="J744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</vt:lpstr>
      <vt:lpstr>Bootstrap</vt:lpstr>
      <vt:lpstr>Data for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Bakulin</dc:creator>
  <cp:lastModifiedBy>Artem Bakulin</cp:lastModifiedBy>
  <dcterms:created xsi:type="dcterms:W3CDTF">2024-03-08T17:38:25Z</dcterms:created>
  <dcterms:modified xsi:type="dcterms:W3CDTF">2026-03-13T21:14:15Z</dcterms:modified>
</cp:coreProperties>
</file>